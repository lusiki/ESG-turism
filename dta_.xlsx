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KA\Academic\ESG_tourism\ESG-turism\"/>
    </mc:Choice>
  </mc:AlternateContent>
  <xr:revisionPtr revIDLastSave="0" documentId="8_{22CF7381-06EC-406C-A6D7-C88D4597715D}" xr6:coauthVersionLast="47" xr6:coauthVersionMax="47" xr10:uidLastSave="{00000000-0000-0000-0000-000000000000}"/>
  <bookViews>
    <workbookView xWindow="6750" yWindow="3360" windowWidth="31300" windowHeight="15070" xr2:uid="{46E2F599-A5CE-41AA-9E42-B3483CEE7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G649" i="1" l="1"/>
  <c r="CF649" i="1"/>
  <c r="CD649" i="1"/>
  <c r="CC649" i="1"/>
  <c r="CA649" i="1"/>
  <c r="CG648" i="1"/>
  <c r="CF648" i="1"/>
  <c r="CD648" i="1"/>
  <c r="CC648" i="1"/>
  <c r="CA648" i="1"/>
  <c r="CG647" i="1"/>
  <c r="CF647" i="1"/>
  <c r="CD647" i="1"/>
  <c r="CC647" i="1"/>
  <c r="CA647" i="1"/>
  <c r="CG646" i="1"/>
  <c r="CF646" i="1"/>
  <c r="CD646" i="1"/>
  <c r="CC646" i="1"/>
  <c r="CA646" i="1"/>
  <c r="CG645" i="1"/>
  <c r="CF645" i="1"/>
  <c r="CD645" i="1"/>
  <c r="CC645" i="1"/>
  <c r="CA645" i="1"/>
  <c r="CG644" i="1"/>
  <c r="CF644" i="1"/>
  <c r="CD644" i="1"/>
  <c r="CC644" i="1"/>
  <c r="CA644" i="1"/>
  <c r="CG643" i="1"/>
  <c r="CF643" i="1"/>
  <c r="CD643" i="1"/>
  <c r="CC643" i="1"/>
  <c r="CA643" i="1"/>
  <c r="CG642" i="1"/>
  <c r="CF642" i="1"/>
  <c r="CD642" i="1"/>
  <c r="CC642" i="1"/>
  <c r="CA642" i="1"/>
  <c r="CG641" i="1"/>
  <c r="CF641" i="1"/>
  <c r="CD641" i="1"/>
  <c r="CC641" i="1"/>
  <c r="CA641" i="1"/>
  <c r="CG640" i="1"/>
  <c r="CF640" i="1"/>
  <c r="CD640" i="1"/>
  <c r="CC640" i="1"/>
  <c r="CA640" i="1"/>
  <c r="CG639" i="1"/>
  <c r="CF639" i="1"/>
  <c r="CD639" i="1"/>
  <c r="CC639" i="1"/>
  <c r="CA639" i="1"/>
  <c r="CG638" i="1"/>
  <c r="CF638" i="1"/>
  <c r="CD638" i="1"/>
  <c r="CC638" i="1"/>
  <c r="CA638" i="1"/>
  <c r="CG637" i="1"/>
  <c r="CF637" i="1"/>
  <c r="CD637" i="1"/>
  <c r="CC637" i="1"/>
  <c r="CA637" i="1"/>
  <c r="CG636" i="1"/>
  <c r="CF636" i="1"/>
  <c r="CD636" i="1"/>
  <c r="CC636" i="1"/>
  <c r="CA636" i="1"/>
  <c r="CG635" i="1"/>
  <c r="CF635" i="1"/>
  <c r="CD635" i="1"/>
  <c r="CC635" i="1"/>
  <c r="CA635" i="1"/>
  <c r="CG634" i="1"/>
  <c r="CF634" i="1"/>
  <c r="CD634" i="1"/>
  <c r="CC634" i="1"/>
  <c r="CA634" i="1"/>
  <c r="CG633" i="1"/>
  <c r="CF633" i="1"/>
  <c r="CD633" i="1"/>
  <c r="CC633" i="1"/>
  <c r="CA633" i="1"/>
  <c r="CG632" i="1"/>
  <c r="CF632" i="1"/>
  <c r="CD632" i="1"/>
  <c r="CC632" i="1"/>
  <c r="CA632" i="1"/>
  <c r="CG631" i="1"/>
  <c r="CF631" i="1"/>
  <c r="CD631" i="1"/>
  <c r="CC631" i="1"/>
  <c r="CA631" i="1"/>
  <c r="CG630" i="1"/>
  <c r="CF630" i="1"/>
  <c r="CD630" i="1"/>
  <c r="CC630" i="1"/>
  <c r="CA630" i="1"/>
  <c r="CG629" i="1"/>
  <c r="CF629" i="1"/>
  <c r="CD629" i="1"/>
  <c r="CC629" i="1"/>
  <c r="CA629" i="1"/>
  <c r="CG628" i="1"/>
  <c r="CF628" i="1"/>
  <c r="CD628" i="1"/>
  <c r="CC628" i="1"/>
  <c r="CA628" i="1"/>
  <c r="CG627" i="1"/>
  <c r="CF627" i="1"/>
  <c r="CD627" i="1"/>
  <c r="CC627" i="1"/>
  <c r="CA627" i="1"/>
  <c r="CG626" i="1"/>
  <c r="CF626" i="1"/>
  <c r="CD626" i="1"/>
  <c r="CC626" i="1"/>
  <c r="CA626" i="1"/>
  <c r="CG625" i="1"/>
  <c r="CF625" i="1"/>
  <c r="CD625" i="1"/>
  <c r="CC625" i="1"/>
  <c r="CA625" i="1"/>
  <c r="CG624" i="1"/>
  <c r="CF624" i="1"/>
  <c r="CD624" i="1"/>
  <c r="CC624" i="1"/>
  <c r="CA624" i="1"/>
  <c r="CG623" i="1"/>
  <c r="CF623" i="1"/>
  <c r="CD623" i="1"/>
  <c r="CC623" i="1"/>
  <c r="CA623" i="1"/>
  <c r="CG622" i="1"/>
  <c r="CF622" i="1"/>
  <c r="CD622" i="1"/>
  <c r="CC622" i="1"/>
  <c r="CA622" i="1"/>
  <c r="CG621" i="1"/>
  <c r="CF621" i="1"/>
  <c r="CD621" i="1"/>
  <c r="CC621" i="1"/>
  <c r="CA621" i="1"/>
  <c r="CG620" i="1"/>
  <c r="CF620" i="1"/>
  <c r="CD620" i="1"/>
  <c r="CC620" i="1"/>
  <c r="CA620" i="1"/>
  <c r="CG619" i="1"/>
  <c r="CF619" i="1"/>
  <c r="CD619" i="1"/>
  <c r="CC619" i="1"/>
  <c r="CA619" i="1"/>
  <c r="CG618" i="1"/>
  <c r="CF618" i="1"/>
  <c r="CD618" i="1"/>
  <c r="CC618" i="1"/>
  <c r="CA618" i="1"/>
  <c r="CG617" i="1"/>
  <c r="CF617" i="1"/>
  <c r="CD617" i="1"/>
  <c r="CC617" i="1"/>
  <c r="CA617" i="1"/>
  <c r="CG616" i="1"/>
  <c r="CF616" i="1"/>
  <c r="CD616" i="1"/>
  <c r="CC616" i="1"/>
  <c r="CA616" i="1"/>
  <c r="CG615" i="1"/>
  <c r="CF615" i="1"/>
  <c r="CD615" i="1"/>
  <c r="CC615" i="1"/>
  <c r="CA615" i="1"/>
  <c r="CG614" i="1"/>
  <c r="CF614" i="1"/>
  <c r="CD614" i="1"/>
  <c r="CC614" i="1"/>
  <c r="CA614" i="1"/>
  <c r="CG613" i="1"/>
  <c r="CF613" i="1"/>
  <c r="CD613" i="1"/>
  <c r="CC613" i="1"/>
  <c r="CA613" i="1"/>
  <c r="CG612" i="1"/>
  <c r="CF612" i="1"/>
  <c r="CD612" i="1"/>
  <c r="CC612" i="1"/>
  <c r="CA612" i="1"/>
  <c r="CG611" i="1"/>
  <c r="CF611" i="1"/>
  <c r="CD611" i="1"/>
  <c r="CC611" i="1"/>
  <c r="CA611" i="1"/>
  <c r="CG610" i="1"/>
  <c r="CF610" i="1"/>
  <c r="CD610" i="1"/>
  <c r="CC610" i="1"/>
  <c r="CA610" i="1"/>
  <c r="CG609" i="1"/>
  <c r="CF609" i="1"/>
  <c r="CD609" i="1"/>
  <c r="CC609" i="1"/>
  <c r="CA609" i="1"/>
  <c r="CG608" i="1"/>
  <c r="CF608" i="1"/>
  <c r="CD608" i="1"/>
  <c r="CC608" i="1"/>
  <c r="CA608" i="1"/>
  <c r="CG607" i="1"/>
  <c r="CF607" i="1"/>
  <c r="CD607" i="1"/>
  <c r="CC607" i="1"/>
  <c r="CA607" i="1"/>
  <c r="CG606" i="1"/>
  <c r="CF606" i="1"/>
  <c r="CD606" i="1"/>
  <c r="CC606" i="1"/>
  <c r="CA606" i="1"/>
  <c r="CG605" i="1"/>
  <c r="CF605" i="1"/>
  <c r="CD605" i="1"/>
  <c r="CC605" i="1"/>
  <c r="CA605" i="1"/>
  <c r="CG604" i="1"/>
  <c r="CF604" i="1"/>
  <c r="CD604" i="1"/>
  <c r="CC604" i="1"/>
  <c r="CA604" i="1"/>
  <c r="CG603" i="1"/>
  <c r="CF603" i="1"/>
  <c r="CD603" i="1"/>
  <c r="CC603" i="1"/>
  <c r="CA603" i="1"/>
  <c r="CG602" i="1"/>
  <c r="CF602" i="1"/>
  <c r="CD602" i="1"/>
  <c r="CC602" i="1"/>
  <c r="CA602" i="1"/>
  <c r="CG601" i="1"/>
  <c r="CF601" i="1"/>
  <c r="CD601" i="1"/>
  <c r="CC601" i="1"/>
  <c r="CA601" i="1"/>
  <c r="CG600" i="1"/>
  <c r="CF600" i="1"/>
  <c r="CD600" i="1"/>
  <c r="CC600" i="1"/>
  <c r="CA600" i="1"/>
  <c r="CG599" i="1"/>
  <c r="CF599" i="1"/>
  <c r="CD599" i="1"/>
  <c r="CC599" i="1"/>
  <c r="CA599" i="1"/>
  <c r="CG598" i="1"/>
  <c r="CF598" i="1"/>
  <c r="CD598" i="1"/>
  <c r="CC598" i="1"/>
  <c r="CA598" i="1"/>
  <c r="CG597" i="1"/>
  <c r="CF597" i="1"/>
  <c r="CD597" i="1"/>
  <c r="CC597" i="1"/>
  <c r="CA597" i="1"/>
  <c r="CG596" i="1"/>
  <c r="CF596" i="1"/>
  <c r="CD596" i="1"/>
  <c r="CC596" i="1"/>
  <c r="CA596" i="1"/>
  <c r="CG595" i="1"/>
  <c r="CF595" i="1"/>
  <c r="CD595" i="1"/>
  <c r="CC595" i="1"/>
  <c r="CA595" i="1"/>
  <c r="CG594" i="1"/>
  <c r="CF594" i="1"/>
  <c r="CD594" i="1"/>
  <c r="CC594" i="1"/>
  <c r="CA594" i="1"/>
  <c r="CG593" i="1"/>
  <c r="CF593" i="1"/>
  <c r="CD593" i="1"/>
  <c r="CC593" i="1"/>
  <c r="CA593" i="1"/>
  <c r="CG592" i="1"/>
  <c r="CF592" i="1"/>
  <c r="CD592" i="1"/>
  <c r="CC592" i="1"/>
  <c r="CA592" i="1"/>
  <c r="CG591" i="1"/>
  <c r="CF591" i="1"/>
  <c r="CD591" i="1"/>
  <c r="CC591" i="1"/>
  <c r="CA591" i="1"/>
  <c r="CG590" i="1"/>
  <c r="CF590" i="1"/>
  <c r="CD590" i="1"/>
  <c r="CC590" i="1"/>
  <c r="CA590" i="1"/>
  <c r="CG589" i="1"/>
  <c r="CF589" i="1"/>
  <c r="CD589" i="1"/>
  <c r="CC589" i="1"/>
  <c r="CA589" i="1"/>
  <c r="CG588" i="1"/>
  <c r="CF588" i="1"/>
  <c r="CD588" i="1"/>
  <c r="CC588" i="1"/>
  <c r="CA588" i="1"/>
  <c r="CG587" i="1"/>
  <c r="CF587" i="1"/>
  <c r="CD587" i="1"/>
  <c r="CC587" i="1"/>
  <c r="CA587" i="1"/>
  <c r="CG586" i="1"/>
  <c r="CF586" i="1"/>
  <c r="CD586" i="1"/>
  <c r="CC586" i="1"/>
  <c r="CA586" i="1"/>
  <c r="CG585" i="1"/>
  <c r="CF585" i="1"/>
  <c r="CD585" i="1"/>
  <c r="CC585" i="1"/>
  <c r="CA585" i="1"/>
  <c r="CG584" i="1"/>
  <c r="CF584" i="1"/>
  <c r="CD584" i="1"/>
  <c r="CC584" i="1"/>
  <c r="CA584" i="1"/>
  <c r="CG583" i="1"/>
  <c r="CF583" i="1"/>
  <c r="CD583" i="1"/>
  <c r="CC583" i="1"/>
  <c r="CA583" i="1"/>
  <c r="CG582" i="1"/>
  <c r="CF582" i="1"/>
  <c r="CD582" i="1"/>
  <c r="CC582" i="1"/>
  <c r="CA582" i="1"/>
  <c r="CG581" i="1"/>
  <c r="CF581" i="1"/>
  <c r="CD581" i="1"/>
  <c r="CC581" i="1"/>
  <c r="CA581" i="1"/>
  <c r="CG580" i="1"/>
  <c r="CF580" i="1"/>
  <c r="CD580" i="1"/>
  <c r="CC580" i="1"/>
  <c r="CA580" i="1"/>
  <c r="CG579" i="1"/>
  <c r="CF579" i="1"/>
  <c r="CD579" i="1"/>
  <c r="CC579" i="1"/>
  <c r="CA579" i="1"/>
  <c r="CG578" i="1"/>
  <c r="CF578" i="1"/>
  <c r="CD578" i="1"/>
  <c r="CC578" i="1"/>
  <c r="CA578" i="1"/>
  <c r="CG577" i="1"/>
  <c r="CF577" i="1"/>
  <c r="CD577" i="1"/>
  <c r="CC577" i="1"/>
  <c r="CA577" i="1"/>
  <c r="CG576" i="1"/>
  <c r="CF576" i="1"/>
  <c r="CD576" i="1"/>
  <c r="CC576" i="1"/>
  <c r="CA576" i="1"/>
  <c r="CG575" i="1"/>
  <c r="CF575" i="1"/>
  <c r="CD575" i="1"/>
  <c r="CC575" i="1"/>
  <c r="CA575" i="1"/>
  <c r="CG574" i="1"/>
  <c r="CF574" i="1"/>
  <c r="CD574" i="1"/>
  <c r="CC574" i="1"/>
  <c r="CA574" i="1"/>
  <c r="CG573" i="1"/>
  <c r="CF573" i="1"/>
  <c r="CD573" i="1"/>
  <c r="CC573" i="1"/>
  <c r="CA573" i="1"/>
  <c r="CG572" i="1"/>
  <c r="CF572" i="1"/>
  <c r="CD572" i="1"/>
  <c r="CC572" i="1"/>
  <c r="CA572" i="1"/>
  <c r="CG571" i="1"/>
  <c r="CF571" i="1"/>
  <c r="CD571" i="1"/>
  <c r="CC571" i="1"/>
  <c r="CA571" i="1"/>
  <c r="CG570" i="1"/>
  <c r="CF570" i="1"/>
  <c r="CD570" i="1"/>
  <c r="CC570" i="1"/>
  <c r="CA570" i="1"/>
  <c r="CG569" i="1"/>
  <c r="CF569" i="1"/>
  <c r="CD569" i="1"/>
  <c r="CC569" i="1"/>
  <c r="CA569" i="1"/>
  <c r="CG568" i="1"/>
  <c r="CF568" i="1"/>
  <c r="CD568" i="1"/>
  <c r="CC568" i="1"/>
  <c r="CA568" i="1"/>
  <c r="CG567" i="1"/>
  <c r="CF567" i="1"/>
  <c r="CD567" i="1"/>
  <c r="CC567" i="1"/>
  <c r="CA567" i="1"/>
  <c r="CG566" i="1"/>
  <c r="CF566" i="1"/>
  <c r="CD566" i="1"/>
  <c r="CC566" i="1"/>
  <c r="CA566" i="1"/>
  <c r="CG565" i="1"/>
  <c r="CF565" i="1"/>
  <c r="CD565" i="1"/>
  <c r="CC565" i="1"/>
  <c r="CA565" i="1"/>
  <c r="CG564" i="1"/>
  <c r="CF564" i="1"/>
  <c r="CD564" i="1"/>
  <c r="CC564" i="1"/>
  <c r="CA564" i="1"/>
  <c r="CG563" i="1"/>
  <c r="CF563" i="1"/>
  <c r="CD563" i="1"/>
  <c r="CC563" i="1"/>
  <c r="CA563" i="1"/>
  <c r="CG562" i="1"/>
  <c r="CF562" i="1"/>
  <c r="CD562" i="1"/>
  <c r="CC562" i="1"/>
  <c r="CA562" i="1"/>
  <c r="CG561" i="1"/>
  <c r="CF561" i="1"/>
  <c r="CD561" i="1"/>
  <c r="CC561" i="1"/>
  <c r="CA561" i="1"/>
  <c r="CG560" i="1"/>
  <c r="CF560" i="1"/>
  <c r="CD560" i="1"/>
  <c r="CC560" i="1"/>
  <c r="CA560" i="1"/>
  <c r="CG559" i="1"/>
  <c r="CF559" i="1"/>
  <c r="CD559" i="1"/>
  <c r="CC559" i="1"/>
  <c r="CA559" i="1"/>
  <c r="CG558" i="1"/>
  <c r="CF558" i="1"/>
  <c r="CD558" i="1"/>
  <c r="CC558" i="1"/>
  <c r="CA558" i="1"/>
  <c r="CG557" i="1"/>
  <c r="CF557" i="1"/>
  <c r="CD557" i="1"/>
  <c r="CC557" i="1"/>
  <c r="CA557" i="1"/>
  <c r="CG556" i="1"/>
  <c r="CF556" i="1"/>
  <c r="CD556" i="1"/>
  <c r="CC556" i="1"/>
  <c r="CA556" i="1"/>
  <c r="CG555" i="1"/>
  <c r="CF555" i="1"/>
  <c r="CD555" i="1"/>
  <c r="CC555" i="1"/>
  <c r="CA555" i="1"/>
  <c r="CG554" i="1"/>
  <c r="CF554" i="1"/>
  <c r="CD554" i="1"/>
  <c r="CC554" i="1"/>
  <c r="CA554" i="1"/>
  <c r="CG553" i="1"/>
  <c r="CF553" i="1"/>
  <c r="CD553" i="1"/>
  <c r="CC553" i="1"/>
  <c r="CA553" i="1"/>
  <c r="CG552" i="1"/>
  <c r="CF552" i="1"/>
  <c r="CD552" i="1"/>
  <c r="CC552" i="1"/>
  <c r="CA552" i="1"/>
  <c r="CG551" i="1"/>
  <c r="CF551" i="1"/>
  <c r="CD551" i="1"/>
  <c r="CC551" i="1"/>
  <c r="CA551" i="1"/>
  <c r="CG550" i="1"/>
  <c r="CF550" i="1"/>
  <c r="CD550" i="1"/>
  <c r="CC550" i="1"/>
  <c r="CA550" i="1"/>
  <c r="CG549" i="1"/>
  <c r="CF549" i="1"/>
  <c r="CD549" i="1"/>
  <c r="CC549" i="1"/>
  <c r="CA549" i="1"/>
  <c r="CG548" i="1"/>
  <c r="CF548" i="1"/>
  <c r="CD548" i="1"/>
  <c r="CC548" i="1"/>
  <c r="CA548" i="1"/>
  <c r="CG547" i="1"/>
  <c r="CF547" i="1"/>
  <c r="CD547" i="1"/>
  <c r="CC547" i="1"/>
  <c r="CA547" i="1"/>
  <c r="CG546" i="1"/>
  <c r="CF546" i="1"/>
  <c r="CD546" i="1"/>
  <c r="CC546" i="1"/>
  <c r="CA546" i="1"/>
  <c r="CG545" i="1"/>
  <c r="CF545" i="1"/>
  <c r="CD545" i="1"/>
  <c r="CC545" i="1"/>
  <c r="CA545" i="1"/>
  <c r="CG544" i="1"/>
  <c r="CF544" i="1"/>
  <c r="CD544" i="1"/>
  <c r="CC544" i="1"/>
  <c r="CA544" i="1"/>
  <c r="CG543" i="1"/>
  <c r="CF543" i="1"/>
  <c r="CD543" i="1"/>
  <c r="CC543" i="1"/>
  <c r="CA543" i="1"/>
  <c r="CG542" i="1"/>
  <c r="CF542" i="1"/>
  <c r="CD542" i="1"/>
  <c r="CC542" i="1"/>
  <c r="CA542" i="1"/>
  <c r="CG541" i="1"/>
  <c r="CF541" i="1"/>
  <c r="CD541" i="1"/>
  <c r="CC541" i="1"/>
  <c r="CA541" i="1"/>
  <c r="CG540" i="1"/>
  <c r="CF540" i="1"/>
  <c r="CD540" i="1"/>
  <c r="CC540" i="1"/>
  <c r="CA540" i="1"/>
  <c r="CG539" i="1"/>
  <c r="CF539" i="1"/>
  <c r="CD539" i="1"/>
  <c r="CC539" i="1"/>
  <c r="CA539" i="1"/>
  <c r="CG538" i="1"/>
  <c r="CF538" i="1"/>
  <c r="CD538" i="1"/>
  <c r="CC538" i="1"/>
  <c r="CA538" i="1"/>
  <c r="CG537" i="1"/>
  <c r="CF537" i="1"/>
  <c r="CD537" i="1"/>
  <c r="CC537" i="1"/>
  <c r="CA537" i="1"/>
  <c r="CG536" i="1"/>
  <c r="CF536" i="1"/>
  <c r="CD536" i="1"/>
  <c r="CC536" i="1"/>
  <c r="CA536" i="1"/>
  <c r="CG535" i="1"/>
  <c r="CF535" i="1"/>
  <c r="CD535" i="1"/>
  <c r="CC535" i="1"/>
  <c r="CA535" i="1"/>
  <c r="CG534" i="1"/>
  <c r="CF534" i="1"/>
  <c r="CD534" i="1"/>
  <c r="CC534" i="1"/>
  <c r="CA534" i="1"/>
  <c r="CG533" i="1"/>
  <c r="CF533" i="1"/>
  <c r="CD533" i="1"/>
  <c r="CC533" i="1"/>
  <c r="CA533" i="1"/>
  <c r="CG532" i="1"/>
  <c r="CF532" i="1"/>
  <c r="CD532" i="1"/>
  <c r="CC532" i="1"/>
  <c r="CA532" i="1"/>
  <c r="CG531" i="1"/>
  <c r="CF531" i="1"/>
  <c r="CD531" i="1"/>
  <c r="CC531" i="1"/>
  <c r="CA531" i="1"/>
  <c r="CG530" i="1"/>
  <c r="CF530" i="1"/>
  <c r="CD530" i="1"/>
  <c r="CC530" i="1"/>
  <c r="CA530" i="1"/>
  <c r="CG529" i="1"/>
  <c r="CF529" i="1"/>
  <c r="CD529" i="1"/>
  <c r="CC529" i="1"/>
  <c r="CA529" i="1"/>
  <c r="CG528" i="1"/>
  <c r="CF528" i="1"/>
  <c r="CD528" i="1"/>
  <c r="CC528" i="1"/>
  <c r="CA528" i="1"/>
  <c r="CG527" i="1"/>
  <c r="CF527" i="1"/>
  <c r="CD527" i="1"/>
  <c r="CC527" i="1"/>
  <c r="CA527" i="1"/>
  <c r="CG526" i="1"/>
  <c r="CF526" i="1"/>
  <c r="CD526" i="1"/>
  <c r="CC526" i="1"/>
  <c r="CA526" i="1"/>
  <c r="CG525" i="1"/>
  <c r="CF525" i="1"/>
  <c r="CD525" i="1"/>
  <c r="CC525" i="1"/>
  <c r="CA525" i="1"/>
  <c r="CG524" i="1"/>
  <c r="CF524" i="1"/>
  <c r="CD524" i="1"/>
  <c r="CC524" i="1"/>
  <c r="CA524" i="1"/>
  <c r="CG523" i="1"/>
  <c r="CF523" i="1"/>
  <c r="CD523" i="1"/>
  <c r="CC523" i="1"/>
  <c r="CA523" i="1"/>
  <c r="CG522" i="1"/>
  <c r="CF522" i="1"/>
  <c r="CD522" i="1"/>
  <c r="CC522" i="1"/>
  <c r="CA522" i="1"/>
  <c r="CG521" i="1"/>
  <c r="CF521" i="1"/>
  <c r="CD521" i="1"/>
  <c r="CC521" i="1"/>
  <c r="CA521" i="1"/>
  <c r="CG520" i="1"/>
  <c r="CF520" i="1"/>
  <c r="CD520" i="1"/>
  <c r="CC520" i="1"/>
  <c r="CA520" i="1"/>
  <c r="CG519" i="1"/>
  <c r="CF519" i="1"/>
  <c r="CD519" i="1"/>
  <c r="CC519" i="1"/>
  <c r="CA519" i="1"/>
  <c r="CG518" i="1"/>
  <c r="CF518" i="1"/>
  <c r="CD518" i="1"/>
  <c r="CC518" i="1"/>
  <c r="CA518" i="1"/>
  <c r="CG517" i="1"/>
  <c r="CF517" i="1"/>
  <c r="CD517" i="1"/>
  <c r="CC517" i="1"/>
  <c r="CA517" i="1"/>
  <c r="CG516" i="1"/>
  <c r="CF516" i="1"/>
  <c r="CD516" i="1"/>
  <c r="CC516" i="1"/>
  <c r="CA516" i="1"/>
  <c r="CG515" i="1"/>
  <c r="CF515" i="1"/>
  <c r="CD515" i="1"/>
  <c r="CC515" i="1"/>
  <c r="CA515" i="1"/>
  <c r="CG514" i="1"/>
  <c r="CF514" i="1"/>
  <c r="CD514" i="1"/>
  <c r="CC514" i="1"/>
  <c r="CA514" i="1"/>
  <c r="CG513" i="1"/>
  <c r="CF513" i="1"/>
  <c r="CD513" i="1"/>
  <c r="CC513" i="1"/>
  <c r="CA513" i="1"/>
  <c r="CG512" i="1"/>
  <c r="CF512" i="1"/>
  <c r="CD512" i="1"/>
  <c r="CC512" i="1"/>
  <c r="CA512" i="1"/>
  <c r="CG511" i="1"/>
  <c r="CF511" i="1"/>
  <c r="CD511" i="1"/>
  <c r="CC511" i="1"/>
  <c r="CA511" i="1"/>
  <c r="CG510" i="1"/>
  <c r="CF510" i="1"/>
  <c r="CD510" i="1"/>
  <c r="CC510" i="1"/>
  <c r="CA510" i="1"/>
  <c r="CG509" i="1"/>
  <c r="CF509" i="1"/>
  <c r="CD509" i="1"/>
  <c r="CC509" i="1"/>
  <c r="CA509" i="1"/>
  <c r="CG508" i="1"/>
  <c r="CF508" i="1"/>
  <c r="CD508" i="1"/>
  <c r="CC508" i="1"/>
  <c r="CA508" i="1"/>
  <c r="CG507" i="1"/>
  <c r="CF507" i="1"/>
  <c r="CD507" i="1"/>
  <c r="CC507" i="1"/>
  <c r="CA507" i="1"/>
  <c r="CG506" i="1"/>
  <c r="CF506" i="1"/>
  <c r="CD506" i="1"/>
  <c r="CC506" i="1"/>
  <c r="CA506" i="1"/>
  <c r="CG505" i="1"/>
  <c r="CF505" i="1"/>
  <c r="CD505" i="1"/>
  <c r="CC505" i="1"/>
  <c r="CA505" i="1"/>
  <c r="CG504" i="1"/>
  <c r="CF504" i="1"/>
  <c r="CD504" i="1"/>
  <c r="CC504" i="1"/>
  <c r="CA504" i="1"/>
  <c r="CG503" i="1"/>
  <c r="CF503" i="1"/>
  <c r="CD503" i="1"/>
  <c r="CC503" i="1"/>
  <c r="CA503" i="1"/>
  <c r="CG502" i="1"/>
  <c r="CF502" i="1"/>
  <c r="CD502" i="1"/>
  <c r="CC502" i="1"/>
  <c r="CA502" i="1"/>
  <c r="CG501" i="1"/>
  <c r="CF501" i="1"/>
  <c r="CD501" i="1"/>
  <c r="CC501" i="1"/>
  <c r="CA501" i="1"/>
  <c r="CG500" i="1"/>
  <c r="CF500" i="1"/>
  <c r="CD500" i="1"/>
  <c r="CC500" i="1"/>
  <c r="CA500" i="1"/>
  <c r="CG499" i="1"/>
  <c r="CF499" i="1"/>
  <c r="CD499" i="1"/>
  <c r="CC499" i="1"/>
  <c r="CA499" i="1"/>
  <c r="CG498" i="1"/>
  <c r="CF498" i="1"/>
  <c r="CD498" i="1"/>
  <c r="CC498" i="1"/>
  <c r="CA498" i="1"/>
  <c r="CG497" i="1"/>
  <c r="CF497" i="1"/>
  <c r="CD497" i="1"/>
  <c r="CC497" i="1"/>
  <c r="CA497" i="1"/>
  <c r="CG496" i="1"/>
  <c r="CF496" i="1"/>
  <c r="CD496" i="1"/>
  <c r="CC496" i="1"/>
  <c r="CA496" i="1"/>
  <c r="CG495" i="1"/>
  <c r="CF495" i="1"/>
  <c r="CD495" i="1"/>
  <c r="CC495" i="1"/>
  <c r="CA495" i="1"/>
  <c r="CG494" i="1"/>
  <c r="CF494" i="1"/>
  <c r="CD494" i="1"/>
  <c r="CC494" i="1"/>
  <c r="CA494" i="1"/>
  <c r="CG493" i="1"/>
  <c r="CF493" i="1"/>
  <c r="CD493" i="1"/>
  <c r="CC493" i="1"/>
  <c r="CA493" i="1"/>
  <c r="CG492" i="1"/>
  <c r="CF492" i="1"/>
  <c r="CD492" i="1"/>
  <c r="CC492" i="1"/>
  <c r="CA492" i="1"/>
  <c r="CG491" i="1"/>
  <c r="CF491" i="1"/>
  <c r="CD491" i="1"/>
  <c r="CC491" i="1"/>
  <c r="CA491" i="1"/>
  <c r="CG490" i="1"/>
  <c r="CF490" i="1"/>
  <c r="CD490" i="1"/>
  <c r="CC490" i="1"/>
  <c r="CA490" i="1"/>
  <c r="CG489" i="1"/>
  <c r="CF489" i="1"/>
  <c r="CD489" i="1"/>
  <c r="CC489" i="1"/>
  <c r="CA489" i="1"/>
  <c r="CG488" i="1"/>
  <c r="CF488" i="1"/>
  <c r="CD488" i="1"/>
  <c r="CC488" i="1"/>
  <c r="CA488" i="1"/>
  <c r="CG487" i="1"/>
  <c r="CF487" i="1"/>
  <c r="CD487" i="1"/>
  <c r="CC487" i="1"/>
  <c r="CA487" i="1"/>
  <c r="CG486" i="1"/>
  <c r="CF486" i="1"/>
  <c r="CD486" i="1"/>
  <c r="CC486" i="1"/>
  <c r="CA486" i="1"/>
  <c r="CG485" i="1"/>
  <c r="CF485" i="1"/>
  <c r="CD485" i="1"/>
  <c r="CC485" i="1"/>
  <c r="CA485" i="1"/>
  <c r="CG484" i="1"/>
  <c r="CF484" i="1"/>
  <c r="CD484" i="1"/>
  <c r="CC484" i="1"/>
  <c r="CA484" i="1"/>
  <c r="CG483" i="1"/>
  <c r="CF483" i="1"/>
  <c r="CD483" i="1"/>
  <c r="CC483" i="1"/>
  <c r="CA483" i="1"/>
  <c r="CG482" i="1"/>
  <c r="CF482" i="1"/>
  <c r="CD482" i="1"/>
  <c r="CC482" i="1"/>
  <c r="CA482" i="1"/>
  <c r="CG481" i="1"/>
  <c r="CF481" i="1"/>
  <c r="CD481" i="1"/>
  <c r="CC481" i="1"/>
  <c r="CA481" i="1"/>
  <c r="CG480" i="1"/>
  <c r="CF480" i="1"/>
  <c r="CD480" i="1"/>
  <c r="CC480" i="1"/>
  <c r="CA480" i="1"/>
  <c r="CG479" i="1"/>
  <c r="CF479" i="1"/>
  <c r="CD479" i="1"/>
  <c r="CC479" i="1"/>
  <c r="CA479" i="1"/>
  <c r="CG478" i="1"/>
  <c r="CF478" i="1"/>
  <c r="CD478" i="1"/>
  <c r="CC478" i="1"/>
  <c r="CA478" i="1"/>
  <c r="CG477" i="1"/>
  <c r="CF477" i="1"/>
  <c r="CD477" i="1"/>
  <c r="CC477" i="1"/>
  <c r="CA477" i="1"/>
  <c r="CG476" i="1"/>
  <c r="CF476" i="1"/>
  <c r="CD476" i="1"/>
  <c r="CC476" i="1"/>
  <c r="CA476" i="1"/>
  <c r="CG475" i="1"/>
  <c r="CF475" i="1"/>
  <c r="CD475" i="1"/>
  <c r="CC475" i="1"/>
  <c r="CA475" i="1"/>
  <c r="CG474" i="1"/>
  <c r="CF474" i="1"/>
  <c r="CD474" i="1"/>
  <c r="CC474" i="1"/>
  <c r="CA474" i="1"/>
  <c r="CG473" i="1"/>
  <c r="CF473" i="1"/>
  <c r="CD473" i="1"/>
  <c r="CC473" i="1"/>
  <c r="CA473" i="1"/>
  <c r="CG472" i="1"/>
  <c r="CF472" i="1"/>
  <c r="CD472" i="1"/>
  <c r="CC472" i="1"/>
  <c r="CA472" i="1"/>
  <c r="CG471" i="1"/>
  <c r="CF471" i="1"/>
  <c r="CD471" i="1"/>
  <c r="CC471" i="1"/>
  <c r="CA471" i="1"/>
  <c r="CG470" i="1"/>
  <c r="CF470" i="1"/>
  <c r="CD470" i="1"/>
  <c r="CC470" i="1"/>
  <c r="CA470" i="1"/>
  <c r="CG469" i="1"/>
  <c r="CF469" i="1"/>
  <c r="CD469" i="1"/>
  <c r="CC469" i="1"/>
  <c r="CA469" i="1"/>
  <c r="CG468" i="1"/>
  <c r="CF468" i="1"/>
  <c r="CD468" i="1"/>
  <c r="CC468" i="1"/>
  <c r="CA468" i="1"/>
  <c r="CG467" i="1"/>
  <c r="CF467" i="1"/>
  <c r="CD467" i="1"/>
  <c r="CC467" i="1"/>
  <c r="CA467" i="1"/>
  <c r="CG466" i="1"/>
  <c r="CF466" i="1"/>
  <c r="CD466" i="1"/>
  <c r="CC466" i="1"/>
  <c r="CA466" i="1"/>
  <c r="CG465" i="1"/>
  <c r="CF465" i="1"/>
  <c r="CD465" i="1"/>
  <c r="CC465" i="1"/>
  <c r="CA465" i="1"/>
  <c r="CG464" i="1"/>
  <c r="CF464" i="1"/>
  <c r="CD464" i="1"/>
  <c r="CC464" i="1"/>
  <c r="CA464" i="1"/>
  <c r="CG463" i="1"/>
  <c r="CF463" i="1"/>
  <c r="CD463" i="1"/>
  <c r="CC463" i="1"/>
  <c r="CA463" i="1"/>
  <c r="CG462" i="1"/>
  <c r="CF462" i="1"/>
  <c r="CD462" i="1"/>
  <c r="CC462" i="1"/>
  <c r="CA462" i="1"/>
  <c r="CG461" i="1"/>
  <c r="CF461" i="1"/>
  <c r="CD461" i="1"/>
  <c r="CC461" i="1"/>
  <c r="CA461" i="1"/>
  <c r="CG460" i="1"/>
  <c r="CF460" i="1"/>
  <c r="CD460" i="1"/>
  <c r="CC460" i="1"/>
  <c r="CA460" i="1"/>
  <c r="CG459" i="1"/>
  <c r="CF459" i="1"/>
  <c r="CD459" i="1"/>
  <c r="CC459" i="1"/>
  <c r="CA459" i="1"/>
  <c r="CG458" i="1"/>
  <c r="CF458" i="1"/>
  <c r="CD458" i="1"/>
  <c r="CC458" i="1"/>
  <c r="CA458" i="1"/>
  <c r="CG457" i="1"/>
  <c r="CF457" i="1"/>
  <c r="CD457" i="1"/>
  <c r="CC457" i="1"/>
  <c r="CA457" i="1"/>
  <c r="CG456" i="1"/>
  <c r="CF456" i="1"/>
  <c r="CD456" i="1"/>
  <c r="CC456" i="1"/>
  <c r="CA456" i="1"/>
  <c r="CG455" i="1"/>
  <c r="CF455" i="1"/>
  <c r="CD455" i="1"/>
  <c r="CC455" i="1"/>
  <c r="CA455" i="1"/>
  <c r="CG454" i="1"/>
  <c r="CF454" i="1"/>
  <c r="CD454" i="1"/>
  <c r="CC454" i="1"/>
  <c r="CA454" i="1"/>
  <c r="CG453" i="1"/>
  <c r="CF453" i="1"/>
  <c r="CD453" i="1"/>
  <c r="CC453" i="1"/>
  <c r="CA453" i="1"/>
  <c r="CG452" i="1"/>
  <c r="CF452" i="1"/>
  <c r="CD452" i="1"/>
  <c r="CC452" i="1"/>
  <c r="CA452" i="1"/>
  <c r="CG451" i="1"/>
  <c r="CF451" i="1"/>
  <c r="CD451" i="1"/>
  <c r="CC451" i="1"/>
  <c r="CA451" i="1"/>
  <c r="CG450" i="1"/>
  <c r="CF450" i="1"/>
  <c r="CD450" i="1"/>
  <c r="CC450" i="1"/>
  <c r="CA450" i="1"/>
  <c r="CG449" i="1"/>
  <c r="CF449" i="1"/>
  <c r="CD449" i="1"/>
  <c r="CC449" i="1"/>
  <c r="CA449" i="1"/>
  <c r="CG448" i="1"/>
  <c r="CF448" i="1"/>
  <c r="CD448" i="1"/>
  <c r="CC448" i="1"/>
  <c r="CA448" i="1"/>
  <c r="CG447" i="1"/>
  <c r="CF447" i="1"/>
  <c r="CD447" i="1"/>
  <c r="CC447" i="1"/>
  <c r="CA447" i="1"/>
  <c r="CG446" i="1"/>
  <c r="CF446" i="1"/>
  <c r="CD446" i="1"/>
  <c r="CC446" i="1"/>
  <c r="CA446" i="1"/>
  <c r="CG445" i="1"/>
  <c r="CF445" i="1"/>
  <c r="CD445" i="1"/>
  <c r="CC445" i="1"/>
  <c r="CA445" i="1"/>
  <c r="CG444" i="1"/>
  <c r="CF444" i="1"/>
  <c r="CD444" i="1"/>
  <c r="CC444" i="1"/>
  <c r="CA444" i="1"/>
  <c r="CG443" i="1"/>
  <c r="CF443" i="1"/>
  <c r="CD443" i="1"/>
  <c r="CC443" i="1"/>
  <c r="CA443" i="1"/>
  <c r="CG442" i="1"/>
  <c r="CF442" i="1"/>
  <c r="CD442" i="1"/>
  <c r="CC442" i="1"/>
  <c r="CA442" i="1"/>
  <c r="CG441" i="1"/>
  <c r="CF441" i="1"/>
  <c r="CD441" i="1"/>
  <c r="CC441" i="1"/>
  <c r="CA441" i="1"/>
  <c r="CG440" i="1"/>
  <c r="CF440" i="1"/>
  <c r="CD440" i="1"/>
  <c r="CC440" i="1"/>
  <c r="CA440" i="1"/>
  <c r="CG439" i="1"/>
  <c r="CF439" i="1"/>
  <c r="CD439" i="1"/>
  <c r="CC439" i="1"/>
  <c r="CA439" i="1"/>
  <c r="CG438" i="1"/>
  <c r="CF438" i="1"/>
  <c r="CD438" i="1"/>
  <c r="CC438" i="1"/>
  <c r="CA438" i="1"/>
  <c r="CG437" i="1"/>
  <c r="CF437" i="1"/>
  <c r="CD437" i="1"/>
  <c r="CC437" i="1"/>
  <c r="CA437" i="1"/>
  <c r="CG436" i="1"/>
  <c r="CF436" i="1"/>
  <c r="CD436" i="1"/>
  <c r="CC436" i="1"/>
  <c r="CA436" i="1"/>
  <c r="CG435" i="1"/>
  <c r="CF435" i="1"/>
  <c r="CD435" i="1"/>
  <c r="CC435" i="1"/>
  <c r="CA435" i="1"/>
  <c r="CG434" i="1"/>
  <c r="CF434" i="1"/>
  <c r="CD434" i="1"/>
  <c r="CC434" i="1"/>
  <c r="CA434" i="1"/>
  <c r="CG433" i="1"/>
  <c r="CF433" i="1"/>
  <c r="CD433" i="1"/>
  <c r="CC433" i="1"/>
  <c r="CA433" i="1"/>
  <c r="CG432" i="1"/>
  <c r="CF432" i="1"/>
  <c r="CD432" i="1"/>
  <c r="CC432" i="1"/>
  <c r="CA432" i="1"/>
  <c r="CG431" i="1"/>
  <c r="CF431" i="1"/>
  <c r="CD431" i="1"/>
  <c r="CC431" i="1"/>
  <c r="CA431" i="1"/>
  <c r="CG430" i="1"/>
  <c r="CF430" i="1"/>
  <c r="CD430" i="1"/>
  <c r="CC430" i="1"/>
  <c r="CA430" i="1"/>
  <c r="CG429" i="1"/>
  <c r="CF429" i="1"/>
  <c r="CD429" i="1"/>
  <c r="CC429" i="1"/>
  <c r="CA429" i="1"/>
  <c r="CG428" i="1"/>
  <c r="CF428" i="1"/>
  <c r="CD428" i="1"/>
  <c r="CC428" i="1"/>
  <c r="CA428" i="1"/>
  <c r="CG427" i="1"/>
  <c r="CF427" i="1"/>
  <c r="CD427" i="1"/>
  <c r="CC427" i="1"/>
  <c r="CA427" i="1"/>
  <c r="CG426" i="1"/>
  <c r="CF426" i="1"/>
  <c r="CD426" i="1"/>
  <c r="CC426" i="1"/>
  <c r="CA426" i="1"/>
  <c r="CG425" i="1"/>
  <c r="CF425" i="1"/>
  <c r="CD425" i="1"/>
  <c r="CC425" i="1"/>
  <c r="CA425" i="1"/>
  <c r="CG424" i="1"/>
  <c r="CF424" i="1"/>
  <c r="CD424" i="1"/>
  <c r="CC424" i="1"/>
  <c r="CA424" i="1"/>
  <c r="CG423" i="1"/>
  <c r="CF423" i="1"/>
  <c r="CD423" i="1"/>
  <c r="CC423" i="1"/>
  <c r="CA423" i="1"/>
  <c r="CG422" i="1"/>
  <c r="CF422" i="1"/>
  <c r="CD422" i="1"/>
  <c r="CC422" i="1"/>
  <c r="CA422" i="1"/>
  <c r="CG421" i="1"/>
  <c r="CF421" i="1"/>
  <c r="CD421" i="1"/>
  <c r="CC421" i="1"/>
  <c r="CA421" i="1"/>
  <c r="CG420" i="1"/>
  <c r="CF420" i="1"/>
  <c r="CD420" i="1"/>
  <c r="CC420" i="1"/>
  <c r="CA420" i="1"/>
  <c r="CG419" i="1"/>
  <c r="CF419" i="1"/>
  <c r="CD419" i="1"/>
  <c r="CC419" i="1"/>
  <c r="CA419" i="1"/>
  <c r="CG418" i="1"/>
  <c r="CF418" i="1"/>
  <c r="CD418" i="1"/>
  <c r="CC418" i="1"/>
  <c r="CA418" i="1"/>
  <c r="CG417" i="1"/>
  <c r="CF417" i="1"/>
  <c r="CD417" i="1"/>
  <c r="CC417" i="1"/>
  <c r="CA417" i="1"/>
  <c r="CG416" i="1"/>
  <c r="CF416" i="1"/>
  <c r="CD416" i="1"/>
  <c r="CC416" i="1"/>
  <c r="CA416" i="1"/>
  <c r="CG415" i="1"/>
  <c r="CF415" i="1"/>
  <c r="CD415" i="1"/>
  <c r="CC415" i="1"/>
  <c r="CA415" i="1"/>
  <c r="CG414" i="1"/>
  <c r="CF414" i="1"/>
  <c r="CD414" i="1"/>
  <c r="CC414" i="1"/>
  <c r="CA414" i="1"/>
  <c r="CG413" i="1"/>
  <c r="CF413" i="1"/>
  <c r="CD413" i="1"/>
  <c r="CC413" i="1"/>
  <c r="CA413" i="1"/>
  <c r="CG412" i="1"/>
  <c r="CF412" i="1"/>
  <c r="CD412" i="1"/>
  <c r="CC412" i="1"/>
  <c r="CA412" i="1"/>
  <c r="CG411" i="1"/>
  <c r="CF411" i="1"/>
  <c r="CD411" i="1"/>
  <c r="CC411" i="1"/>
  <c r="CA411" i="1"/>
  <c r="CG410" i="1"/>
  <c r="CF410" i="1"/>
  <c r="CD410" i="1"/>
  <c r="CC410" i="1"/>
  <c r="CA410" i="1"/>
  <c r="CG409" i="1"/>
  <c r="CF409" i="1"/>
  <c r="CD409" i="1"/>
  <c r="CC409" i="1"/>
  <c r="CA409" i="1"/>
  <c r="CG408" i="1"/>
  <c r="CF408" i="1"/>
  <c r="CD408" i="1"/>
  <c r="CC408" i="1"/>
  <c r="CA408" i="1"/>
  <c r="CG407" i="1"/>
  <c r="CF407" i="1"/>
  <c r="CD407" i="1"/>
  <c r="CC407" i="1"/>
  <c r="CA407" i="1"/>
  <c r="CG406" i="1"/>
  <c r="CF406" i="1"/>
  <c r="CD406" i="1"/>
  <c r="CC406" i="1"/>
  <c r="CA406" i="1"/>
  <c r="CG405" i="1"/>
  <c r="CF405" i="1"/>
  <c r="CD405" i="1"/>
  <c r="CC405" i="1"/>
  <c r="CA405" i="1"/>
  <c r="CG404" i="1"/>
  <c r="CF404" i="1"/>
  <c r="CD404" i="1"/>
  <c r="CC404" i="1"/>
  <c r="CA404" i="1"/>
  <c r="CG403" i="1"/>
  <c r="CF403" i="1"/>
  <c r="CD403" i="1"/>
  <c r="CC403" i="1"/>
  <c r="CA403" i="1"/>
  <c r="CG402" i="1"/>
  <c r="CF402" i="1"/>
  <c r="CD402" i="1"/>
  <c r="CC402" i="1"/>
  <c r="CA402" i="1"/>
  <c r="CG401" i="1"/>
  <c r="CF401" i="1"/>
  <c r="CD401" i="1"/>
  <c r="CC401" i="1"/>
  <c r="CA401" i="1"/>
  <c r="CG400" i="1"/>
  <c r="CF400" i="1"/>
  <c r="CD400" i="1"/>
  <c r="CC400" i="1"/>
  <c r="CA400" i="1"/>
  <c r="CG399" i="1"/>
  <c r="CF399" i="1"/>
  <c r="CD399" i="1"/>
  <c r="CC399" i="1"/>
  <c r="CA399" i="1"/>
  <c r="CG398" i="1"/>
  <c r="CF398" i="1"/>
  <c r="CD398" i="1"/>
  <c r="CC398" i="1"/>
  <c r="CA398" i="1"/>
  <c r="CG397" i="1"/>
  <c r="CF397" i="1"/>
  <c r="CD397" i="1"/>
  <c r="CC397" i="1"/>
  <c r="CA397" i="1"/>
  <c r="CG396" i="1"/>
  <c r="CF396" i="1"/>
  <c r="CD396" i="1"/>
  <c r="CC396" i="1"/>
  <c r="CA396" i="1"/>
  <c r="CG395" i="1"/>
  <c r="CF395" i="1"/>
  <c r="CD395" i="1"/>
  <c r="CC395" i="1"/>
  <c r="CA395" i="1"/>
  <c r="CG394" i="1"/>
  <c r="CF394" i="1"/>
  <c r="CD394" i="1"/>
  <c r="CC394" i="1"/>
  <c r="CA394" i="1"/>
  <c r="CG393" i="1"/>
  <c r="CF393" i="1"/>
  <c r="CD393" i="1"/>
  <c r="CC393" i="1"/>
  <c r="CA393" i="1"/>
  <c r="CG392" i="1"/>
  <c r="CF392" i="1"/>
  <c r="CD392" i="1"/>
  <c r="CC392" i="1"/>
  <c r="CA392" i="1"/>
  <c r="CG391" i="1"/>
  <c r="CF391" i="1"/>
  <c r="CD391" i="1"/>
  <c r="CC391" i="1"/>
  <c r="CA391" i="1"/>
  <c r="CG390" i="1"/>
  <c r="CF390" i="1"/>
  <c r="CD390" i="1"/>
  <c r="CC390" i="1"/>
  <c r="CA390" i="1"/>
  <c r="CG389" i="1"/>
  <c r="CF389" i="1"/>
  <c r="CD389" i="1"/>
  <c r="CC389" i="1"/>
  <c r="CA389" i="1"/>
  <c r="CG388" i="1"/>
  <c r="CF388" i="1"/>
  <c r="CD388" i="1"/>
  <c r="CC388" i="1"/>
  <c r="CA388" i="1"/>
  <c r="CG387" i="1"/>
  <c r="CF387" i="1"/>
  <c r="CD387" i="1"/>
  <c r="CC387" i="1"/>
  <c r="CA387" i="1"/>
  <c r="CG386" i="1"/>
  <c r="CF386" i="1"/>
  <c r="CD386" i="1"/>
  <c r="CC386" i="1"/>
  <c r="CA386" i="1"/>
  <c r="CG385" i="1"/>
  <c r="CF385" i="1"/>
  <c r="CD385" i="1"/>
  <c r="CC385" i="1"/>
  <c r="CA385" i="1"/>
  <c r="CG384" i="1"/>
  <c r="CF384" i="1"/>
  <c r="CD384" i="1"/>
  <c r="CC384" i="1"/>
  <c r="CA384" i="1"/>
  <c r="CG383" i="1"/>
  <c r="CF383" i="1"/>
  <c r="CD383" i="1"/>
  <c r="CC383" i="1"/>
  <c r="CA383" i="1"/>
  <c r="CG382" i="1"/>
  <c r="CF382" i="1"/>
  <c r="CD382" i="1"/>
  <c r="CC382" i="1"/>
  <c r="CA382" i="1"/>
  <c r="CG381" i="1"/>
  <c r="CF381" i="1"/>
  <c r="CD381" i="1"/>
  <c r="CC381" i="1"/>
  <c r="CA381" i="1"/>
  <c r="CG380" i="1"/>
  <c r="CF380" i="1"/>
  <c r="CD380" i="1"/>
  <c r="CC380" i="1"/>
  <c r="CA380" i="1"/>
  <c r="CG379" i="1"/>
  <c r="CF379" i="1"/>
  <c r="CD379" i="1"/>
  <c r="CC379" i="1"/>
  <c r="CA379" i="1"/>
  <c r="CG378" i="1"/>
  <c r="CF378" i="1"/>
  <c r="CD378" i="1"/>
  <c r="CC378" i="1"/>
  <c r="CA378" i="1"/>
  <c r="CG377" i="1"/>
  <c r="CF377" i="1"/>
  <c r="CD377" i="1"/>
  <c r="CC377" i="1"/>
  <c r="CA377" i="1"/>
  <c r="CG376" i="1"/>
  <c r="CF376" i="1"/>
  <c r="CD376" i="1"/>
  <c r="CC376" i="1"/>
  <c r="CA376" i="1"/>
  <c r="CG375" i="1"/>
  <c r="CF375" i="1"/>
  <c r="CD375" i="1"/>
  <c r="CC375" i="1"/>
  <c r="CA375" i="1"/>
  <c r="CG374" i="1"/>
  <c r="CF374" i="1"/>
  <c r="CD374" i="1"/>
  <c r="CC374" i="1"/>
  <c r="CA374" i="1"/>
  <c r="CG373" i="1"/>
  <c r="CF373" i="1"/>
  <c r="CD373" i="1"/>
  <c r="CC373" i="1"/>
  <c r="CA373" i="1"/>
  <c r="CG372" i="1"/>
  <c r="CF372" i="1"/>
  <c r="CD372" i="1"/>
  <c r="CC372" i="1"/>
  <c r="CA372" i="1"/>
  <c r="CG371" i="1"/>
  <c r="CF371" i="1"/>
  <c r="CD371" i="1"/>
  <c r="CC371" i="1"/>
  <c r="CA371" i="1"/>
  <c r="CG370" i="1"/>
  <c r="CF370" i="1"/>
  <c r="CD370" i="1"/>
  <c r="CC370" i="1"/>
  <c r="CA370" i="1"/>
  <c r="CG369" i="1"/>
  <c r="CF369" i="1"/>
  <c r="CD369" i="1"/>
  <c r="CC369" i="1"/>
  <c r="CA369" i="1"/>
  <c r="CG368" i="1"/>
  <c r="CF368" i="1"/>
  <c r="CD368" i="1"/>
  <c r="CC368" i="1"/>
  <c r="CA368" i="1"/>
  <c r="CG367" i="1"/>
  <c r="CF367" i="1"/>
  <c r="CD367" i="1"/>
  <c r="CC367" i="1"/>
  <c r="CA367" i="1"/>
  <c r="CG366" i="1"/>
  <c r="CF366" i="1"/>
  <c r="CD366" i="1"/>
  <c r="CC366" i="1"/>
  <c r="CA366" i="1"/>
  <c r="CG365" i="1"/>
  <c r="CF365" i="1"/>
  <c r="CD365" i="1"/>
  <c r="CC365" i="1"/>
  <c r="CA365" i="1"/>
  <c r="CG364" i="1"/>
  <c r="CF364" i="1"/>
  <c r="CD364" i="1"/>
  <c r="CC364" i="1"/>
  <c r="CA364" i="1"/>
  <c r="CG363" i="1"/>
  <c r="CF363" i="1"/>
  <c r="CD363" i="1"/>
  <c r="CC363" i="1"/>
  <c r="CA363" i="1"/>
  <c r="CG362" i="1"/>
  <c r="CF362" i="1"/>
  <c r="CD362" i="1"/>
  <c r="CC362" i="1"/>
  <c r="CA362" i="1"/>
  <c r="CG361" i="1"/>
  <c r="CF361" i="1"/>
  <c r="CD361" i="1"/>
  <c r="CC361" i="1"/>
  <c r="CA361" i="1"/>
  <c r="CG360" i="1"/>
  <c r="CF360" i="1"/>
  <c r="CD360" i="1"/>
  <c r="CC360" i="1"/>
  <c r="CA360" i="1"/>
  <c r="CG359" i="1"/>
  <c r="CF359" i="1"/>
  <c r="CD359" i="1"/>
  <c r="CC359" i="1"/>
  <c r="CA359" i="1"/>
  <c r="CG358" i="1"/>
  <c r="CF358" i="1"/>
  <c r="CD358" i="1"/>
  <c r="CC358" i="1"/>
  <c r="CA358" i="1"/>
  <c r="CG357" i="1"/>
  <c r="CF357" i="1"/>
  <c r="CD357" i="1"/>
  <c r="CC357" i="1"/>
  <c r="CA357" i="1"/>
  <c r="CG356" i="1"/>
  <c r="CF356" i="1"/>
  <c r="CD356" i="1"/>
  <c r="CC356" i="1"/>
  <c r="CA356" i="1"/>
  <c r="CG355" i="1"/>
  <c r="CF355" i="1"/>
  <c r="CD355" i="1"/>
  <c r="CC355" i="1"/>
  <c r="CA355" i="1"/>
  <c r="CG354" i="1"/>
  <c r="CF354" i="1"/>
  <c r="CD354" i="1"/>
  <c r="CC354" i="1"/>
  <c r="CA354" i="1"/>
  <c r="CG353" i="1"/>
  <c r="CF353" i="1"/>
  <c r="CD353" i="1"/>
  <c r="CC353" i="1"/>
  <c r="CA353" i="1"/>
  <c r="CG352" i="1"/>
  <c r="CF352" i="1"/>
  <c r="CD352" i="1"/>
  <c r="CC352" i="1"/>
  <c r="CA352" i="1"/>
  <c r="CG351" i="1"/>
  <c r="CF351" i="1"/>
  <c r="CD351" i="1"/>
  <c r="CC351" i="1"/>
  <c r="CA351" i="1"/>
  <c r="CG350" i="1"/>
  <c r="CF350" i="1"/>
  <c r="CD350" i="1"/>
  <c r="CC350" i="1"/>
  <c r="CA350" i="1"/>
  <c r="CG349" i="1"/>
  <c r="CF349" i="1"/>
  <c r="CD349" i="1"/>
  <c r="CC349" i="1"/>
  <c r="CA349" i="1"/>
  <c r="CG348" i="1"/>
  <c r="CF348" i="1"/>
  <c r="CD348" i="1"/>
  <c r="CC348" i="1"/>
  <c r="CA348" i="1"/>
  <c r="CG347" i="1"/>
  <c r="CF347" i="1"/>
  <c r="CD347" i="1"/>
  <c r="CC347" i="1"/>
  <c r="CA347" i="1"/>
  <c r="CG346" i="1"/>
  <c r="CF346" i="1"/>
  <c r="CD346" i="1"/>
  <c r="CC346" i="1"/>
  <c r="CA346" i="1"/>
  <c r="CG345" i="1"/>
  <c r="CF345" i="1"/>
  <c r="CD345" i="1"/>
  <c r="CC345" i="1"/>
  <c r="CA345" i="1"/>
  <c r="CG344" i="1"/>
  <c r="CF344" i="1"/>
  <c r="CD344" i="1"/>
  <c r="CC344" i="1"/>
  <c r="CA344" i="1"/>
  <c r="CG343" i="1"/>
  <c r="CF343" i="1"/>
  <c r="CD343" i="1"/>
  <c r="CC343" i="1"/>
  <c r="CA343" i="1"/>
  <c r="CG342" i="1"/>
  <c r="CF342" i="1"/>
  <c r="CD342" i="1"/>
  <c r="CC342" i="1"/>
  <c r="CA342" i="1"/>
  <c r="CG341" i="1"/>
  <c r="CF341" i="1"/>
  <c r="CD341" i="1"/>
  <c r="CC341" i="1"/>
  <c r="CA341" i="1"/>
  <c r="CG340" i="1"/>
  <c r="CF340" i="1"/>
  <c r="CD340" i="1"/>
  <c r="CC340" i="1"/>
  <c r="CA340" i="1"/>
  <c r="CG339" i="1"/>
  <c r="CF339" i="1"/>
  <c r="CD339" i="1"/>
  <c r="CC339" i="1"/>
  <c r="CA339" i="1"/>
  <c r="CG338" i="1"/>
  <c r="CF338" i="1"/>
  <c r="CD338" i="1"/>
  <c r="CC338" i="1"/>
  <c r="CA338" i="1"/>
  <c r="CG337" i="1"/>
  <c r="CF337" i="1"/>
  <c r="CD337" i="1"/>
  <c r="CC337" i="1"/>
  <c r="CA337" i="1"/>
  <c r="CG336" i="1"/>
  <c r="CF336" i="1"/>
  <c r="CD336" i="1"/>
  <c r="CC336" i="1"/>
  <c r="CA336" i="1"/>
  <c r="CG335" i="1"/>
  <c r="CF335" i="1"/>
  <c r="CD335" i="1"/>
  <c r="CC335" i="1"/>
  <c r="CA335" i="1"/>
  <c r="CG334" i="1"/>
  <c r="CF334" i="1"/>
  <c r="CD334" i="1"/>
  <c r="CC334" i="1"/>
  <c r="CA334" i="1"/>
  <c r="CG333" i="1"/>
  <c r="CF333" i="1"/>
  <c r="CD333" i="1"/>
  <c r="CC333" i="1"/>
  <c r="CA333" i="1"/>
  <c r="CG332" i="1"/>
  <c r="CF332" i="1"/>
  <c r="CD332" i="1"/>
  <c r="CC332" i="1"/>
  <c r="CA332" i="1"/>
  <c r="CG331" i="1"/>
  <c r="CF331" i="1"/>
  <c r="CD331" i="1"/>
  <c r="CC331" i="1"/>
  <c r="CA331" i="1"/>
  <c r="CG330" i="1"/>
  <c r="CF330" i="1"/>
  <c r="CD330" i="1"/>
  <c r="CC330" i="1"/>
  <c r="CA330" i="1"/>
  <c r="CG329" i="1"/>
  <c r="CF329" i="1"/>
  <c r="CD329" i="1"/>
  <c r="CC329" i="1"/>
  <c r="CA329" i="1"/>
  <c r="CG328" i="1"/>
  <c r="CF328" i="1"/>
  <c r="CD328" i="1"/>
  <c r="CC328" i="1"/>
  <c r="CA328" i="1"/>
  <c r="CG327" i="1"/>
  <c r="CF327" i="1"/>
  <c r="CD327" i="1"/>
  <c r="CC327" i="1"/>
  <c r="CA327" i="1"/>
  <c r="CG326" i="1"/>
  <c r="CF326" i="1"/>
  <c r="CD326" i="1"/>
  <c r="CC326" i="1"/>
  <c r="CA326" i="1"/>
  <c r="CG325" i="1"/>
  <c r="CF325" i="1"/>
  <c r="CD325" i="1"/>
  <c r="CC325" i="1"/>
  <c r="CA325" i="1"/>
  <c r="CG324" i="1"/>
  <c r="CF324" i="1"/>
  <c r="CD324" i="1"/>
  <c r="CC324" i="1"/>
  <c r="CA324" i="1"/>
  <c r="CG323" i="1"/>
  <c r="CF323" i="1"/>
  <c r="CD323" i="1"/>
  <c r="CC323" i="1"/>
  <c r="CA323" i="1"/>
  <c r="CG322" i="1"/>
  <c r="CF322" i="1"/>
  <c r="CD322" i="1"/>
  <c r="CC322" i="1"/>
  <c r="CA322" i="1"/>
  <c r="CG321" i="1"/>
  <c r="CF321" i="1"/>
  <c r="CD321" i="1"/>
  <c r="CC321" i="1"/>
  <c r="CA321" i="1"/>
  <c r="CG320" i="1"/>
  <c r="CF320" i="1"/>
  <c r="CD320" i="1"/>
  <c r="CC320" i="1"/>
  <c r="CA320" i="1"/>
  <c r="CG319" i="1"/>
  <c r="CF319" i="1"/>
  <c r="CD319" i="1"/>
  <c r="CC319" i="1"/>
  <c r="CA319" i="1"/>
  <c r="CG318" i="1"/>
  <c r="CF318" i="1"/>
  <c r="CD318" i="1"/>
  <c r="CC318" i="1"/>
  <c r="CA318" i="1"/>
  <c r="CG317" i="1"/>
  <c r="CF317" i="1"/>
  <c r="CD317" i="1"/>
  <c r="CC317" i="1"/>
  <c r="CA317" i="1"/>
  <c r="CG316" i="1"/>
  <c r="CF316" i="1"/>
  <c r="CD316" i="1"/>
  <c r="CC316" i="1"/>
  <c r="CA316" i="1"/>
  <c r="CG315" i="1"/>
  <c r="CF315" i="1"/>
  <c r="CD315" i="1"/>
  <c r="CC315" i="1"/>
  <c r="CA315" i="1"/>
  <c r="CG314" i="1"/>
  <c r="CF314" i="1"/>
  <c r="CD314" i="1"/>
  <c r="CC314" i="1"/>
  <c r="CA314" i="1"/>
  <c r="CG313" i="1"/>
  <c r="CF313" i="1"/>
  <c r="CD313" i="1"/>
  <c r="CC313" i="1"/>
  <c r="CA313" i="1"/>
  <c r="CG312" i="1"/>
  <c r="CF312" i="1"/>
  <c r="CD312" i="1"/>
  <c r="CC312" i="1"/>
  <c r="CA312" i="1"/>
  <c r="CG311" i="1"/>
  <c r="CF311" i="1"/>
  <c r="CD311" i="1"/>
  <c r="CC311" i="1"/>
  <c r="CA311" i="1"/>
  <c r="CG310" i="1"/>
  <c r="CF310" i="1"/>
  <c r="CD310" i="1"/>
  <c r="CC310" i="1"/>
  <c r="CA310" i="1"/>
  <c r="CG309" i="1"/>
  <c r="CF309" i="1"/>
  <c r="CD309" i="1"/>
  <c r="CC309" i="1"/>
  <c r="CA309" i="1"/>
  <c r="CG308" i="1"/>
  <c r="CF308" i="1"/>
  <c r="CD308" i="1"/>
  <c r="CC308" i="1"/>
  <c r="CA308" i="1"/>
  <c r="CG307" i="1"/>
  <c r="CF307" i="1"/>
  <c r="CD307" i="1"/>
  <c r="CC307" i="1"/>
  <c r="CA307" i="1"/>
  <c r="CG306" i="1"/>
  <c r="CF306" i="1"/>
  <c r="CD306" i="1"/>
  <c r="CC306" i="1"/>
  <c r="CA306" i="1"/>
  <c r="CG305" i="1"/>
  <c r="CF305" i="1"/>
  <c r="CD305" i="1"/>
  <c r="CC305" i="1"/>
  <c r="CA305" i="1"/>
  <c r="CG304" i="1"/>
  <c r="CF304" i="1"/>
  <c r="CD304" i="1"/>
  <c r="CC304" i="1"/>
  <c r="CA304" i="1"/>
  <c r="CG303" i="1"/>
  <c r="CF303" i="1"/>
  <c r="CD303" i="1"/>
  <c r="CC303" i="1"/>
  <c r="CA303" i="1"/>
  <c r="CG302" i="1"/>
  <c r="CF302" i="1"/>
  <c r="CD302" i="1"/>
  <c r="CC302" i="1"/>
  <c r="CA302" i="1"/>
  <c r="CG301" i="1"/>
  <c r="CF301" i="1"/>
  <c r="CD301" i="1"/>
  <c r="CC301" i="1"/>
  <c r="CA301" i="1"/>
  <c r="CG300" i="1"/>
  <c r="CF300" i="1"/>
  <c r="CD300" i="1"/>
  <c r="CC300" i="1"/>
  <c r="CA300" i="1"/>
  <c r="CG299" i="1"/>
  <c r="CF299" i="1"/>
  <c r="CD299" i="1"/>
  <c r="CC299" i="1"/>
  <c r="CA299" i="1"/>
  <c r="CG298" i="1"/>
  <c r="CF298" i="1"/>
  <c r="CD298" i="1"/>
  <c r="CC298" i="1"/>
  <c r="CA298" i="1"/>
  <c r="CG297" i="1"/>
  <c r="CF297" i="1"/>
  <c r="CD297" i="1"/>
  <c r="CC297" i="1"/>
  <c r="CA297" i="1"/>
  <c r="CG296" i="1"/>
  <c r="CF296" i="1"/>
  <c r="CD296" i="1"/>
  <c r="CC296" i="1"/>
  <c r="CA296" i="1"/>
  <c r="CG295" i="1"/>
  <c r="CF295" i="1"/>
  <c r="CD295" i="1"/>
  <c r="CC295" i="1"/>
  <c r="CA295" i="1"/>
  <c r="CG294" i="1"/>
  <c r="CF294" i="1"/>
  <c r="CD294" i="1"/>
  <c r="CC294" i="1"/>
  <c r="CA294" i="1"/>
  <c r="CG293" i="1"/>
  <c r="CF293" i="1"/>
  <c r="CD293" i="1"/>
  <c r="CC293" i="1"/>
  <c r="CA293" i="1"/>
  <c r="CG292" i="1"/>
  <c r="CF292" i="1"/>
  <c r="CD292" i="1"/>
  <c r="CC292" i="1"/>
  <c r="CA292" i="1"/>
  <c r="CG291" i="1"/>
  <c r="CF291" i="1"/>
  <c r="CD291" i="1"/>
  <c r="CC291" i="1"/>
  <c r="CA291" i="1"/>
  <c r="CG290" i="1"/>
  <c r="CF290" i="1"/>
  <c r="CD290" i="1"/>
  <c r="CC290" i="1"/>
  <c r="CA290" i="1"/>
  <c r="CG289" i="1"/>
  <c r="CF289" i="1"/>
  <c r="CD289" i="1"/>
  <c r="CC289" i="1"/>
  <c r="CA289" i="1"/>
  <c r="CG288" i="1"/>
  <c r="CF288" i="1"/>
  <c r="CD288" i="1"/>
  <c r="CC288" i="1"/>
  <c r="CA288" i="1"/>
  <c r="CG287" i="1"/>
  <c r="CF287" i="1"/>
  <c r="CD287" i="1"/>
  <c r="CC287" i="1"/>
  <c r="CA287" i="1"/>
  <c r="CG286" i="1"/>
  <c r="CF286" i="1"/>
  <c r="CD286" i="1"/>
  <c r="CC286" i="1"/>
  <c r="CA286" i="1"/>
  <c r="CG285" i="1"/>
  <c r="CF285" i="1"/>
  <c r="CD285" i="1"/>
  <c r="CC285" i="1"/>
  <c r="CA285" i="1"/>
  <c r="CG284" i="1"/>
  <c r="CF284" i="1"/>
  <c r="CD284" i="1"/>
  <c r="CC284" i="1"/>
  <c r="CA284" i="1"/>
  <c r="CG283" i="1"/>
  <c r="CF283" i="1"/>
  <c r="CD283" i="1"/>
  <c r="CC283" i="1"/>
  <c r="CA283" i="1"/>
  <c r="CG282" i="1"/>
  <c r="CF282" i="1"/>
  <c r="CD282" i="1"/>
  <c r="CC282" i="1"/>
  <c r="CA282" i="1"/>
  <c r="CG281" i="1"/>
  <c r="CF281" i="1"/>
  <c r="CD281" i="1"/>
  <c r="CC281" i="1"/>
  <c r="CA281" i="1"/>
  <c r="CG280" i="1"/>
  <c r="CF280" i="1"/>
  <c r="CD280" i="1"/>
  <c r="CC280" i="1"/>
  <c r="CA280" i="1"/>
  <c r="CG279" i="1"/>
  <c r="CF279" i="1"/>
  <c r="CD279" i="1"/>
  <c r="CC279" i="1"/>
  <c r="CA279" i="1"/>
  <c r="CG278" i="1"/>
  <c r="CF278" i="1"/>
  <c r="CD278" i="1"/>
  <c r="CC278" i="1"/>
  <c r="CA278" i="1"/>
  <c r="CG277" i="1"/>
  <c r="CF277" i="1"/>
  <c r="CD277" i="1"/>
  <c r="CC277" i="1"/>
  <c r="CA277" i="1"/>
  <c r="CG276" i="1"/>
  <c r="CF276" i="1"/>
  <c r="CD276" i="1"/>
  <c r="CC276" i="1"/>
  <c r="CA276" i="1"/>
  <c r="CG275" i="1"/>
  <c r="CF275" i="1"/>
  <c r="CD275" i="1"/>
  <c r="CC275" i="1"/>
  <c r="CA275" i="1"/>
  <c r="CG274" i="1"/>
  <c r="CF274" i="1"/>
  <c r="CD274" i="1"/>
  <c r="CC274" i="1"/>
  <c r="CA274" i="1"/>
  <c r="CG273" i="1"/>
  <c r="CF273" i="1"/>
  <c r="CD273" i="1"/>
  <c r="CC273" i="1"/>
  <c r="CA273" i="1"/>
  <c r="CG272" i="1"/>
  <c r="CF272" i="1"/>
  <c r="CD272" i="1"/>
  <c r="CC272" i="1"/>
  <c r="CA272" i="1"/>
  <c r="CG271" i="1"/>
  <c r="CF271" i="1"/>
  <c r="CD271" i="1"/>
  <c r="CC271" i="1"/>
  <c r="CA271" i="1"/>
  <c r="CG270" i="1"/>
  <c r="CF270" i="1"/>
  <c r="CD270" i="1"/>
  <c r="CC270" i="1"/>
  <c r="CA270" i="1"/>
  <c r="CG269" i="1"/>
  <c r="CF269" i="1"/>
  <c r="CD269" i="1"/>
  <c r="CC269" i="1"/>
  <c r="CA269" i="1"/>
  <c r="CG268" i="1"/>
  <c r="CF268" i="1"/>
  <c r="CD268" i="1"/>
  <c r="CC268" i="1"/>
  <c r="CA268" i="1"/>
  <c r="CG267" i="1"/>
  <c r="CF267" i="1"/>
  <c r="CD267" i="1"/>
  <c r="CC267" i="1"/>
  <c r="CA267" i="1"/>
  <c r="CG266" i="1"/>
  <c r="CF266" i="1"/>
  <c r="CD266" i="1"/>
  <c r="CC266" i="1"/>
  <c r="CA266" i="1"/>
  <c r="CG265" i="1"/>
  <c r="CF265" i="1"/>
  <c r="CD265" i="1"/>
  <c r="CC265" i="1"/>
  <c r="CA265" i="1"/>
  <c r="CG264" i="1"/>
  <c r="CF264" i="1"/>
  <c r="CD264" i="1"/>
  <c r="CC264" i="1"/>
  <c r="CA264" i="1"/>
  <c r="CG263" i="1"/>
  <c r="CF263" i="1"/>
  <c r="CD263" i="1"/>
  <c r="CC263" i="1"/>
  <c r="CA263" i="1"/>
  <c r="CG262" i="1"/>
  <c r="CF262" i="1"/>
  <c r="CD262" i="1"/>
  <c r="CC262" i="1"/>
  <c r="CA262" i="1"/>
  <c r="CG261" i="1"/>
  <c r="CF261" i="1"/>
  <c r="CD261" i="1"/>
  <c r="CC261" i="1"/>
  <c r="CA261" i="1"/>
  <c r="CG260" i="1"/>
  <c r="CF260" i="1"/>
  <c r="CD260" i="1"/>
  <c r="CC260" i="1"/>
  <c r="CA260" i="1"/>
  <c r="CG259" i="1"/>
  <c r="CF259" i="1"/>
  <c r="CD259" i="1"/>
  <c r="CC259" i="1"/>
  <c r="CA259" i="1"/>
  <c r="CG258" i="1"/>
  <c r="CF258" i="1"/>
  <c r="CD258" i="1"/>
  <c r="CC258" i="1"/>
  <c r="CA258" i="1"/>
  <c r="CG257" i="1"/>
  <c r="CF257" i="1"/>
  <c r="CD257" i="1"/>
  <c r="CC257" i="1"/>
  <c r="CA257" i="1"/>
  <c r="CG256" i="1"/>
  <c r="CF256" i="1"/>
  <c r="CD256" i="1"/>
  <c r="CC256" i="1"/>
  <c r="CA256" i="1"/>
  <c r="CG255" i="1"/>
  <c r="CF255" i="1"/>
  <c r="CD255" i="1"/>
  <c r="CC255" i="1"/>
  <c r="CA255" i="1"/>
  <c r="CG254" i="1"/>
  <c r="CF254" i="1"/>
  <c r="CD254" i="1"/>
  <c r="CC254" i="1"/>
  <c r="CA254" i="1"/>
  <c r="CG253" i="1"/>
  <c r="CF253" i="1"/>
  <c r="CD253" i="1"/>
  <c r="CC253" i="1"/>
  <c r="CA253" i="1"/>
  <c r="CG252" i="1"/>
  <c r="CF252" i="1"/>
  <c r="CD252" i="1"/>
  <c r="CC252" i="1"/>
  <c r="CA252" i="1"/>
  <c r="CG251" i="1"/>
  <c r="CF251" i="1"/>
  <c r="CD251" i="1"/>
  <c r="CC251" i="1"/>
  <c r="CA251" i="1"/>
  <c r="CG250" i="1"/>
  <c r="CF250" i="1"/>
  <c r="CD250" i="1"/>
  <c r="CC250" i="1"/>
  <c r="CA250" i="1"/>
  <c r="CG249" i="1"/>
  <c r="CF249" i="1"/>
  <c r="CD249" i="1"/>
  <c r="CC249" i="1"/>
  <c r="CA249" i="1"/>
  <c r="CG248" i="1"/>
  <c r="CF248" i="1"/>
  <c r="CD248" i="1"/>
  <c r="CC248" i="1"/>
  <c r="CA248" i="1"/>
  <c r="CG247" i="1"/>
  <c r="CF247" i="1"/>
  <c r="CD247" i="1"/>
  <c r="CC247" i="1"/>
  <c r="CA247" i="1"/>
  <c r="CG246" i="1"/>
  <c r="CF246" i="1"/>
  <c r="CD246" i="1"/>
  <c r="CC246" i="1"/>
  <c r="CA246" i="1"/>
  <c r="CG245" i="1"/>
  <c r="CF245" i="1"/>
  <c r="CD245" i="1"/>
  <c r="CC245" i="1"/>
  <c r="CA245" i="1"/>
  <c r="CG244" i="1"/>
  <c r="CF244" i="1"/>
  <c r="CD244" i="1"/>
  <c r="CC244" i="1"/>
  <c r="CA244" i="1"/>
  <c r="CG243" i="1"/>
  <c r="CF243" i="1"/>
  <c r="CD243" i="1"/>
  <c r="CC243" i="1"/>
  <c r="CA243" i="1"/>
  <c r="CG242" i="1"/>
  <c r="CF242" i="1"/>
  <c r="CD242" i="1"/>
  <c r="CC242" i="1"/>
  <c r="CA242" i="1"/>
  <c r="CG241" i="1"/>
  <c r="CF241" i="1"/>
  <c r="CD241" i="1"/>
  <c r="CC241" i="1"/>
  <c r="CA241" i="1"/>
  <c r="CG240" i="1"/>
  <c r="CF240" i="1"/>
  <c r="CD240" i="1"/>
  <c r="CC240" i="1"/>
  <c r="CA240" i="1"/>
  <c r="CG239" i="1"/>
  <c r="CF239" i="1"/>
  <c r="CD239" i="1"/>
  <c r="CC239" i="1"/>
  <c r="CA239" i="1"/>
  <c r="CG238" i="1"/>
  <c r="CF238" i="1"/>
  <c r="CD238" i="1"/>
  <c r="CC238" i="1"/>
  <c r="CA238" i="1"/>
  <c r="CG237" i="1"/>
  <c r="CF237" i="1"/>
  <c r="CD237" i="1"/>
  <c r="CC237" i="1"/>
  <c r="CA237" i="1"/>
  <c r="CG236" i="1"/>
  <c r="CF236" i="1"/>
  <c r="CD236" i="1"/>
  <c r="CC236" i="1"/>
  <c r="CA236" i="1"/>
  <c r="CG235" i="1"/>
  <c r="CF235" i="1"/>
  <c r="CD235" i="1"/>
  <c r="CC235" i="1"/>
  <c r="CA235" i="1"/>
  <c r="CG234" i="1"/>
  <c r="CF234" i="1"/>
  <c r="CD234" i="1"/>
  <c r="CC234" i="1"/>
  <c r="CA234" i="1"/>
  <c r="CG233" i="1"/>
  <c r="CF233" i="1"/>
  <c r="CD233" i="1"/>
  <c r="CC233" i="1"/>
  <c r="CA233" i="1"/>
  <c r="CG232" i="1"/>
  <c r="CF232" i="1"/>
  <c r="CD232" i="1"/>
  <c r="CC232" i="1"/>
  <c r="CA232" i="1"/>
  <c r="CG231" i="1"/>
  <c r="CF231" i="1"/>
  <c r="CD231" i="1"/>
  <c r="CC231" i="1"/>
  <c r="CA231" i="1"/>
  <c r="CG230" i="1"/>
  <c r="CF230" i="1"/>
  <c r="CD230" i="1"/>
  <c r="CC230" i="1"/>
  <c r="CA230" i="1"/>
  <c r="CG229" i="1"/>
  <c r="CF229" i="1"/>
  <c r="CD229" i="1"/>
  <c r="CC229" i="1"/>
  <c r="CA229" i="1"/>
  <c r="CG228" i="1"/>
  <c r="CF228" i="1"/>
  <c r="CD228" i="1"/>
  <c r="CC228" i="1"/>
  <c r="CA228" i="1"/>
  <c r="CG227" i="1"/>
  <c r="CF227" i="1"/>
  <c r="CD227" i="1"/>
  <c r="CC227" i="1"/>
  <c r="CA227" i="1"/>
  <c r="CG226" i="1"/>
  <c r="CF226" i="1"/>
  <c r="CD226" i="1"/>
  <c r="CC226" i="1"/>
  <c r="CA226" i="1"/>
  <c r="CG225" i="1"/>
  <c r="CF225" i="1"/>
  <c r="CD225" i="1"/>
  <c r="CC225" i="1"/>
  <c r="CA225" i="1"/>
  <c r="CG224" i="1"/>
  <c r="CF224" i="1"/>
  <c r="CD224" i="1"/>
  <c r="CC224" i="1"/>
  <c r="CA224" i="1"/>
  <c r="CG223" i="1"/>
  <c r="CF223" i="1"/>
  <c r="CD223" i="1"/>
  <c r="CC223" i="1"/>
  <c r="CA223" i="1"/>
  <c r="CG222" i="1"/>
  <c r="CF222" i="1"/>
  <c r="CD222" i="1"/>
  <c r="CC222" i="1"/>
  <c r="CA222" i="1"/>
  <c r="CG221" i="1"/>
  <c r="CF221" i="1"/>
  <c r="CD221" i="1"/>
  <c r="CC221" i="1"/>
  <c r="CA221" i="1"/>
  <c r="CG220" i="1"/>
  <c r="CF220" i="1"/>
  <c r="CD220" i="1"/>
  <c r="CC220" i="1"/>
  <c r="CA220" i="1"/>
  <c r="CG219" i="1"/>
  <c r="CF219" i="1"/>
  <c r="CD219" i="1"/>
  <c r="CC219" i="1"/>
  <c r="CA219" i="1"/>
  <c r="CG218" i="1"/>
  <c r="CF218" i="1"/>
  <c r="CD218" i="1"/>
  <c r="CC218" i="1"/>
  <c r="CA218" i="1"/>
  <c r="CG217" i="1"/>
  <c r="CF217" i="1"/>
  <c r="CD217" i="1"/>
  <c r="CC217" i="1"/>
  <c r="CA217" i="1"/>
  <c r="CG216" i="1"/>
  <c r="CF216" i="1"/>
  <c r="CD216" i="1"/>
  <c r="CC216" i="1"/>
  <c r="CA216" i="1"/>
  <c r="CG215" i="1"/>
  <c r="CF215" i="1"/>
  <c r="CD215" i="1"/>
  <c r="CC215" i="1"/>
  <c r="CA215" i="1"/>
  <c r="CG214" i="1"/>
  <c r="CF214" i="1"/>
  <c r="CD214" i="1"/>
  <c r="CC214" i="1"/>
  <c r="CA214" i="1"/>
  <c r="CG213" i="1"/>
  <c r="CF213" i="1"/>
  <c r="CD213" i="1"/>
  <c r="CC213" i="1"/>
  <c r="CA213" i="1"/>
  <c r="CG212" i="1"/>
  <c r="CF212" i="1"/>
  <c r="CD212" i="1"/>
  <c r="CC212" i="1"/>
  <c r="CA212" i="1"/>
  <c r="CG211" i="1"/>
  <c r="CF211" i="1"/>
  <c r="CD211" i="1"/>
  <c r="CC211" i="1"/>
  <c r="CA211" i="1"/>
  <c r="CG210" i="1"/>
  <c r="CF210" i="1"/>
  <c r="CD210" i="1"/>
  <c r="CC210" i="1"/>
  <c r="CA210" i="1"/>
  <c r="CG209" i="1"/>
  <c r="CF209" i="1"/>
  <c r="CD209" i="1"/>
  <c r="CC209" i="1"/>
  <c r="CA209" i="1"/>
  <c r="CG208" i="1"/>
  <c r="CF208" i="1"/>
  <c r="CD208" i="1"/>
  <c r="CC208" i="1"/>
  <c r="CA208" i="1"/>
  <c r="CG207" i="1"/>
  <c r="CF207" i="1"/>
  <c r="CD207" i="1"/>
  <c r="CC207" i="1"/>
  <c r="CA207" i="1"/>
  <c r="CG206" i="1"/>
  <c r="CF206" i="1"/>
  <c r="CD206" i="1"/>
  <c r="CC206" i="1"/>
  <c r="CA206" i="1"/>
  <c r="CG205" i="1"/>
  <c r="CF205" i="1"/>
  <c r="CD205" i="1"/>
  <c r="CC205" i="1"/>
  <c r="CA205" i="1"/>
  <c r="CG204" i="1"/>
  <c r="CF204" i="1"/>
  <c r="CD204" i="1"/>
  <c r="CC204" i="1"/>
  <c r="CA204" i="1"/>
  <c r="CG203" i="1"/>
  <c r="CF203" i="1"/>
  <c r="CD203" i="1"/>
  <c r="CC203" i="1"/>
  <c r="CA203" i="1"/>
  <c r="CG202" i="1"/>
  <c r="CF202" i="1"/>
  <c r="CD202" i="1"/>
  <c r="CC202" i="1"/>
  <c r="CA202" i="1"/>
  <c r="CG201" i="1"/>
  <c r="CF201" i="1"/>
  <c r="CD201" i="1"/>
  <c r="CC201" i="1"/>
  <c r="CA201" i="1"/>
  <c r="CG200" i="1"/>
  <c r="CF200" i="1"/>
  <c r="CD200" i="1"/>
  <c r="CC200" i="1"/>
  <c r="CA200" i="1"/>
  <c r="CG199" i="1"/>
  <c r="CF199" i="1"/>
  <c r="CD199" i="1"/>
  <c r="CC199" i="1"/>
  <c r="CA199" i="1"/>
  <c r="CG198" i="1"/>
  <c r="CF198" i="1"/>
  <c r="CD198" i="1"/>
  <c r="CC198" i="1"/>
  <c r="CA198" i="1"/>
  <c r="CG197" i="1"/>
  <c r="CF197" i="1"/>
  <c r="CD197" i="1"/>
  <c r="CC197" i="1"/>
  <c r="CA197" i="1"/>
  <c r="CG196" i="1"/>
  <c r="CF196" i="1"/>
  <c r="CD196" i="1"/>
  <c r="CC196" i="1"/>
  <c r="CA196" i="1"/>
  <c r="CG195" i="1"/>
  <c r="CF195" i="1"/>
  <c r="CD195" i="1"/>
  <c r="CC195" i="1"/>
  <c r="CA195" i="1"/>
  <c r="CG194" i="1"/>
  <c r="CF194" i="1"/>
  <c r="CD194" i="1"/>
  <c r="CC194" i="1"/>
  <c r="CA194" i="1"/>
  <c r="CG193" i="1"/>
  <c r="CF193" i="1"/>
  <c r="CD193" i="1"/>
  <c r="CC193" i="1"/>
  <c r="CA193" i="1"/>
  <c r="CG192" i="1"/>
  <c r="CF192" i="1"/>
  <c r="CD192" i="1"/>
  <c r="CC192" i="1"/>
  <c r="CA192" i="1"/>
  <c r="CG191" i="1"/>
  <c r="CF191" i="1"/>
  <c r="CD191" i="1"/>
  <c r="CC191" i="1"/>
  <c r="CA191" i="1"/>
  <c r="CG190" i="1"/>
  <c r="CF190" i="1"/>
  <c r="CD190" i="1"/>
  <c r="CC190" i="1"/>
  <c r="CA190" i="1"/>
  <c r="CG189" i="1"/>
  <c r="CF189" i="1"/>
  <c r="CD189" i="1"/>
  <c r="CC189" i="1"/>
  <c r="CA189" i="1"/>
  <c r="CG188" i="1"/>
  <c r="CF188" i="1"/>
  <c r="CD188" i="1"/>
  <c r="CC188" i="1"/>
  <c r="CA188" i="1"/>
  <c r="CG187" i="1"/>
  <c r="CF187" i="1"/>
  <c r="CD187" i="1"/>
  <c r="CC187" i="1"/>
  <c r="CA187" i="1"/>
  <c r="CG186" i="1"/>
  <c r="CF186" i="1"/>
  <c r="CD186" i="1"/>
  <c r="CC186" i="1"/>
  <c r="CA186" i="1"/>
  <c r="CG185" i="1"/>
  <c r="CF185" i="1"/>
  <c r="CD185" i="1"/>
  <c r="CC185" i="1"/>
  <c r="CA185" i="1"/>
  <c r="CG184" i="1"/>
  <c r="CF184" i="1"/>
  <c r="CD184" i="1"/>
  <c r="CC184" i="1"/>
  <c r="CA184" i="1"/>
  <c r="CG183" i="1"/>
  <c r="CF183" i="1"/>
  <c r="CD183" i="1"/>
  <c r="CC183" i="1"/>
  <c r="CA183" i="1"/>
  <c r="CG182" i="1"/>
  <c r="CF182" i="1"/>
  <c r="CD182" i="1"/>
  <c r="CC182" i="1"/>
  <c r="CA182" i="1"/>
  <c r="CG181" i="1"/>
  <c r="CF181" i="1"/>
  <c r="CD181" i="1"/>
  <c r="CC181" i="1"/>
  <c r="CA181" i="1"/>
  <c r="CG180" i="1"/>
  <c r="CF180" i="1"/>
  <c r="CD180" i="1"/>
  <c r="CC180" i="1"/>
  <c r="CA180" i="1"/>
  <c r="CG179" i="1"/>
  <c r="CF179" i="1"/>
  <c r="CD179" i="1"/>
  <c r="CC179" i="1"/>
  <c r="CA179" i="1"/>
  <c r="CG178" i="1"/>
  <c r="CF178" i="1"/>
  <c r="CD178" i="1"/>
  <c r="CC178" i="1"/>
  <c r="CA178" i="1"/>
  <c r="CG177" i="1"/>
  <c r="CF177" i="1"/>
  <c r="CD177" i="1"/>
  <c r="CC177" i="1"/>
  <c r="CA177" i="1"/>
  <c r="CG176" i="1"/>
  <c r="CF176" i="1"/>
  <c r="CD176" i="1"/>
  <c r="CC176" i="1"/>
  <c r="CA176" i="1"/>
  <c r="CG175" i="1"/>
  <c r="CF175" i="1"/>
  <c r="CD175" i="1"/>
  <c r="CC175" i="1"/>
  <c r="CA175" i="1"/>
  <c r="CG174" i="1"/>
  <c r="CF174" i="1"/>
  <c r="CD174" i="1"/>
  <c r="CC174" i="1"/>
  <c r="CA174" i="1"/>
  <c r="CG173" i="1"/>
  <c r="CF173" i="1"/>
  <c r="CD173" i="1"/>
  <c r="CC173" i="1"/>
  <c r="CA173" i="1"/>
  <c r="CG172" i="1"/>
  <c r="CF172" i="1"/>
  <c r="CD172" i="1"/>
  <c r="CC172" i="1"/>
  <c r="CA172" i="1"/>
  <c r="CG171" i="1"/>
  <c r="CF171" i="1"/>
  <c r="CD171" i="1"/>
  <c r="CC171" i="1"/>
  <c r="CA171" i="1"/>
  <c r="CG170" i="1"/>
  <c r="CF170" i="1"/>
  <c r="CD170" i="1"/>
  <c r="CC170" i="1"/>
  <c r="CA170" i="1"/>
  <c r="CG169" i="1"/>
  <c r="CF169" i="1"/>
  <c r="CD169" i="1"/>
  <c r="CC169" i="1"/>
  <c r="CA169" i="1"/>
  <c r="CG168" i="1"/>
  <c r="CF168" i="1"/>
  <c r="CD168" i="1"/>
  <c r="CC168" i="1"/>
  <c r="CA168" i="1"/>
  <c r="CG167" i="1"/>
  <c r="CF167" i="1"/>
  <c r="CD167" i="1"/>
  <c r="CC167" i="1"/>
  <c r="CA167" i="1"/>
  <c r="CG166" i="1"/>
  <c r="CF166" i="1"/>
  <c r="CD166" i="1"/>
  <c r="CC166" i="1"/>
  <c r="CA166" i="1"/>
  <c r="CG165" i="1"/>
  <c r="CF165" i="1"/>
  <c r="CD165" i="1"/>
  <c r="CC165" i="1"/>
  <c r="CA165" i="1"/>
  <c r="CG164" i="1"/>
  <c r="CF164" i="1"/>
  <c r="CD164" i="1"/>
  <c r="CC164" i="1"/>
  <c r="CA164" i="1"/>
  <c r="CG163" i="1"/>
  <c r="CF163" i="1"/>
  <c r="CD163" i="1"/>
  <c r="CC163" i="1"/>
  <c r="CA163" i="1"/>
  <c r="CG162" i="1"/>
  <c r="CF162" i="1"/>
  <c r="CD162" i="1"/>
  <c r="CC162" i="1"/>
  <c r="CA162" i="1"/>
  <c r="CG161" i="1"/>
  <c r="CF161" i="1"/>
  <c r="CD161" i="1"/>
  <c r="CC161" i="1"/>
  <c r="CA161" i="1"/>
  <c r="CG160" i="1"/>
  <c r="CF160" i="1"/>
  <c r="CD160" i="1"/>
  <c r="CC160" i="1"/>
  <c r="CA160" i="1"/>
  <c r="CG159" i="1"/>
  <c r="CF159" i="1"/>
  <c r="CD159" i="1"/>
  <c r="CC159" i="1"/>
  <c r="CA159" i="1"/>
  <c r="CG158" i="1"/>
  <c r="CF158" i="1"/>
  <c r="CD158" i="1"/>
  <c r="CC158" i="1"/>
  <c r="CA158" i="1"/>
  <c r="CG157" i="1"/>
  <c r="CF157" i="1"/>
  <c r="CD157" i="1"/>
  <c r="CC157" i="1"/>
  <c r="CA157" i="1"/>
  <c r="CG156" i="1"/>
  <c r="CF156" i="1"/>
  <c r="CD156" i="1"/>
  <c r="CC156" i="1"/>
  <c r="CA156" i="1"/>
  <c r="CG155" i="1"/>
  <c r="CF155" i="1"/>
  <c r="CD155" i="1"/>
  <c r="CC155" i="1"/>
  <c r="CA155" i="1"/>
  <c r="CG154" i="1"/>
  <c r="CF154" i="1"/>
  <c r="CD154" i="1"/>
  <c r="CC154" i="1"/>
  <c r="CA154" i="1"/>
  <c r="CG153" i="1"/>
  <c r="CF153" i="1"/>
  <c r="CD153" i="1"/>
  <c r="CC153" i="1"/>
  <c r="CA153" i="1"/>
  <c r="CG152" i="1"/>
  <c r="CF152" i="1"/>
  <c r="CD152" i="1"/>
  <c r="CC152" i="1"/>
  <c r="CA152" i="1"/>
  <c r="CG151" i="1"/>
  <c r="CF151" i="1"/>
  <c r="CD151" i="1"/>
  <c r="CC151" i="1"/>
  <c r="CA151" i="1"/>
  <c r="CG150" i="1"/>
  <c r="CF150" i="1"/>
  <c r="CD150" i="1"/>
  <c r="CC150" i="1"/>
  <c r="CA150" i="1"/>
  <c r="CG149" i="1"/>
  <c r="CF149" i="1"/>
  <c r="CD149" i="1"/>
  <c r="CC149" i="1"/>
  <c r="CA149" i="1"/>
  <c r="CG148" i="1"/>
  <c r="CF148" i="1"/>
  <c r="CD148" i="1"/>
  <c r="CC148" i="1"/>
  <c r="CA148" i="1"/>
  <c r="CG147" i="1"/>
  <c r="CF147" i="1"/>
  <c r="CD147" i="1"/>
  <c r="CC147" i="1"/>
  <c r="CA147" i="1"/>
  <c r="CG146" i="1"/>
  <c r="CF146" i="1"/>
  <c r="CD146" i="1"/>
  <c r="CC146" i="1"/>
  <c r="CA146" i="1"/>
  <c r="CG145" i="1"/>
  <c r="CF145" i="1"/>
  <c r="CD145" i="1"/>
  <c r="CC145" i="1"/>
  <c r="CA145" i="1"/>
  <c r="CG144" i="1"/>
  <c r="CF144" i="1"/>
  <c r="CD144" i="1"/>
  <c r="CC144" i="1"/>
  <c r="CA144" i="1"/>
  <c r="CG143" i="1"/>
  <c r="CF143" i="1"/>
  <c r="CD143" i="1"/>
  <c r="CC143" i="1"/>
  <c r="CA143" i="1"/>
  <c r="CG142" i="1"/>
  <c r="CF142" i="1"/>
  <c r="CD142" i="1"/>
  <c r="CC142" i="1"/>
  <c r="CA142" i="1"/>
  <c r="CG141" i="1"/>
  <c r="CF141" i="1"/>
  <c r="CD141" i="1"/>
  <c r="CC141" i="1"/>
  <c r="CA141" i="1"/>
  <c r="CG140" i="1"/>
  <c r="CF140" i="1"/>
  <c r="CD140" i="1"/>
  <c r="CC140" i="1"/>
  <c r="CA140" i="1"/>
  <c r="CG139" i="1"/>
  <c r="CF139" i="1"/>
  <c r="CD139" i="1"/>
  <c r="CC139" i="1"/>
  <c r="CA139" i="1"/>
  <c r="CG138" i="1"/>
  <c r="CF138" i="1"/>
  <c r="CD138" i="1"/>
  <c r="CC138" i="1"/>
  <c r="CA138" i="1"/>
  <c r="CG137" i="1"/>
  <c r="CF137" i="1"/>
  <c r="CD137" i="1"/>
  <c r="CC137" i="1"/>
  <c r="CA137" i="1"/>
  <c r="CG136" i="1"/>
  <c r="CF136" i="1"/>
  <c r="CD136" i="1"/>
  <c r="CC136" i="1"/>
  <c r="CA136" i="1"/>
  <c r="CG135" i="1"/>
  <c r="CF135" i="1"/>
  <c r="CD135" i="1"/>
  <c r="CC135" i="1"/>
  <c r="CA135" i="1"/>
  <c r="CG134" i="1"/>
  <c r="CF134" i="1"/>
  <c r="CD134" i="1"/>
  <c r="CC134" i="1"/>
  <c r="CA134" i="1"/>
  <c r="CG133" i="1"/>
  <c r="CF133" i="1"/>
  <c r="CD133" i="1"/>
  <c r="CC133" i="1"/>
  <c r="CA133" i="1"/>
  <c r="CG132" i="1"/>
  <c r="CF132" i="1"/>
  <c r="CD132" i="1"/>
  <c r="CC132" i="1"/>
  <c r="CA132" i="1"/>
  <c r="CG131" i="1"/>
  <c r="CF131" i="1"/>
  <c r="CD131" i="1"/>
  <c r="CC131" i="1"/>
  <c r="CA131" i="1"/>
  <c r="CG130" i="1"/>
  <c r="CF130" i="1"/>
  <c r="CD130" i="1"/>
  <c r="CC130" i="1"/>
  <c r="CA130" i="1"/>
  <c r="CG129" i="1"/>
  <c r="CF129" i="1"/>
  <c r="CD129" i="1"/>
  <c r="CC129" i="1"/>
  <c r="CA129" i="1"/>
  <c r="CG128" i="1"/>
  <c r="CF128" i="1"/>
  <c r="CD128" i="1"/>
  <c r="CC128" i="1"/>
  <c r="CA128" i="1"/>
  <c r="CG127" i="1"/>
  <c r="CF127" i="1"/>
  <c r="CD127" i="1"/>
  <c r="CC127" i="1"/>
  <c r="CA127" i="1"/>
  <c r="CG126" i="1"/>
  <c r="CF126" i="1"/>
  <c r="CD126" i="1"/>
  <c r="CC126" i="1"/>
  <c r="CA126" i="1"/>
  <c r="CG125" i="1"/>
  <c r="CF125" i="1"/>
  <c r="CD125" i="1"/>
  <c r="CC125" i="1"/>
  <c r="CA125" i="1"/>
  <c r="CG124" i="1"/>
  <c r="CF124" i="1"/>
  <c r="CD124" i="1"/>
  <c r="CC124" i="1"/>
  <c r="CA124" i="1"/>
  <c r="CG123" i="1"/>
  <c r="CF123" i="1"/>
  <c r="CD123" i="1"/>
  <c r="CC123" i="1"/>
  <c r="CA123" i="1"/>
  <c r="CG122" i="1"/>
  <c r="CF122" i="1"/>
  <c r="CD122" i="1"/>
  <c r="CC122" i="1"/>
  <c r="CA122" i="1"/>
  <c r="CG121" i="1"/>
  <c r="CF121" i="1"/>
  <c r="CD121" i="1"/>
  <c r="CC121" i="1"/>
  <c r="CA121" i="1"/>
  <c r="CG120" i="1"/>
  <c r="CF120" i="1"/>
  <c r="CD120" i="1"/>
  <c r="CC120" i="1"/>
  <c r="CA120" i="1"/>
  <c r="CG119" i="1"/>
  <c r="CF119" i="1"/>
  <c r="CD119" i="1"/>
  <c r="CC119" i="1"/>
  <c r="CA119" i="1"/>
  <c r="CG118" i="1"/>
  <c r="CF118" i="1"/>
  <c r="CD118" i="1"/>
  <c r="CC118" i="1"/>
  <c r="CA118" i="1"/>
  <c r="CG117" i="1"/>
  <c r="CF117" i="1"/>
  <c r="CD117" i="1"/>
  <c r="CC117" i="1"/>
  <c r="CA117" i="1"/>
  <c r="CG116" i="1"/>
  <c r="CF116" i="1"/>
  <c r="CD116" i="1"/>
  <c r="CC116" i="1"/>
  <c r="CA116" i="1"/>
  <c r="CG115" i="1"/>
  <c r="CF115" i="1"/>
  <c r="CD115" i="1"/>
  <c r="CC115" i="1"/>
  <c r="CA115" i="1"/>
  <c r="CG114" i="1"/>
  <c r="CF114" i="1"/>
  <c r="CD114" i="1"/>
  <c r="CC114" i="1"/>
  <c r="CA114" i="1"/>
  <c r="CG113" i="1"/>
  <c r="CF113" i="1"/>
  <c r="CD113" i="1"/>
  <c r="CC113" i="1"/>
  <c r="CA113" i="1"/>
  <c r="CG112" i="1"/>
  <c r="CF112" i="1"/>
  <c r="CD112" i="1"/>
  <c r="CC112" i="1"/>
  <c r="CA112" i="1"/>
  <c r="CG111" i="1"/>
  <c r="CF111" i="1"/>
  <c r="CD111" i="1"/>
  <c r="CC111" i="1"/>
  <c r="CA111" i="1"/>
  <c r="CG110" i="1"/>
  <c r="CF110" i="1"/>
  <c r="CD110" i="1"/>
  <c r="CC110" i="1"/>
  <c r="CA110" i="1"/>
  <c r="CG109" i="1"/>
  <c r="CF109" i="1"/>
  <c r="CD109" i="1"/>
  <c r="CC109" i="1"/>
  <c r="CA109" i="1"/>
  <c r="CG108" i="1"/>
  <c r="CF108" i="1"/>
  <c r="CD108" i="1"/>
  <c r="CC108" i="1"/>
  <c r="CA108" i="1"/>
  <c r="CG107" i="1"/>
  <c r="CF107" i="1"/>
  <c r="CD107" i="1"/>
  <c r="CC107" i="1"/>
  <c r="CA107" i="1"/>
  <c r="CG106" i="1"/>
  <c r="CF106" i="1"/>
  <c r="CD106" i="1"/>
  <c r="CC106" i="1"/>
  <c r="CA106" i="1"/>
  <c r="CG105" i="1"/>
  <c r="CF105" i="1"/>
  <c r="CD105" i="1"/>
  <c r="CC105" i="1"/>
  <c r="CA105" i="1"/>
  <c r="CG104" i="1"/>
  <c r="CF104" i="1"/>
  <c r="CD104" i="1"/>
  <c r="CC104" i="1"/>
  <c r="CA104" i="1"/>
  <c r="CG103" i="1"/>
  <c r="CF103" i="1"/>
  <c r="CD103" i="1"/>
  <c r="CC103" i="1"/>
  <c r="CA103" i="1"/>
  <c r="CG102" i="1"/>
  <c r="CF102" i="1"/>
  <c r="CD102" i="1"/>
  <c r="CC102" i="1"/>
  <c r="CA102" i="1"/>
  <c r="CG101" i="1"/>
  <c r="CF101" i="1"/>
  <c r="CD101" i="1"/>
  <c r="CC101" i="1"/>
  <c r="CA101" i="1"/>
  <c r="CG100" i="1"/>
  <c r="CF100" i="1"/>
  <c r="CD100" i="1"/>
  <c r="CC100" i="1"/>
  <c r="CA100" i="1"/>
  <c r="CG99" i="1"/>
  <c r="CF99" i="1"/>
  <c r="CD99" i="1"/>
  <c r="CC99" i="1"/>
  <c r="CA99" i="1"/>
  <c r="CG98" i="1"/>
  <c r="CF98" i="1"/>
  <c r="CD98" i="1"/>
  <c r="CC98" i="1"/>
  <c r="CA98" i="1"/>
  <c r="CG97" i="1"/>
  <c r="CF97" i="1"/>
  <c r="CD97" i="1"/>
  <c r="CC97" i="1"/>
  <c r="CA97" i="1"/>
  <c r="CG96" i="1"/>
  <c r="CF96" i="1"/>
  <c r="CD96" i="1"/>
  <c r="CC96" i="1"/>
  <c r="CA96" i="1"/>
  <c r="CG95" i="1"/>
  <c r="CF95" i="1"/>
  <c r="CD95" i="1"/>
  <c r="CC95" i="1"/>
  <c r="CA95" i="1"/>
  <c r="CG94" i="1"/>
  <c r="CF94" i="1"/>
  <c r="CD94" i="1"/>
  <c r="CC94" i="1"/>
  <c r="CA94" i="1"/>
  <c r="CG93" i="1"/>
  <c r="CF93" i="1"/>
  <c r="CD93" i="1"/>
  <c r="CC93" i="1"/>
  <c r="CA93" i="1"/>
  <c r="CG92" i="1"/>
  <c r="CF92" i="1"/>
  <c r="CD92" i="1"/>
  <c r="CC92" i="1"/>
  <c r="CA92" i="1"/>
  <c r="CG91" i="1"/>
  <c r="CF91" i="1"/>
  <c r="CD91" i="1"/>
  <c r="CC91" i="1"/>
  <c r="CA91" i="1"/>
  <c r="CG90" i="1"/>
  <c r="CF90" i="1"/>
  <c r="CD90" i="1"/>
  <c r="CC90" i="1"/>
  <c r="CA90" i="1"/>
  <c r="CG89" i="1"/>
  <c r="CF89" i="1"/>
  <c r="CD89" i="1"/>
  <c r="CC89" i="1"/>
  <c r="CA89" i="1"/>
  <c r="CG88" i="1"/>
  <c r="CF88" i="1"/>
  <c r="CD88" i="1"/>
  <c r="CC88" i="1"/>
  <c r="CA88" i="1"/>
  <c r="CG87" i="1"/>
  <c r="CF87" i="1"/>
  <c r="CD87" i="1"/>
  <c r="CC87" i="1"/>
  <c r="CA87" i="1"/>
  <c r="CG86" i="1"/>
  <c r="CF86" i="1"/>
  <c r="CD86" i="1"/>
  <c r="CC86" i="1"/>
  <c r="CA86" i="1"/>
  <c r="CG85" i="1"/>
  <c r="CF85" i="1"/>
  <c r="CD85" i="1"/>
  <c r="CC85" i="1"/>
  <c r="CA85" i="1"/>
  <c r="CG84" i="1"/>
  <c r="CF84" i="1"/>
  <c r="CD84" i="1"/>
  <c r="CC84" i="1"/>
  <c r="CA84" i="1"/>
  <c r="CG83" i="1"/>
  <c r="CF83" i="1"/>
  <c r="CD83" i="1"/>
  <c r="CC83" i="1"/>
  <c r="CA83" i="1"/>
  <c r="CG82" i="1"/>
  <c r="CF82" i="1"/>
  <c r="CD82" i="1"/>
  <c r="CC82" i="1"/>
  <c r="CA82" i="1"/>
  <c r="CG81" i="1"/>
  <c r="CF81" i="1"/>
  <c r="CD81" i="1"/>
  <c r="CC81" i="1"/>
  <c r="CA81" i="1"/>
  <c r="CG80" i="1"/>
  <c r="CF80" i="1"/>
  <c r="CD80" i="1"/>
  <c r="CC80" i="1"/>
  <c r="CA80" i="1"/>
  <c r="CG79" i="1"/>
  <c r="CF79" i="1"/>
  <c r="CD79" i="1"/>
  <c r="CC79" i="1"/>
  <c r="CA79" i="1"/>
  <c r="CG78" i="1"/>
  <c r="CF78" i="1"/>
  <c r="CD78" i="1"/>
  <c r="CC78" i="1"/>
  <c r="CA78" i="1"/>
  <c r="CG77" i="1"/>
  <c r="CF77" i="1"/>
  <c r="CD77" i="1"/>
  <c r="CC77" i="1"/>
  <c r="CA77" i="1"/>
  <c r="CG76" i="1"/>
  <c r="CF76" i="1"/>
  <c r="CD76" i="1"/>
  <c r="CC76" i="1"/>
  <c r="CA76" i="1"/>
  <c r="CG75" i="1"/>
  <c r="CF75" i="1"/>
  <c r="CD75" i="1"/>
  <c r="CC75" i="1"/>
  <c r="CA75" i="1"/>
  <c r="CG74" i="1"/>
  <c r="CF74" i="1"/>
  <c r="CD74" i="1"/>
  <c r="CC74" i="1"/>
  <c r="CA74" i="1"/>
  <c r="CG73" i="1"/>
  <c r="CF73" i="1"/>
  <c r="CD73" i="1"/>
  <c r="CC73" i="1"/>
  <c r="CA73" i="1"/>
  <c r="CG72" i="1"/>
  <c r="CF72" i="1"/>
  <c r="CD72" i="1"/>
  <c r="CC72" i="1"/>
  <c r="CA72" i="1"/>
  <c r="CG71" i="1"/>
  <c r="CF71" i="1"/>
  <c r="CD71" i="1"/>
  <c r="CC71" i="1"/>
  <c r="CA71" i="1"/>
  <c r="CG70" i="1"/>
  <c r="CF70" i="1"/>
  <c r="CD70" i="1"/>
  <c r="CC70" i="1"/>
  <c r="CA70" i="1"/>
  <c r="CG69" i="1"/>
  <c r="CF69" i="1"/>
  <c r="CD69" i="1"/>
  <c r="CC69" i="1"/>
  <c r="CA69" i="1"/>
  <c r="CG68" i="1"/>
  <c r="CF68" i="1"/>
  <c r="CD68" i="1"/>
  <c r="CC68" i="1"/>
  <c r="CA68" i="1"/>
  <c r="CG67" i="1"/>
  <c r="CF67" i="1"/>
  <c r="CD67" i="1"/>
  <c r="CC67" i="1"/>
  <c r="CA67" i="1"/>
  <c r="CG66" i="1"/>
  <c r="CF66" i="1"/>
  <c r="CD66" i="1"/>
  <c r="CC66" i="1"/>
  <c r="CA66" i="1"/>
  <c r="CG65" i="1"/>
  <c r="CF65" i="1"/>
  <c r="CD65" i="1"/>
  <c r="CC65" i="1"/>
  <c r="CA65" i="1"/>
  <c r="CG64" i="1"/>
  <c r="CF64" i="1"/>
  <c r="CD64" i="1"/>
  <c r="CC64" i="1"/>
  <c r="CA64" i="1"/>
  <c r="CG63" i="1"/>
  <c r="CF63" i="1"/>
  <c r="CD63" i="1"/>
  <c r="CC63" i="1"/>
  <c r="CA63" i="1"/>
  <c r="CG62" i="1"/>
  <c r="CF62" i="1"/>
  <c r="CD62" i="1"/>
  <c r="CC62" i="1"/>
  <c r="CA62" i="1"/>
  <c r="CG61" i="1"/>
  <c r="CF61" i="1"/>
  <c r="CD61" i="1"/>
  <c r="CC61" i="1"/>
  <c r="CA61" i="1"/>
  <c r="CG60" i="1"/>
  <c r="CF60" i="1"/>
  <c r="CD60" i="1"/>
  <c r="CC60" i="1"/>
  <c r="CA60" i="1"/>
  <c r="CG59" i="1"/>
  <c r="CF59" i="1"/>
  <c r="CD59" i="1"/>
  <c r="CC59" i="1"/>
  <c r="CA59" i="1"/>
  <c r="CG58" i="1"/>
  <c r="CF58" i="1"/>
  <c r="CD58" i="1"/>
  <c r="CC58" i="1"/>
  <c r="CA58" i="1"/>
  <c r="CG57" i="1"/>
  <c r="CF57" i="1"/>
  <c r="CD57" i="1"/>
  <c r="CC57" i="1"/>
  <c r="CA57" i="1"/>
  <c r="CG56" i="1"/>
  <c r="CF56" i="1"/>
  <c r="CD56" i="1"/>
  <c r="CC56" i="1"/>
  <c r="CA56" i="1"/>
  <c r="CG55" i="1"/>
  <c r="CF55" i="1"/>
  <c r="CD55" i="1"/>
  <c r="CC55" i="1"/>
  <c r="CA55" i="1"/>
  <c r="CG54" i="1"/>
  <c r="CF54" i="1"/>
  <c r="CD54" i="1"/>
  <c r="CC54" i="1"/>
  <c r="CA54" i="1"/>
  <c r="CG53" i="1"/>
  <c r="CF53" i="1"/>
  <c r="CD53" i="1"/>
  <c r="CC53" i="1"/>
  <c r="CA53" i="1"/>
  <c r="CG52" i="1"/>
  <c r="CF52" i="1"/>
  <c r="CD52" i="1"/>
  <c r="CC52" i="1"/>
  <c r="CA52" i="1"/>
  <c r="CG51" i="1"/>
  <c r="CF51" i="1"/>
  <c r="CD51" i="1"/>
  <c r="CC51" i="1"/>
  <c r="CA51" i="1"/>
  <c r="CG50" i="1"/>
  <c r="CF50" i="1"/>
  <c r="CD50" i="1"/>
  <c r="CC50" i="1"/>
  <c r="CA50" i="1"/>
  <c r="CG49" i="1"/>
  <c r="CF49" i="1"/>
  <c r="CD49" i="1"/>
  <c r="CC49" i="1"/>
  <c r="CA49" i="1"/>
  <c r="CG48" i="1"/>
  <c r="CF48" i="1"/>
  <c r="CD48" i="1"/>
  <c r="CC48" i="1"/>
  <c r="CA48" i="1"/>
  <c r="CG47" i="1"/>
  <c r="CF47" i="1"/>
  <c r="CD47" i="1"/>
  <c r="CC47" i="1"/>
  <c r="CA47" i="1"/>
  <c r="CG46" i="1"/>
  <c r="CF46" i="1"/>
  <c r="CD46" i="1"/>
  <c r="CC46" i="1"/>
  <c r="CA46" i="1"/>
  <c r="CG45" i="1"/>
  <c r="CF45" i="1"/>
  <c r="CD45" i="1"/>
  <c r="CC45" i="1"/>
  <c r="CA45" i="1"/>
  <c r="CG44" i="1"/>
  <c r="CF44" i="1"/>
  <c r="CD44" i="1"/>
  <c r="CC44" i="1"/>
  <c r="CA44" i="1"/>
  <c r="CG43" i="1"/>
  <c r="CF43" i="1"/>
  <c r="CD43" i="1"/>
  <c r="CC43" i="1"/>
  <c r="CA43" i="1"/>
  <c r="CG42" i="1"/>
  <c r="CF42" i="1"/>
  <c r="CD42" i="1"/>
  <c r="CC42" i="1"/>
  <c r="CA42" i="1"/>
  <c r="CG41" i="1"/>
  <c r="CF41" i="1"/>
  <c r="CD41" i="1"/>
  <c r="CC41" i="1"/>
  <c r="CA41" i="1"/>
  <c r="CG40" i="1"/>
  <c r="CF40" i="1"/>
  <c r="CD40" i="1"/>
  <c r="CC40" i="1"/>
  <c r="CA40" i="1"/>
  <c r="CG39" i="1"/>
  <c r="CF39" i="1"/>
  <c r="CD39" i="1"/>
  <c r="CC39" i="1"/>
  <c r="CA39" i="1"/>
  <c r="CG38" i="1"/>
  <c r="CF38" i="1"/>
  <c r="CD38" i="1"/>
  <c r="CC38" i="1"/>
  <c r="CA38" i="1"/>
  <c r="CG37" i="1"/>
  <c r="CF37" i="1"/>
  <c r="CD37" i="1"/>
  <c r="CC37" i="1"/>
  <c r="CA37" i="1"/>
  <c r="CG36" i="1"/>
  <c r="CF36" i="1"/>
  <c r="CD36" i="1"/>
  <c r="CC36" i="1"/>
  <c r="CA36" i="1"/>
  <c r="CG35" i="1"/>
  <c r="CF35" i="1"/>
  <c r="CD35" i="1"/>
  <c r="CC35" i="1"/>
  <c r="CA35" i="1"/>
  <c r="CG34" i="1"/>
  <c r="CF34" i="1"/>
  <c r="CD34" i="1"/>
  <c r="CC34" i="1"/>
  <c r="CA34" i="1"/>
  <c r="CG33" i="1"/>
  <c r="CF33" i="1"/>
  <c r="CD33" i="1"/>
  <c r="CC33" i="1"/>
  <c r="CA33" i="1"/>
  <c r="CG32" i="1"/>
  <c r="CF32" i="1"/>
  <c r="CD32" i="1"/>
  <c r="CC32" i="1"/>
  <c r="CA32" i="1"/>
  <c r="CG31" i="1"/>
  <c r="CF31" i="1"/>
  <c r="CD31" i="1"/>
  <c r="CC31" i="1"/>
  <c r="CA31" i="1"/>
  <c r="CG30" i="1"/>
  <c r="CF30" i="1"/>
  <c r="CD30" i="1"/>
  <c r="CC30" i="1"/>
  <c r="CA30" i="1"/>
  <c r="CG29" i="1"/>
  <c r="CF29" i="1"/>
  <c r="CD29" i="1"/>
  <c r="CC29" i="1"/>
  <c r="CA29" i="1"/>
  <c r="CG28" i="1"/>
  <c r="CF28" i="1"/>
  <c r="CD28" i="1"/>
  <c r="CC28" i="1"/>
  <c r="CA28" i="1"/>
  <c r="CG27" i="1"/>
  <c r="CF27" i="1"/>
  <c r="CD27" i="1"/>
  <c r="CC27" i="1"/>
  <c r="CA27" i="1"/>
  <c r="CG26" i="1"/>
  <c r="CF26" i="1"/>
  <c r="CD26" i="1"/>
  <c r="CC26" i="1"/>
  <c r="CA26" i="1"/>
  <c r="CG25" i="1"/>
  <c r="CF25" i="1"/>
  <c r="CD25" i="1"/>
  <c r="CC25" i="1"/>
  <c r="CA25" i="1"/>
  <c r="CG24" i="1"/>
  <c r="CF24" i="1"/>
  <c r="CD24" i="1"/>
  <c r="CC24" i="1"/>
  <c r="CA24" i="1"/>
  <c r="CG23" i="1"/>
  <c r="CF23" i="1"/>
  <c r="CD23" i="1"/>
  <c r="CC23" i="1"/>
  <c r="CA23" i="1"/>
  <c r="CG22" i="1"/>
  <c r="CF22" i="1"/>
  <c r="CD22" i="1"/>
  <c r="CC22" i="1"/>
  <c r="CA22" i="1"/>
  <c r="CG21" i="1"/>
  <c r="CF21" i="1"/>
  <c r="CD21" i="1"/>
  <c r="CC21" i="1"/>
  <c r="CA21" i="1"/>
  <c r="CG20" i="1"/>
  <c r="CF20" i="1"/>
  <c r="CD20" i="1"/>
  <c r="CC20" i="1"/>
  <c r="CA20" i="1"/>
  <c r="CG19" i="1"/>
  <c r="CF19" i="1"/>
  <c r="CD19" i="1"/>
  <c r="CC19" i="1"/>
  <c r="CA19" i="1"/>
  <c r="CG18" i="1"/>
  <c r="CF18" i="1"/>
  <c r="CD18" i="1"/>
  <c r="CC18" i="1"/>
  <c r="CA18" i="1"/>
  <c r="CG17" i="1"/>
  <c r="CF17" i="1"/>
  <c r="CD17" i="1"/>
  <c r="CC17" i="1"/>
  <c r="CA17" i="1"/>
  <c r="CG16" i="1"/>
  <c r="CF16" i="1"/>
  <c r="CD16" i="1"/>
  <c r="CC16" i="1"/>
  <c r="CA16" i="1"/>
  <c r="CG15" i="1"/>
  <c r="CF15" i="1"/>
  <c r="CD15" i="1"/>
  <c r="CC15" i="1"/>
  <c r="CA15" i="1"/>
  <c r="CG14" i="1"/>
  <c r="CF14" i="1"/>
  <c r="CD14" i="1"/>
  <c r="CC14" i="1"/>
  <c r="CA14" i="1"/>
  <c r="CG13" i="1"/>
  <c r="CF13" i="1"/>
  <c r="CD13" i="1"/>
  <c r="CC13" i="1"/>
  <c r="CA13" i="1"/>
  <c r="CG12" i="1"/>
  <c r="CF12" i="1"/>
  <c r="CD12" i="1"/>
  <c r="CC12" i="1"/>
  <c r="CA12" i="1"/>
  <c r="CG11" i="1"/>
  <c r="CF11" i="1"/>
  <c r="CD11" i="1"/>
  <c r="CC11" i="1"/>
  <c r="CA11" i="1"/>
  <c r="CG10" i="1"/>
  <c r="CF10" i="1"/>
  <c r="CD10" i="1"/>
  <c r="CC10" i="1"/>
  <c r="CA10" i="1"/>
  <c r="CG9" i="1"/>
  <c r="CF9" i="1"/>
  <c r="CD9" i="1"/>
  <c r="CC9" i="1"/>
  <c r="CA9" i="1"/>
  <c r="CG8" i="1"/>
  <c r="CF8" i="1"/>
  <c r="CD8" i="1"/>
  <c r="CC8" i="1"/>
  <c r="CA8" i="1"/>
  <c r="CG7" i="1"/>
  <c r="CF7" i="1"/>
  <c r="CD7" i="1"/>
  <c r="CC7" i="1"/>
  <c r="CA7" i="1"/>
  <c r="CG6" i="1"/>
  <c r="CF6" i="1"/>
  <c r="CD6" i="1"/>
  <c r="CC6" i="1"/>
  <c r="CA6" i="1"/>
  <c r="CG5" i="1"/>
  <c r="CF5" i="1"/>
  <c r="CD5" i="1"/>
  <c r="CC5" i="1"/>
  <c r="CA5" i="1"/>
  <c r="CG4" i="1"/>
  <c r="CF4" i="1"/>
  <c r="CD4" i="1"/>
  <c r="CC4" i="1"/>
  <c r="CA4" i="1"/>
  <c r="CG3" i="1"/>
  <c r="CF3" i="1"/>
  <c r="CD3" i="1"/>
  <c r="CC3" i="1"/>
  <c r="CA3" i="1"/>
  <c r="CG2" i="1"/>
  <c r="CF2" i="1"/>
  <c r="CD2" i="1"/>
  <c r="CC2" i="1"/>
  <c r="CA2" i="1"/>
</calcChain>
</file>

<file path=xl/sharedStrings.xml><?xml version="1.0" encoding="utf-8"?>
<sst xmlns="http://schemas.openxmlformats.org/spreadsheetml/2006/main" count="734" uniqueCount="113">
  <si>
    <t>Country</t>
  </si>
  <si>
    <t>Year</t>
  </si>
  <si>
    <t>S1</t>
  </si>
  <si>
    <t>E2</t>
  </si>
  <si>
    <t>E3</t>
  </si>
  <si>
    <t>E4</t>
  </si>
  <si>
    <t>E5</t>
  </si>
  <si>
    <t>S2</t>
  </si>
  <si>
    <t>G1</t>
  </si>
  <si>
    <t>G2</t>
  </si>
  <si>
    <t>G3</t>
  </si>
  <si>
    <t>G4</t>
  </si>
  <si>
    <t>G5</t>
  </si>
  <si>
    <t>G6</t>
  </si>
  <si>
    <t>S3</t>
  </si>
  <si>
    <t>S4</t>
  </si>
  <si>
    <t>G8</t>
  </si>
  <si>
    <t>G9</t>
  </si>
  <si>
    <t>G10</t>
  </si>
  <si>
    <t>G11</t>
  </si>
  <si>
    <t>G12</t>
  </si>
  <si>
    <t>S5</t>
  </si>
  <si>
    <t>G13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</si>
  <si>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</si>
  <si>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</si>
  <si>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</si>
  <si>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</si>
  <si>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</si>
  <si>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</si>
  <si>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</si>
  <si>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</si>
  <si>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</si>
  <si>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</si>
  <si>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</si>
  <si>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</si>
  <si>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</si>
  <si>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</si>
  <si>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E6</t>
  </si>
  <si>
    <t>S20</t>
  </si>
  <si>
    <t>S21</t>
  </si>
  <si>
    <t>S22</t>
  </si>
  <si>
    <t>S23</t>
  </si>
  <si>
    <t>S24</t>
  </si>
  <si>
    <t>S25</t>
  </si>
  <si>
    <t>S26</t>
  </si>
  <si>
    <t>S27</t>
  </si>
  <si>
    <t>E7</t>
  </si>
  <si>
    <t>G15</t>
  </si>
  <si>
    <t>S28</t>
  </si>
  <si>
    <t>S29</t>
  </si>
  <si>
    <t>S30</t>
  </si>
  <si>
    <t>S31</t>
  </si>
  <si>
    <t>S32</t>
  </si>
  <si>
    <t>S33</t>
  </si>
  <si>
    <t>S34</t>
  </si>
  <si>
    <t>G17</t>
  </si>
  <si>
    <t>G18</t>
  </si>
  <si>
    <t>E8</t>
  </si>
  <si>
    <t>E9</t>
  </si>
  <si>
    <t>G19</t>
  </si>
  <si>
    <t>G20</t>
  </si>
  <si>
    <t>G21</t>
  </si>
  <si>
    <t>S35</t>
  </si>
  <si>
    <t>S36</t>
  </si>
  <si>
    <t>S37</t>
  </si>
  <si>
    <t>S38</t>
  </si>
  <si>
    <t>S39</t>
  </si>
  <si>
    <t>S40</t>
  </si>
  <si>
    <t>G22</t>
  </si>
  <si>
    <t>S41</t>
  </si>
  <si>
    <t>S42</t>
  </si>
  <si>
    <t>S43</t>
  </si>
  <si>
    <t>S44</t>
  </si>
  <si>
    <t>S45</t>
  </si>
  <si>
    <t>G23</t>
  </si>
  <si>
    <t>ESG</t>
  </si>
  <si>
    <t>ARRIVALS</t>
  </si>
  <si>
    <t>Nights</t>
  </si>
  <si>
    <t>AS</t>
  </si>
  <si>
    <t>POP</t>
  </si>
  <si>
    <t>NIGHTPOP</t>
  </si>
  <si>
    <t>ARRIVALPOP</t>
  </si>
  <si>
    <t>Area</t>
  </si>
  <si>
    <t>ARR_AREA</t>
  </si>
  <si>
    <t>TN_AREA</t>
  </si>
  <si>
    <t>REER</t>
  </si>
  <si>
    <t>Austria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</si>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</sst>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##########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3" fontId="4" fillId="2" borderId="0" xfId="0" applyNumberFormat="1" applyFont="1" applyFill="1" applyAlignment="1">
      <alignment horizontal="right" vertical="center" shrinkToFit="1"/>
    </xf>
    <xf numFmtId="3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right" vertical="center" shrinkToFit="1"/>
    </xf>
    <xf numFmtId="164" fontId="0" fillId="0" borderId="0" xfId="0" applyNumberFormat="1"/>
    <xf numFmtId="0" fontId="0" fillId="3" borderId="0" xfId="0" applyFill="1"/>
    <xf numFmtId="2" fontId="2" fillId="3" borderId="0" xfId="0" applyNumberFormat="1" applyFont="1" applyFill="1"/>
    <xf numFmtId="0" fontId="1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3" fontId="4" fillId="3" borderId="0" xfId="0" applyNumberFormat="1" applyFont="1" applyFill="1" applyAlignment="1">
      <alignment horizontal="right" vertical="center" shrinkToFit="1"/>
    </xf>
    <xf numFmtId="0" fontId="1" fillId="4" borderId="0" xfId="0" applyFont="1" applyFill="1"/>
    <xf numFmtId="0" fontId="1" fillId="5" borderId="0" xfId="0" applyFont="1" applyFill="1"/>
    <xf numFmtId="0" fontId="1" fillId="0" borderId="1" xfId="0" applyFont="1" applyBorder="1"/>
    <xf numFmtId="0" fontId="3" fillId="5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2" fontId="2" fillId="0" borderId="1" xfId="0" applyNumberFormat="1" applyFont="1" applyBorder="1"/>
    <xf numFmtId="3" fontId="4" fillId="5" borderId="0" xfId="0" applyNumberFormat="1" applyFont="1" applyFill="1" applyAlignment="1">
      <alignment horizontal="right" vertical="center" shrinkToFit="1"/>
    </xf>
    <xf numFmtId="165" fontId="4" fillId="0" borderId="0" xfId="0" applyNumberFormat="1" applyFont="1" applyAlignment="1">
      <alignment horizontal="right" vertical="center" shrinkToFit="1"/>
    </xf>
    <xf numFmtId="0" fontId="0" fillId="6" borderId="0" xfId="0" applyFill="1"/>
    <xf numFmtId="2" fontId="2" fillId="6" borderId="0" xfId="0" applyNumberFormat="1" applyFont="1" applyFill="1"/>
    <xf numFmtId="0" fontId="5" fillId="6" borderId="0" xfId="0" applyFont="1" applyFill="1" applyAlignment="1">
      <alignment horizontal="right"/>
    </xf>
    <xf numFmtId="0" fontId="5" fillId="6" borderId="0" xfId="0" applyFont="1" applyFill="1"/>
    <xf numFmtId="3" fontId="4" fillId="6" borderId="1" xfId="0" applyNumberFormat="1" applyFont="1" applyFill="1" applyBorder="1" applyAlignment="1">
      <alignment horizontal="right" vertical="center" shrinkToFit="1"/>
    </xf>
    <xf numFmtId="4" fontId="4" fillId="6" borderId="1" xfId="0" applyNumberFormat="1" applyFont="1" applyFill="1" applyBorder="1" applyAlignment="1">
      <alignment horizontal="right" vertical="center" shrinkToFit="1"/>
    </xf>
    <xf numFmtId="164" fontId="0" fillId="6" borderId="0" xfId="0" applyNumberFormat="1" applyFill="1"/>
    <xf numFmtId="3" fontId="4" fillId="5" borderId="1" xfId="0" applyNumberFormat="1" applyFont="1" applyFill="1" applyBorder="1" applyAlignment="1">
      <alignment horizontal="right" vertical="center" shrinkToFit="1"/>
    </xf>
    <xf numFmtId="2" fontId="2" fillId="6" borderId="1" xfId="0" applyNumberFormat="1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0375-6648-431D-9FDB-ABA814038111}">
  <dimension ref="A1:CH649"/>
  <sheetViews>
    <sheetView tabSelected="1" workbookViewId="0">
      <selection sqref="A1:CH649"/>
    </sheetView>
  </sheetViews>
  <sheetFormatPr defaultRowHeight="14.5" x14ac:dyDescent="0.35"/>
  <sheetData>
    <row r="1" spans="1:86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ht="15.5" x14ac:dyDescent="0.35">
      <c r="A2" t="s">
        <v>86</v>
      </c>
      <c r="B2">
        <v>2000</v>
      </c>
      <c r="C2" s="2">
        <v>48.107199999999999</v>
      </c>
      <c r="D2" s="1">
        <v>115466.6</v>
      </c>
      <c r="E2" s="1">
        <v>0.15529999999999999</v>
      </c>
      <c r="F2" s="1">
        <v>8.3242999999999991</v>
      </c>
      <c r="G2" s="1">
        <v>79800</v>
      </c>
      <c r="H2" s="1">
        <v>9</v>
      </c>
      <c r="I2" s="3">
        <v>91.155000000000001</v>
      </c>
      <c r="J2" s="3">
        <v>91.625</v>
      </c>
      <c r="K2" s="3">
        <v>4.9669999999999996</v>
      </c>
      <c r="L2" s="3">
        <v>92.553200000000004</v>
      </c>
      <c r="M2" s="3">
        <v>-1393000000</v>
      </c>
      <c r="N2" s="3">
        <v>44.224499999999999</v>
      </c>
      <c r="O2" s="1">
        <v>28.131</v>
      </c>
      <c r="P2" s="1">
        <v>2.3774000000000002</v>
      </c>
      <c r="Q2" s="3">
        <v>24498.114000000001</v>
      </c>
      <c r="R2" s="3">
        <v>38571.085899999998</v>
      </c>
      <c r="S2" s="3">
        <v>2.9417</v>
      </c>
      <c r="T2" s="3">
        <v>53599.609199999999</v>
      </c>
      <c r="U2" s="3">
        <v>29214.738600000001</v>
      </c>
      <c r="V2" s="1">
        <v>29</v>
      </c>
      <c r="W2" s="3">
        <v>94.535499999999999</v>
      </c>
      <c r="X2" s="1">
        <v>81</v>
      </c>
      <c r="Y2" s="1">
        <v>33</v>
      </c>
      <c r="Z2" s="1">
        <v>75</v>
      </c>
      <c r="AA2" s="1">
        <v>4.5</v>
      </c>
      <c r="AB2" s="1">
        <v>33.700000000000003</v>
      </c>
      <c r="AC2" s="1">
        <v>78.126800000000003</v>
      </c>
      <c r="AD2" s="1"/>
      <c r="AE2" s="1">
        <v>7</v>
      </c>
      <c r="AF2" s="1">
        <v>90.0745</v>
      </c>
      <c r="AG2" s="1">
        <v>12.5</v>
      </c>
      <c r="AH2" s="1">
        <v>0.18</v>
      </c>
      <c r="AI2" s="1">
        <v>5.5</v>
      </c>
      <c r="AJ2" s="1">
        <v>4.9000000000000004</v>
      </c>
      <c r="AK2" s="1">
        <v>6</v>
      </c>
      <c r="AL2" s="1">
        <v>65.857200000000006</v>
      </c>
      <c r="AM2" s="1">
        <v>3.1</v>
      </c>
      <c r="AN2" s="1">
        <v>17631</v>
      </c>
      <c r="AO2" s="1">
        <v>0</v>
      </c>
      <c r="AP2" s="1">
        <v>100</v>
      </c>
      <c r="AQ2" s="1">
        <v>100</v>
      </c>
      <c r="AR2" s="1">
        <v>96.719200000000001</v>
      </c>
      <c r="AS2" s="1">
        <v>99.262699999999995</v>
      </c>
      <c r="AT2" s="1">
        <v>100</v>
      </c>
      <c r="AU2" s="1">
        <v>19.150600000000001</v>
      </c>
      <c r="AV2" s="3">
        <v>76.1905</v>
      </c>
      <c r="AW2" s="1">
        <v>0</v>
      </c>
      <c r="AX2" s="1"/>
      <c r="AY2" s="1">
        <v>6</v>
      </c>
      <c r="AZ2" s="1">
        <v>4</v>
      </c>
      <c r="BA2" s="1">
        <v>99.706599999999995</v>
      </c>
      <c r="BB2" s="1">
        <v>26.776</v>
      </c>
      <c r="BC2" s="1">
        <v>6.8258000000000001</v>
      </c>
      <c r="BD2" s="3">
        <v>3.19</v>
      </c>
      <c r="BE2" s="3">
        <v>92.934799999999996</v>
      </c>
      <c r="BF2" s="1">
        <v>73.162800000000004</v>
      </c>
      <c r="BG2" s="1">
        <v>26.4</v>
      </c>
      <c r="BH2" s="4">
        <v>1.8859999999999999</v>
      </c>
      <c r="BI2" s="4"/>
      <c r="BJ2" s="3">
        <v>98.009900000000002</v>
      </c>
      <c r="BK2" s="1">
        <v>0.98970000000000002</v>
      </c>
      <c r="BL2" s="1">
        <v>0.96970000000000001</v>
      </c>
      <c r="BM2" s="1">
        <v>0.95940000000000003</v>
      </c>
      <c r="BN2" s="1">
        <v>8</v>
      </c>
      <c r="BO2" s="1">
        <v>7.9249999999999998</v>
      </c>
      <c r="BP2" s="1">
        <v>19.75</v>
      </c>
      <c r="BQ2" s="3">
        <v>113.60980000000001</v>
      </c>
      <c r="BR2" s="1">
        <v>89.438500000000005</v>
      </c>
      <c r="BS2" s="4">
        <v>4.6870000000000003</v>
      </c>
      <c r="BT2" s="4">
        <v>4.6870000000000003</v>
      </c>
      <c r="BU2" s="4">
        <v>6.2850000000000001</v>
      </c>
      <c r="BV2" s="4">
        <v>6.3019999999999996</v>
      </c>
      <c r="BW2" s="3">
        <v>90.049800000000005</v>
      </c>
      <c r="BX2">
        <v>17.7</v>
      </c>
      <c r="BY2" s="5">
        <v>22649293</v>
      </c>
      <c r="BZ2" s="6">
        <v>90710626</v>
      </c>
      <c r="CA2" s="7">
        <f>BZ2/BY2</f>
        <v>4.0050091629791709</v>
      </c>
      <c r="CB2">
        <v>8011566</v>
      </c>
      <c r="CC2" s="8">
        <f>BZ2/CB2</f>
        <v>11.322458805182407</v>
      </c>
      <c r="CD2" s="8">
        <f>BY2/CB2</f>
        <v>2.8270743822119173</v>
      </c>
      <c r="CE2">
        <v>83878</v>
      </c>
      <c r="CF2" s="8">
        <f>BY2/CE2</f>
        <v>270.02662199861703</v>
      </c>
      <c r="CG2" s="8">
        <f>BZ2/CE2</f>
        <v>1081.4590953527743</v>
      </c>
      <c r="CH2">
        <v>100.03885</v>
      </c>
    </row>
    <row r="3" spans="1:86" ht="15.5" x14ac:dyDescent="0.35">
      <c r="A3" t="s">
        <v>86</v>
      </c>
      <c r="B3">
        <v>2001</v>
      </c>
      <c r="C3" s="2">
        <v>47.667900000000003</v>
      </c>
      <c r="D3" s="1">
        <v>117636.4</v>
      </c>
      <c r="E3" s="1">
        <v>0.1641</v>
      </c>
      <c r="F3" s="1">
        <v>8.8750999999999998</v>
      </c>
      <c r="G3" s="1">
        <v>83800</v>
      </c>
      <c r="H3" s="1">
        <v>9</v>
      </c>
      <c r="I3" s="3">
        <v>93.253</v>
      </c>
      <c r="J3" s="3">
        <v>93.242000000000004</v>
      </c>
      <c r="K3" s="3">
        <v>3.9790000000000001</v>
      </c>
      <c r="L3" s="3"/>
      <c r="M3" s="3">
        <v>-1573000000</v>
      </c>
      <c r="N3" s="3">
        <v>46.324800000000003</v>
      </c>
      <c r="O3" s="1">
        <v>29.376999999999999</v>
      </c>
      <c r="P3" s="1">
        <v>3.9864999999999999</v>
      </c>
      <c r="Q3" s="3">
        <v>24430.662</v>
      </c>
      <c r="R3" s="3">
        <v>38929.753799999999</v>
      </c>
      <c r="S3" s="3">
        <v>0.92989999999999995</v>
      </c>
      <c r="T3" s="3">
        <v>54098.025600000001</v>
      </c>
      <c r="U3" s="3">
        <v>29556.403600000001</v>
      </c>
      <c r="V3" s="1"/>
      <c r="W3" s="3"/>
      <c r="X3" s="1">
        <v>84</v>
      </c>
      <c r="Y3" s="1">
        <v>44</v>
      </c>
      <c r="Z3" s="1">
        <v>79</v>
      </c>
      <c r="AA3" s="1">
        <v>4.5</v>
      </c>
      <c r="AB3" s="1">
        <v>39.200000000000003</v>
      </c>
      <c r="AC3" s="1">
        <v>78.575599999999994</v>
      </c>
      <c r="AD3" s="1"/>
      <c r="AE3" s="1">
        <v>6</v>
      </c>
      <c r="AF3" s="1">
        <v>90.219200000000001</v>
      </c>
      <c r="AG3" s="1">
        <v>12.2</v>
      </c>
      <c r="AH3" s="1">
        <v>0.16</v>
      </c>
      <c r="AI3" s="1">
        <v>5.4</v>
      </c>
      <c r="AJ3" s="1">
        <v>4.8</v>
      </c>
      <c r="AK3" s="1">
        <v>5.9</v>
      </c>
      <c r="AL3" s="1">
        <v>66.286699999999996</v>
      </c>
      <c r="AM3" s="1">
        <v>3.1</v>
      </c>
      <c r="AN3" s="1">
        <v>39866</v>
      </c>
      <c r="AO3" s="1">
        <v>0</v>
      </c>
      <c r="AP3" s="1">
        <v>100</v>
      </c>
      <c r="AQ3" s="1">
        <v>100</v>
      </c>
      <c r="AR3" s="1">
        <v>96.890500000000003</v>
      </c>
      <c r="AS3" s="1">
        <v>99.262699999999995</v>
      </c>
      <c r="AT3" s="1">
        <v>100</v>
      </c>
      <c r="AU3" s="1">
        <v>18.947099999999999</v>
      </c>
      <c r="AV3" s="3"/>
      <c r="AW3" s="1"/>
      <c r="AX3" s="1"/>
      <c r="AY3" s="1">
        <v>6</v>
      </c>
      <c r="AZ3" s="1">
        <v>4</v>
      </c>
      <c r="BA3" s="1">
        <v>99.704599999999999</v>
      </c>
      <c r="BB3" s="1">
        <v>26.776</v>
      </c>
      <c r="BC3" s="1">
        <v>6.8265000000000002</v>
      </c>
      <c r="BD3" s="3">
        <v>1.3169999999999999</v>
      </c>
      <c r="BE3" s="3"/>
      <c r="BF3" s="1">
        <v>69.84</v>
      </c>
      <c r="BG3" s="1">
        <v>25.5</v>
      </c>
      <c r="BH3" s="4">
        <v>1.9921</v>
      </c>
      <c r="BI3" s="4"/>
      <c r="BJ3" s="3"/>
      <c r="BK3" s="1">
        <v>0.98970000000000002</v>
      </c>
      <c r="BL3" s="1">
        <v>0.96960000000000002</v>
      </c>
      <c r="BM3" s="1">
        <v>0.95920000000000005</v>
      </c>
      <c r="BN3" s="1">
        <v>8</v>
      </c>
      <c r="BO3" s="1">
        <v>8.0879999999999992</v>
      </c>
      <c r="BP3" s="1">
        <v>18.510000000000002</v>
      </c>
      <c r="BQ3" s="3">
        <v>112.2647</v>
      </c>
      <c r="BR3" s="1">
        <v>90.541600000000003</v>
      </c>
      <c r="BS3" s="4">
        <v>4.0069999999999997</v>
      </c>
      <c r="BT3" s="4">
        <v>4.0069999999999997</v>
      </c>
      <c r="BU3" s="4">
        <v>6.0010000000000003</v>
      </c>
      <c r="BV3" s="4">
        <v>6.0259999999999998</v>
      </c>
      <c r="BW3" s="3"/>
      <c r="BX3">
        <v>16.690000000000001</v>
      </c>
      <c r="BY3" s="5">
        <v>23138868</v>
      </c>
      <c r="BZ3" s="6">
        <v>92137558</v>
      </c>
      <c r="CA3" s="7">
        <f t="shared" ref="CA3:CA66" si="0">BZ3/BY3</f>
        <v>3.981938874451421</v>
      </c>
      <c r="CB3">
        <v>8042293</v>
      </c>
      <c r="CC3" s="8">
        <f t="shared" ref="CC3:CC66" si="1">BZ3/CB3</f>
        <v>11.456627854767291</v>
      </c>
      <c r="CD3" s="8">
        <f t="shared" ref="CD3:CD66" si="2">BY3/CB3</f>
        <v>2.8771480969420038</v>
      </c>
      <c r="CE3">
        <v>83878</v>
      </c>
      <c r="CF3" s="8">
        <f t="shared" ref="CF3:CF66" si="3">BY3/CE3</f>
        <v>275.86337299411048</v>
      </c>
      <c r="CG3" s="8">
        <f t="shared" ref="CG3:CG66" si="4">BZ3/CE3</f>
        <v>1098.4710889625408</v>
      </c>
      <c r="CH3">
        <v>99.563019999999995</v>
      </c>
    </row>
    <row r="4" spans="1:86" ht="15.5" x14ac:dyDescent="0.35">
      <c r="A4" t="s">
        <v>86</v>
      </c>
      <c r="B4">
        <v>2002</v>
      </c>
      <c r="C4" s="2">
        <v>47.218899999999998</v>
      </c>
      <c r="D4" s="1">
        <v>118022.5</v>
      </c>
      <c r="E4" s="1">
        <v>0.1658</v>
      </c>
      <c r="F4" s="1">
        <v>9.0592000000000006</v>
      </c>
      <c r="G4" s="1">
        <v>85600</v>
      </c>
      <c r="H4" s="1">
        <v>9</v>
      </c>
      <c r="I4" s="3">
        <v>94.820999999999998</v>
      </c>
      <c r="J4" s="3">
        <v>94.811000000000007</v>
      </c>
      <c r="K4" s="3">
        <v>4.1139999999999999</v>
      </c>
      <c r="L4" s="3">
        <v>93.650800000000004</v>
      </c>
      <c r="M4" s="3">
        <v>4504000000</v>
      </c>
      <c r="N4" s="3">
        <v>51.511699999999998</v>
      </c>
      <c r="O4" s="1">
        <v>30.776</v>
      </c>
      <c r="P4" s="1">
        <v>5.5805999999999996</v>
      </c>
      <c r="Q4" s="3">
        <v>26315.717000000001</v>
      </c>
      <c r="R4" s="3">
        <v>39313.722600000001</v>
      </c>
      <c r="S4" s="3">
        <v>0.98629999999999995</v>
      </c>
      <c r="T4" s="3">
        <v>54631.600899999998</v>
      </c>
      <c r="U4" s="3">
        <v>30952.1708</v>
      </c>
      <c r="V4" s="1"/>
      <c r="W4" s="3">
        <v>95.135099999999994</v>
      </c>
      <c r="X4" s="1">
        <v>83</v>
      </c>
      <c r="Y4" s="1">
        <v>81</v>
      </c>
      <c r="Z4" s="1">
        <v>78</v>
      </c>
      <c r="AA4" s="1">
        <v>4.4000000000000004</v>
      </c>
      <c r="AB4" s="1">
        <v>36.6</v>
      </c>
      <c r="AC4" s="1">
        <v>78.677999999999997</v>
      </c>
      <c r="AD4" s="1">
        <v>101.3309</v>
      </c>
      <c r="AE4" s="1">
        <v>6</v>
      </c>
      <c r="AF4" s="1">
        <v>90.378100000000003</v>
      </c>
      <c r="AG4" s="1">
        <v>12.1</v>
      </c>
      <c r="AH4" s="1">
        <v>0.2</v>
      </c>
      <c r="AI4" s="1">
        <v>5.3</v>
      </c>
      <c r="AJ4" s="1">
        <v>4.8</v>
      </c>
      <c r="AK4" s="1">
        <v>5.8</v>
      </c>
      <c r="AL4" s="1">
        <v>66.586799999999997</v>
      </c>
      <c r="AM4" s="1">
        <v>3</v>
      </c>
      <c r="AN4" s="1">
        <v>37508</v>
      </c>
      <c r="AO4" s="1">
        <v>0</v>
      </c>
      <c r="AP4" s="1">
        <v>100</v>
      </c>
      <c r="AQ4" s="1">
        <v>100</v>
      </c>
      <c r="AR4" s="1">
        <v>97.061800000000005</v>
      </c>
      <c r="AS4" s="1">
        <v>99.262699999999995</v>
      </c>
      <c r="AT4" s="1">
        <v>100</v>
      </c>
      <c r="AU4" s="1">
        <v>18.778500000000001</v>
      </c>
      <c r="AV4" s="3">
        <v>94.709000000000003</v>
      </c>
      <c r="AW4" s="1"/>
      <c r="AX4" s="1">
        <v>13.2</v>
      </c>
      <c r="AY4" s="1">
        <v>6</v>
      </c>
      <c r="AZ4" s="1">
        <v>4</v>
      </c>
      <c r="BA4" s="1">
        <v>99.702600000000004</v>
      </c>
      <c r="BB4" s="1"/>
      <c r="BC4" s="1">
        <v>6.8993000000000002</v>
      </c>
      <c r="BD4" s="3">
        <v>1.484</v>
      </c>
      <c r="BE4" s="3">
        <v>92.972999999999999</v>
      </c>
      <c r="BF4" s="1">
        <v>69.901399999999995</v>
      </c>
      <c r="BG4" s="1">
        <v>24.7</v>
      </c>
      <c r="BH4" s="4">
        <v>2.0659999999999998</v>
      </c>
      <c r="BI4" s="4">
        <v>2992.2208999999998</v>
      </c>
      <c r="BJ4" s="3">
        <v>97.5124</v>
      </c>
      <c r="BK4" s="1">
        <v>0.99029999999999996</v>
      </c>
      <c r="BL4" s="1">
        <v>0.96440000000000003</v>
      </c>
      <c r="BM4" s="1">
        <v>0.95150000000000001</v>
      </c>
      <c r="BN4" s="1">
        <v>8</v>
      </c>
      <c r="BO4" s="1">
        <v>6.093</v>
      </c>
      <c r="BP4" s="1">
        <v>19.41</v>
      </c>
      <c r="BQ4" s="3">
        <v>112.4281</v>
      </c>
      <c r="BR4" s="1">
        <v>88.573499999999996</v>
      </c>
      <c r="BS4" s="4">
        <v>4.8520000000000003</v>
      </c>
      <c r="BT4" s="4">
        <v>4.8520000000000003</v>
      </c>
      <c r="BU4" s="4">
        <v>7.1369999999999996</v>
      </c>
      <c r="BV4" s="4">
        <v>7.1589999999999998</v>
      </c>
      <c r="BW4" s="3">
        <v>91.542299999999997</v>
      </c>
      <c r="BX4">
        <v>9.75</v>
      </c>
      <c r="BY4" s="5">
        <v>23562277</v>
      </c>
      <c r="BZ4" s="6">
        <v>93770689</v>
      </c>
      <c r="CA4" s="7">
        <f t="shared" si="0"/>
        <v>3.9796955531929279</v>
      </c>
      <c r="CB4">
        <v>8081957</v>
      </c>
      <c r="CC4" s="8">
        <f t="shared" si="1"/>
        <v>11.602473138622242</v>
      </c>
      <c r="CD4" s="8">
        <f t="shared" si="2"/>
        <v>2.9154172683670549</v>
      </c>
      <c r="CE4">
        <v>83878</v>
      </c>
      <c r="CF4" s="8">
        <f t="shared" si="3"/>
        <v>280.91128782279026</v>
      </c>
      <c r="CG4" s="8">
        <f t="shared" si="4"/>
        <v>1117.941402990057</v>
      </c>
      <c r="CH4">
        <v>98.732200000000006</v>
      </c>
    </row>
    <row r="5" spans="1:86" ht="15.5" x14ac:dyDescent="0.35">
      <c r="A5" t="s">
        <v>86</v>
      </c>
      <c r="B5">
        <v>2003</v>
      </c>
      <c r="C5" s="2">
        <v>46.852400000000003</v>
      </c>
      <c r="D5" s="1">
        <v>127257</v>
      </c>
      <c r="E5" s="1">
        <v>0.17499999999999999</v>
      </c>
      <c r="F5" s="1">
        <v>9.6245999999999992</v>
      </c>
      <c r="G5" s="1">
        <v>91100</v>
      </c>
      <c r="H5" s="1">
        <v>9</v>
      </c>
      <c r="I5" s="3">
        <v>96.055000000000007</v>
      </c>
      <c r="J5" s="3">
        <v>96.078000000000003</v>
      </c>
      <c r="K5" s="3">
        <v>3.5779999999999998</v>
      </c>
      <c r="L5" s="3">
        <v>94.709000000000003</v>
      </c>
      <c r="M5" s="3">
        <v>4059999999.9999995</v>
      </c>
      <c r="N5" s="3">
        <v>63.607100000000003</v>
      </c>
      <c r="O5" s="1">
        <v>28.498000000000001</v>
      </c>
      <c r="P5" s="1">
        <v>7.3990999999999998</v>
      </c>
      <c r="Q5" s="3">
        <v>32114.633000000002</v>
      </c>
      <c r="R5" s="3">
        <v>39569.2886</v>
      </c>
      <c r="S5" s="3">
        <v>0.65010000000000001</v>
      </c>
      <c r="T5" s="3">
        <v>54986.743600000002</v>
      </c>
      <c r="U5" s="3">
        <v>31962.925500000001</v>
      </c>
      <c r="V5" s="1">
        <v>29.5</v>
      </c>
      <c r="W5" s="3">
        <v>97.297300000000007</v>
      </c>
      <c r="X5" s="1">
        <v>84</v>
      </c>
      <c r="Y5" s="1">
        <v>83</v>
      </c>
      <c r="Z5" s="1">
        <v>79</v>
      </c>
      <c r="AA5" s="1">
        <v>4.3</v>
      </c>
      <c r="AB5" s="1">
        <v>42.7</v>
      </c>
      <c r="AC5" s="1">
        <v>78.631699999999995</v>
      </c>
      <c r="AD5" s="1">
        <v>102.2359</v>
      </c>
      <c r="AE5" s="1">
        <v>6</v>
      </c>
      <c r="AF5" s="1">
        <v>90.451099999999997</v>
      </c>
      <c r="AG5" s="1">
        <v>11.7</v>
      </c>
      <c r="AH5" s="1">
        <v>0.19</v>
      </c>
      <c r="AI5" s="1">
        <v>5.2</v>
      </c>
      <c r="AJ5" s="1">
        <v>4.7</v>
      </c>
      <c r="AK5" s="1">
        <v>5.7</v>
      </c>
      <c r="AL5" s="1">
        <v>66.4465</v>
      </c>
      <c r="AM5" s="1">
        <v>3</v>
      </c>
      <c r="AN5" s="1">
        <v>44362</v>
      </c>
      <c r="AO5" s="1">
        <v>0</v>
      </c>
      <c r="AP5" s="1">
        <v>100</v>
      </c>
      <c r="AQ5" s="1">
        <v>99.998400000000004</v>
      </c>
      <c r="AR5" s="1">
        <v>97.233000000000004</v>
      </c>
      <c r="AS5" s="1">
        <v>99.262699999999995</v>
      </c>
      <c r="AT5" s="1">
        <v>99.997299999999996</v>
      </c>
      <c r="AU5" s="1">
        <v>18.616900000000001</v>
      </c>
      <c r="AV5" s="3">
        <v>80.402000000000001</v>
      </c>
      <c r="AW5" s="1">
        <v>0.3</v>
      </c>
      <c r="AX5" s="1">
        <v>13</v>
      </c>
      <c r="AY5" s="1">
        <v>6</v>
      </c>
      <c r="AZ5" s="1">
        <v>4</v>
      </c>
      <c r="BA5" s="1">
        <v>99.698899999999995</v>
      </c>
      <c r="BB5" s="1">
        <v>33.879800000000003</v>
      </c>
      <c r="BC5" s="1">
        <v>6.9827000000000004</v>
      </c>
      <c r="BD5" s="3">
        <v>1.1419999999999999</v>
      </c>
      <c r="BE5" s="3">
        <v>91.891900000000007</v>
      </c>
      <c r="BF5" s="1">
        <v>62.137</v>
      </c>
      <c r="BG5" s="1">
        <v>22.6</v>
      </c>
      <c r="BH5" s="4">
        <v>2.1745999999999999</v>
      </c>
      <c r="BI5" s="4"/>
      <c r="BJ5" s="3">
        <v>96.517399999999995</v>
      </c>
      <c r="BK5" s="1">
        <v>0.99419999999999997</v>
      </c>
      <c r="BL5" s="1">
        <v>0.96340000000000003</v>
      </c>
      <c r="BM5" s="1">
        <v>0.94850000000000001</v>
      </c>
      <c r="BN5" s="1">
        <v>8</v>
      </c>
      <c r="BO5" s="1">
        <v>7.2519999999999998</v>
      </c>
      <c r="BP5" s="1">
        <v>17.989999999999998</v>
      </c>
      <c r="BQ5" s="3">
        <v>111.2572</v>
      </c>
      <c r="BR5" s="1">
        <v>88.439300000000003</v>
      </c>
      <c r="BS5" s="4">
        <v>4.7789999999999999</v>
      </c>
      <c r="BT5" s="4">
        <v>4.7789999999999999</v>
      </c>
      <c r="BU5" s="4">
        <v>7.4290000000000003</v>
      </c>
      <c r="BV5" s="4">
        <v>7.4539999999999997</v>
      </c>
      <c r="BW5" s="3">
        <v>91.542299999999997</v>
      </c>
      <c r="BX5">
        <v>15.4</v>
      </c>
      <c r="BY5" s="5">
        <v>24333718</v>
      </c>
      <c r="BZ5" s="6">
        <v>95239650</v>
      </c>
      <c r="CA5" s="7">
        <f t="shared" si="0"/>
        <v>3.9138963474467814</v>
      </c>
      <c r="CB5">
        <v>8121423</v>
      </c>
      <c r="CC5" s="8">
        <f t="shared" si="1"/>
        <v>11.726965828525371</v>
      </c>
      <c r="CD5" s="8">
        <f t="shared" si="2"/>
        <v>2.9962382208142588</v>
      </c>
      <c r="CE5">
        <v>83878</v>
      </c>
      <c r="CF5" s="8">
        <f t="shared" si="3"/>
        <v>290.10846705930044</v>
      </c>
      <c r="CG5" s="8">
        <f t="shared" si="4"/>
        <v>1135.4544695867808</v>
      </c>
      <c r="CH5">
        <v>98.663979999999995</v>
      </c>
    </row>
    <row r="6" spans="1:86" ht="15.5" x14ac:dyDescent="0.35">
      <c r="A6" t="s">
        <v>86</v>
      </c>
      <c r="B6">
        <v>2004</v>
      </c>
      <c r="C6" s="2">
        <v>46.976900000000001</v>
      </c>
      <c r="D6" s="1">
        <v>130786.9</v>
      </c>
      <c r="E6" s="1">
        <v>0.17380000000000001</v>
      </c>
      <c r="F6" s="1">
        <v>9.7411999999999992</v>
      </c>
      <c r="G6" s="1">
        <v>90800</v>
      </c>
      <c r="H6" s="1">
        <v>9</v>
      </c>
      <c r="I6" s="3">
        <v>97.941000000000003</v>
      </c>
      <c r="J6" s="3">
        <v>98.492000000000004</v>
      </c>
      <c r="K6" s="3">
        <v>4.0730000000000004</v>
      </c>
      <c r="L6" s="3">
        <v>97.044300000000007</v>
      </c>
      <c r="M6" s="3">
        <v>6255000000</v>
      </c>
      <c r="N6" s="3">
        <v>77.507300000000001</v>
      </c>
      <c r="O6" s="1">
        <v>23.024000000000001</v>
      </c>
      <c r="P6" s="1">
        <v>10.6442</v>
      </c>
      <c r="Q6" s="3">
        <v>36608.938999999998</v>
      </c>
      <c r="R6" s="3">
        <v>40333.330699999999</v>
      </c>
      <c r="S6" s="3">
        <v>1.9309000000000001</v>
      </c>
      <c r="T6" s="3">
        <v>56048.4807</v>
      </c>
      <c r="U6" s="3">
        <v>33523.020499999999</v>
      </c>
      <c r="V6" s="1">
        <v>29.8</v>
      </c>
      <c r="W6" s="3">
        <v>93.034800000000004</v>
      </c>
      <c r="X6" s="1">
        <v>83</v>
      </c>
      <c r="Y6" s="1">
        <v>83</v>
      </c>
      <c r="Z6" s="1">
        <v>74</v>
      </c>
      <c r="AA6" s="1">
        <v>4.2</v>
      </c>
      <c r="AB6" s="1">
        <v>54.3</v>
      </c>
      <c r="AC6" s="1">
        <v>79.180499999999995</v>
      </c>
      <c r="AD6" s="1"/>
      <c r="AE6" s="1">
        <v>6</v>
      </c>
      <c r="AF6" s="1">
        <v>90.656099999999995</v>
      </c>
      <c r="AG6" s="1">
        <v>11</v>
      </c>
      <c r="AH6" s="1">
        <v>0.14000000000000001</v>
      </c>
      <c r="AI6" s="1">
        <v>5.0999999999999996</v>
      </c>
      <c r="AJ6" s="1">
        <v>4.5</v>
      </c>
      <c r="AK6" s="1">
        <v>5.5</v>
      </c>
      <c r="AL6" s="1">
        <v>66.765100000000004</v>
      </c>
      <c r="AM6" s="1">
        <v>2.9</v>
      </c>
      <c r="AN6" s="1">
        <v>55007</v>
      </c>
      <c r="AO6" s="1">
        <v>0</v>
      </c>
      <c r="AP6" s="1">
        <v>100</v>
      </c>
      <c r="AQ6" s="1">
        <v>99.996499999999997</v>
      </c>
      <c r="AR6" s="1">
        <v>97.404300000000006</v>
      </c>
      <c r="AS6" s="1">
        <v>99.262699999999995</v>
      </c>
      <c r="AT6" s="1">
        <v>99.994100000000003</v>
      </c>
      <c r="AU6" s="1">
        <v>18.4343</v>
      </c>
      <c r="AV6" s="3">
        <v>84.951499999999996</v>
      </c>
      <c r="AW6" s="1">
        <v>0.1</v>
      </c>
      <c r="AX6" s="1">
        <v>12.6</v>
      </c>
      <c r="AY6" s="1">
        <v>6</v>
      </c>
      <c r="AZ6" s="1">
        <v>4</v>
      </c>
      <c r="BA6" s="1">
        <v>99.694900000000004</v>
      </c>
      <c r="BB6" s="1">
        <v>33.879800000000003</v>
      </c>
      <c r="BC6" s="1">
        <v>6.9961000000000002</v>
      </c>
      <c r="BD6" s="3">
        <v>2.5649999999999999</v>
      </c>
      <c r="BE6" s="3">
        <v>91.542299999999997</v>
      </c>
      <c r="BF6" s="1">
        <v>65.432400000000001</v>
      </c>
      <c r="BG6" s="1">
        <v>23.2</v>
      </c>
      <c r="BH6" s="4">
        <v>2.1661000000000001</v>
      </c>
      <c r="BI6" s="4">
        <v>3186.9539</v>
      </c>
      <c r="BJ6" s="3">
        <v>96.153800000000004</v>
      </c>
      <c r="BK6" s="1">
        <v>1.0015000000000001</v>
      </c>
      <c r="BL6" s="1">
        <v>0.96299999999999997</v>
      </c>
      <c r="BM6" s="1">
        <v>0.94489999999999996</v>
      </c>
      <c r="BN6" s="1">
        <v>8</v>
      </c>
      <c r="BO6" s="1">
        <v>9.6389999999999993</v>
      </c>
      <c r="BP6" s="1">
        <v>17.38</v>
      </c>
      <c r="BQ6" s="3">
        <v>109.8231</v>
      </c>
      <c r="BR6" s="1">
        <v>83.4953</v>
      </c>
      <c r="BS6" s="4">
        <v>5.9690000000000003</v>
      </c>
      <c r="BT6" s="4">
        <v>5.9690000000000003</v>
      </c>
      <c r="BU6" s="4">
        <v>10.991</v>
      </c>
      <c r="BV6" s="4">
        <v>10.997</v>
      </c>
      <c r="BW6" s="3">
        <v>92.788499999999999</v>
      </c>
      <c r="BX6">
        <v>13.32</v>
      </c>
      <c r="BY6" s="5">
        <v>24765560</v>
      </c>
      <c r="BZ6" s="6">
        <v>95258076</v>
      </c>
      <c r="CA6" s="7">
        <f t="shared" si="0"/>
        <v>3.8463929747601102</v>
      </c>
      <c r="CB6">
        <v>8171966</v>
      </c>
      <c r="CC6" s="8">
        <f t="shared" si="1"/>
        <v>11.656690201598979</v>
      </c>
      <c r="CD6" s="8">
        <f t="shared" si="2"/>
        <v>3.0305510326401262</v>
      </c>
      <c r="CE6">
        <v>83878</v>
      </c>
      <c r="CF6" s="8">
        <f t="shared" si="3"/>
        <v>295.25692076587427</v>
      </c>
      <c r="CG6" s="8">
        <f t="shared" si="4"/>
        <v>1135.6741457831613</v>
      </c>
      <c r="CH6">
        <v>98.425579999999997</v>
      </c>
    </row>
    <row r="7" spans="1:86" ht="15.5" x14ac:dyDescent="0.35">
      <c r="A7" t="s">
        <v>86</v>
      </c>
      <c r="B7">
        <v>2005</v>
      </c>
      <c r="C7" s="2">
        <v>47.550400000000003</v>
      </c>
      <c r="D7" s="1">
        <v>131126.20000000001</v>
      </c>
      <c r="E7" s="1">
        <v>0.1716</v>
      </c>
      <c r="F7" s="1">
        <v>9.7728999999999999</v>
      </c>
      <c r="G7" s="1">
        <v>92000</v>
      </c>
      <c r="H7" s="1">
        <v>9</v>
      </c>
      <c r="I7" s="3">
        <v>100</v>
      </c>
      <c r="J7" s="3">
        <v>100</v>
      </c>
      <c r="K7" s="3">
        <v>3.875</v>
      </c>
      <c r="L7" s="3">
        <v>95.121899999999997</v>
      </c>
      <c r="M7" s="3">
        <v>7143000000</v>
      </c>
      <c r="N7" s="3">
        <v>81.963899999999995</v>
      </c>
      <c r="O7" s="1">
        <v>21.504000000000001</v>
      </c>
      <c r="P7" s="1">
        <v>14.266299999999999</v>
      </c>
      <c r="Q7" s="3">
        <v>38190.311999999998</v>
      </c>
      <c r="R7" s="3">
        <v>40989.013200000001</v>
      </c>
      <c r="S7" s="3">
        <v>1.6256999999999999</v>
      </c>
      <c r="T7" s="3">
        <v>56959.637999999999</v>
      </c>
      <c r="U7" s="3">
        <v>34776.67</v>
      </c>
      <c r="V7" s="1">
        <v>28.7</v>
      </c>
      <c r="W7" s="3">
        <v>92.647099999999995</v>
      </c>
      <c r="X7" s="1">
        <v>86</v>
      </c>
      <c r="Y7" s="1">
        <v>86</v>
      </c>
      <c r="Z7" s="1">
        <v>75</v>
      </c>
      <c r="AA7" s="1">
        <v>4.0999999999999996</v>
      </c>
      <c r="AB7" s="1">
        <v>58</v>
      </c>
      <c r="AC7" s="1">
        <v>79.331699999999998</v>
      </c>
      <c r="AD7" s="1"/>
      <c r="AE7" s="1">
        <v>6</v>
      </c>
      <c r="AF7" s="1">
        <v>92.726399999999998</v>
      </c>
      <c r="AG7" s="1">
        <v>9.6</v>
      </c>
      <c r="AH7" s="1">
        <v>0.16</v>
      </c>
      <c r="AI7" s="1">
        <v>4.9000000000000004</v>
      </c>
      <c r="AJ7" s="1">
        <v>4.4000000000000004</v>
      </c>
      <c r="AK7" s="1">
        <v>5.4</v>
      </c>
      <c r="AL7" s="1">
        <v>67.226200000000006</v>
      </c>
      <c r="AM7" s="1">
        <v>2.8</v>
      </c>
      <c r="AN7" s="1">
        <v>50676</v>
      </c>
      <c r="AO7" s="1">
        <v>0</v>
      </c>
      <c r="AP7" s="1">
        <v>100</v>
      </c>
      <c r="AQ7" s="1">
        <v>99.994699999999995</v>
      </c>
      <c r="AR7" s="1">
        <v>97.575500000000005</v>
      </c>
      <c r="AS7" s="1">
        <v>99.262699999999995</v>
      </c>
      <c r="AT7" s="1">
        <v>99.991</v>
      </c>
      <c r="AU7" s="1">
        <v>18.2028</v>
      </c>
      <c r="AV7" s="3">
        <v>86.407799999999995</v>
      </c>
      <c r="AW7" s="1">
        <v>0.2</v>
      </c>
      <c r="AX7" s="1">
        <v>12.6</v>
      </c>
      <c r="AY7" s="1">
        <v>6</v>
      </c>
      <c r="AZ7" s="1">
        <v>4</v>
      </c>
      <c r="BA7" s="1">
        <v>99.691100000000006</v>
      </c>
      <c r="BB7" s="1">
        <v>33.879800000000003</v>
      </c>
      <c r="BC7" s="1">
        <v>6.9942000000000002</v>
      </c>
      <c r="BD7" s="3">
        <v>2.3199999999999998</v>
      </c>
      <c r="BE7" s="3">
        <v>95.097999999999999</v>
      </c>
      <c r="BF7" s="1">
        <v>64.680700000000002</v>
      </c>
      <c r="BG7" s="1">
        <v>24.4</v>
      </c>
      <c r="BH7" s="4">
        <v>2.3732000000000002</v>
      </c>
      <c r="BI7" s="4">
        <v>3470.7262999999998</v>
      </c>
      <c r="BJ7" s="3">
        <v>97.607699999999994</v>
      </c>
      <c r="BK7" s="1">
        <v>0.99850000000000005</v>
      </c>
      <c r="BL7" s="1">
        <v>0.96630000000000005</v>
      </c>
      <c r="BM7" s="1">
        <v>0.9516</v>
      </c>
      <c r="BN7" s="1">
        <v>8</v>
      </c>
      <c r="BO7" s="1">
        <v>11.842000000000001</v>
      </c>
      <c r="BP7" s="1">
        <v>17.22</v>
      </c>
      <c r="BQ7" s="3">
        <v>107.8835</v>
      </c>
      <c r="BR7" s="1">
        <v>84.615799999999993</v>
      </c>
      <c r="BS7" s="4">
        <v>5.6820000000000004</v>
      </c>
      <c r="BT7" s="4">
        <v>5.6820000000000004</v>
      </c>
      <c r="BU7" s="4">
        <v>11.178000000000001</v>
      </c>
      <c r="BV7" s="4">
        <v>11.183</v>
      </c>
      <c r="BW7" s="3">
        <v>90.384600000000006</v>
      </c>
      <c r="BX7">
        <v>14.76</v>
      </c>
      <c r="BY7" s="5">
        <v>25555868</v>
      </c>
      <c r="BZ7" s="6">
        <v>97030589</v>
      </c>
      <c r="CA7" s="7">
        <f t="shared" si="0"/>
        <v>3.7968027147424617</v>
      </c>
      <c r="CB7">
        <v>8227829</v>
      </c>
      <c r="CC7" s="8">
        <f t="shared" si="1"/>
        <v>11.792975887077867</v>
      </c>
      <c r="CD7" s="8">
        <f t="shared" si="2"/>
        <v>3.1060280907636755</v>
      </c>
      <c r="CE7">
        <v>83878</v>
      </c>
      <c r="CF7" s="8">
        <f t="shared" si="3"/>
        <v>304.67903383485537</v>
      </c>
      <c r="CG7" s="8">
        <f t="shared" si="4"/>
        <v>1156.8061827892891</v>
      </c>
      <c r="CH7">
        <v>97.692909999999998</v>
      </c>
    </row>
    <row r="8" spans="1:86" ht="15.5" x14ac:dyDescent="0.35">
      <c r="A8" t="s">
        <v>86</v>
      </c>
      <c r="B8">
        <v>2006</v>
      </c>
      <c r="C8" s="2">
        <v>48.0319</v>
      </c>
      <c r="D8" s="1">
        <v>131221</v>
      </c>
      <c r="E8" s="1">
        <v>0.16170000000000001</v>
      </c>
      <c r="F8" s="1">
        <v>9.4656000000000002</v>
      </c>
      <c r="G8" s="1">
        <v>89100</v>
      </c>
      <c r="H8" s="1">
        <v>9</v>
      </c>
      <c r="I8" s="3">
        <v>101.68600000000001</v>
      </c>
      <c r="J8" s="3">
        <v>101.629</v>
      </c>
      <c r="K8" s="3">
        <v>3.7789999999999999</v>
      </c>
      <c r="L8" s="3">
        <v>94.634100000000004</v>
      </c>
      <c r="M8" s="3">
        <v>11080000000</v>
      </c>
      <c r="N8" s="3">
        <v>89.538899999999998</v>
      </c>
      <c r="O8" s="1">
        <v>20.956</v>
      </c>
      <c r="P8" s="1">
        <v>17.315799999999999</v>
      </c>
      <c r="Q8" s="3">
        <v>40387.724999999999</v>
      </c>
      <c r="R8" s="3">
        <v>42120.1558</v>
      </c>
      <c r="S8" s="3">
        <v>2.7595999999999998</v>
      </c>
      <c r="T8" s="3">
        <v>58531.5098</v>
      </c>
      <c r="U8" s="3">
        <v>37396.035100000001</v>
      </c>
      <c r="V8" s="1">
        <v>29.6</v>
      </c>
      <c r="W8" s="3">
        <v>96.0976</v>
      </c>
      <c r="X8" s="1">
        <v>83</v>
      </c>
      <c r="Y8" s="1">
        <v>83</v>
      </c>
      <c r="Z8" s="1">
        <v>80</v>
      </c>
      <c r="AA8" s="1">
        <v>4</v>
      </c>
      <c r="AB8" s="1">
        <v>63.6</v>
      </c>
      <c r="AC8" s="1">
        <v>79.880499999999998</v>
      </c>
      <c r="AD8" s="1">
        <v>102.5262</v>
      </c>
      <c r="AE8" s="1">
        <v>6</v>
      </c>
      <c r="AF8" s="1">
        <v>92.940799999999996</v>
      </c>
      <c r="AG8" s="1">
        <v>9.1</v>
      </c>
      <c r="AH8" s="1">
        <v>0.33</v>
      </c>
      <c r="AI8" s="1">
        <v>4.8</v>
      </c>
      <c r="AJ8" s="1">
        <v>4.3</v>
      </c>
      <c r="AK8" s="1">
        <v>5.2</v>
      </c>
      <c r="AL8" s="1">
        <v>68.729900000000001</v>
      </c>
      <c r="AM8" s="1">
        <v>2.8</v>
      </c>
      <c r="AN8" s="1">
        <v>25787</v>
      </c>
      <c r="AO8" s="1">
        <v>0</v>
      </c>
      <c r="AP8" s="1">
        <v>100</v>
      </c>
      <c r="AQ8" s="1">
        <v>99.992900000000006</v>
      </c>
      <c r="AR8" s="1">
        <v>97.746799999999993</v>
      </c>
      <c r="AS8" s="1">
        <v>99.262699999999995</v>
      </c>
      <c r="AT8" s="1">
        <v>99.987899999999996</v>
      </c>
      <c r="AU8" s="1">
        <v>17.802499999999998</v>
      </c>
      <c r="AV8" s="3">
        <v>86.473399999999998</v>
      </c>
      <c r="AW8" s="1">
        <v>0.1</v>
      </c>
      <c r="AX8" s="1">
        <v>12</v>
      </c>
      <c r="AY8" s="1">
        <v>6</v>
      </c>
      <c r="AZ8" s="1">
        <v>4</v>
      </c>
      <c r="BA8" s="1">
        <v>99.687200000000004</v>
      </c>
      <c r="BB8" s="1">
        <v>32.240400000000001</v>
      </c>
      <c r="BC8" s="1">
        <v>6.9433999999999996</v>
      </c>
      <c r="BD8" s="3">
        <v>3.2690000000000001</v>
      </c>
      <c r="BE8" s="3">
        <v>96.078400000000002</v>
      </c>
      <c r="BF8" s="1">
        <v>66.565100000000001</v>
      </c>
      <c r="BG8" s="1">
        <v>26.6</v>
      </c>
      <c r="BH8" s="4">
        <v>2.3592</v>
      </c>
      <c r="BI8" s="4">
        <v>3536.8227999999999</v>
      </c>
      <c r="BJ8" s="3">
        <v>98.564599999999999</v>
      </c>
      <c r="BK8" s="1">
        <v>0.99170000000000003</v>
      </c>
      <c r="BL8" s="1">
        <v>0.96989999999999998</v>
      </c>
      <c r="BM8" s="1">
        <v>0.96009999999999995</v>
      </c>
      <c r="BN8" s="1">
        <v>8</v>
      </c>
      <c r="BO8" s="1">
        <v>11.22</v>
      </c>
      <c r="BP8" s="1">
        <v>16.28</v>
      </c>
      <c r="BQ8" s="3">
        <v>106.5497</v>
      </c>
      <c r="BR8" s="1">
        <v>86.046700000000001</v>
      </c>
      <c r="BS8" s="4">
        <v>5.32</v>
      </c>
      <c r="BT8" s="4">
        <v>5.32</v>
      </c>
      <c r="BU8" s="4">
        <v>10.045999999999999</v>
      </c>
      <c r="BV8" s="4">
        <v>10.051</v>
      </c>
      <c r="BW8" s="3">
        <v>93.75</v>
      </c>
      <c r="BX8">
        <v>17.170000000000002</v>
      </c>
      <c r="BY8" s="5">
        <v>26508469</v>
      </c>
      <c r="BZ8" s="6">
        <v>98129546</v>
      </c>
      <c r="CA8" s="7">
        <f t="shared" si="0"/>
        <v>3.7018186904720904</v>
      </c>
      <c r="CB8">
        <v>8268641</v>
      </c>
      <c r="CC8" s="8">
        <f t="shared" si="1"/>
        <v>11.867675232241913</v>
      </c>
      <c r="CD8" s="8">
        <f t="shared" si="2"/>
        <v>3.2059039689835367</v>
      </c>
      <c r="CE8">
        <v>83878</v>
      </c>
      <c r="CF8" s="8">
        <f t="shared" si="3"/>
        <v>316.03601659553158</v>
      </c>
      <c r="CG8" s="8">
        <f t="shared" si="4"/>
        <v>1169.9080330956865</v>
      </c>
      <c r="CH8">
        <v>97.046260000000004</v>
      </c>
    </row>
    <row r="9" spans="1:86" ht="15.5" x14ac:dyDescent="0.35">
      <c r="A9" t="s">
        <v>86</v>
      </c>
      <c r="B9">
        <v>2007</v>
      </c>
      <c r="C9" s="2">
        <v>48.215800000000002</v>
      </c>
      <c r="D9" s="1">
        <v>130576.9</v>
      </c>
      <c r="E9" s="1">
        <v>0.1502</v>
      </c>
      <c r="F9" s="1">
        <v>9.0938999999999997</v>
      </c>
      <c r="G9" s="1">
        <v>86300</v>
      </c>
      <c r="H9" s="1">
        <v>9</v>
      </c>
      <c r="I9" s="3">
        <v>103.923</v>
      </c>
      <c r="J9" s="3">
        <v>105.15300000000001</v>
      </c>
      <c r="K9" s="3">
        <v>5.1950000000000003</v>
      </c>
      <c r="L9" s="3">
        <v>96.116500000000002</v>
      </c>
      <c r="M9" s="3">
        <v>14800000000</v>
      </c>
      <c r="N9" s="3">
        <v>107.1317</v>
      </c>
      <c r="O9" s="1">
        <v>20.997</v>
      </c>
      <c r="P9" s="1">
        <v>19.549299999999999</v>
      </c>
      <c r="Q9" s="3">
        <v>46630.129000000001</v>
      </c>
      <c r="R9" s="3">
        <v>43568.830300000001</v>
      </c>
      <c r="S9" s="3">
        <v>3.4394</v>
      </c>
      <c r="T9" s="3">
        <v>60544.633999999998</v>
      </c>
      <c r="U9" s="3">
        <v>39193.8174</v>
      </c>
      <c r="V9" s="1">
        <v>30.6</v>
      </c>
      <c r="W9" s="3">
        <v>96.601900000000001</v>
      </c>
      <c r="X9" s="1">
        <v>85</v>
      </c>
      <c r="Y9" s="1">
        <v>85</v>
      </c>
      <c r="Z9" s="1">
        <v>79</v>
      </c>
      <c r="AA9" s="1">
        <v>3.9</v>
      </c>
      <c r="AB9" s="1">
        <v>69.400000000000006</v>
      </c>
      <c r="AC9" s="1">
        <v>80.180499999999995</v>
      </c>
      <c r="AD9" s="1">
        <v>102.7783</v>
      </c>
      <c r="AE9" s="1">
        <v>6</v>
      </c>
      <c r="AF9" s="1">
        <v>93.059399999999997</v>
      </c>
      <c r="AG9" s="1">
        <v>8.6</v>
      </c>
      <c r="AH9" s="1">
        <v>0.36</v>
      </c>
      <c r="AI9" s="1">
        <v>4.5999999999999996</v>
      </c>
      <c r="AJ9" s="1">
        <v>4.2</v>
      </c>
      <c r="AK9" s="1">
        <v>5.0999999999999996</v>
      </c>
      <c r="AL9" s="1">
        <v>69.369500000000002</v>
      </c>
      <c r="AM9" s="1">
        <v>2.7</v>
      </c>
      <c r="AN9" s="1">
        <v>24616</v>
      </c>
      <c r="AO9" s="1">
        <v>0</v>
      </c>
      <c r="AP9" s="1">
        <v>100</v>
      </c>
      <c r="AQ9" s="1">
        <v>99.991100000000003</v>
      </c>
      <c r="AR9" s="1">
        <v>97.918099999999995</v>
      </c>
      <c r="AS9" s="1">
        <v>99.262699999999995</v>
      </c>
      <c r="AT9" s="1">
        <v>99.984700000000004</v>
      </c>
      <c r="AU9" s="1">
        <v>17.2316</v>
      </c>
      <c r="AV9" s="3">
        <v>96.135300000000001</v>
      </c>
      <c r="AW9" s="1">
        <v>0.4</v>
      </c>
      <c r="AX9" s="1">
        <v>15.2</v>
      </c>
      <c r="AY9" s="1">
        <v>6</v>
      </c>
      <c r="AZ9" s="1">
        <v>4</v>
      </c>
      <c r="BA9" s="1">
        <v>99.683300000000003</v>
      </c>
      <c r="BB9" s="1">
        <v>32.786900000000003</v>
      </c>
      <c r="BC9" s="1">
        <v>6.9393000000000002</v>
      </c>
      <c r="BD9" s="3">
        <v>3.7749999999999999</v>
      </c>
      <c r="BE9" s="3">
        <v>96.116500000000002</v>
      </c>
      <c r="BF9" s="1">
        <v>69.637500000000003</v>
      </c>
      <c r="BG9" s="1">
        <v>29</v>
      </c>
      <c r="BH9" s="4">
        <v>2.4184000000000001</v>
      </c>
      <c r="BI9" s="4">
        <v>3823.6313</v>
      </c>
      <c r="BJ9" s="3">
        <v>99.521500000000003</v>
      </c>
      <c r="BK9" s="1">
        <v>0.98770000000000002</v>
      </c>
      <c r="BL9" s="1">
        <v>0.96879999999999999</v>
      </c>
      <c r="BM9" s="1">
        <v>0.96050000000000002</v>
      </c>
      <c r="BN9" s="1">
        <v>8</v>
      </c>
      <c r="BO9" s="1">
        <v>10.707000000000001</v>
      </c>
      <c r="BP9" s="1">
        <v>15.98</v>
      </c>
      <c r="BQ9" s="3">
        <v>107.1542</v>
      </c>
      <c r="BR9" s="1">
        <v>86.832800000000006</v>
      </c>
      <c r="BS9" s="4">
        <v>4.9089999999999998</v>
      </c>
      <c r="BT9" s="4">
        <v>4.9089999999999998</v>
      </c>
      <c r="BU9" s="4">
        <v>9.5960000000000001</v>
      </c>
      <c r="BV9" s="4">
        <v>9.6010000000000009</v>
      </c>
      <c r="BW9" s="3">
        <v>94.711500000000001</v>
      </c>
      <c r="BX9">
        <v>15.24</v>
      </c>
      <c r="BY9" s="5">
        <v>27563291</v>
      </c>
      <c r="BZ9" s="6">
        <v>100664352</v>
      </c>
      <c r="CA9" s="7">
        <f t="shared" si="0"/>
        <v>3.6521165778063294</v>
      </c>
      <c r="CB9">
        <v>8295487</v>
      </c>
      <c r="CC9" s="8">
        <f t="shared" si="1"/>
        <v>12.134833313583639</v>
      </c>
      <c r="CD9" s="8">
        <f t="shared" si="2"/>
        <v>3.3226850937142087</v>
      </c>
      <c r="CE9">
        <v>83878</v>
      </c>
      <c r="CF9" s="8">
        <f t="shared" si="3"/>
        <v>328.61168602017216</v>
      </c>
      <c r="CG9" s="8">
        <f t="shared" si="4"/>
        <v>1200.1281861751593</v>
      </c>
      <c r="CH9">
        <v>96.396529999999998</v>
      </c>
    </row>
    <row r="10" spans="1:86" ht="15.5" x14ac:dyDescent="0.35">
      <c r="A10" t="s">
        <v>86</v>
      </c>
      <c r="B10">
        <v>2008</v>
      </c>
      <c r="C10" s="2">
        <v>48.213200000000001</v>
      </c>
      <c r="D10" s="1">
        <v>130809</v>
      </c>
      <c r="E10" s="1">
        <v>0.1477</v>
      </c>
      <c r="F10" s="1">
        <v>9.0412999999999997</v>
      </c>
      <c r="G10" s="1">
        <v>86100</v>
      </c>
      <c r="H10" s="1">
        <v>9</v>
      </c>
      <c r="I10" s="3">
        <v>107.28</v>
      </c>
      <c r="J10" s="3">
        <v>106.697</v>
      </c>
      <c r="K10" s="3">
        <v>4.5810000000000004</v>
      </c>
      <c r="L10" s="3">
        <v>93.689300000000003</v>
      </c>
      <c r="M10" s="3">
        <v>19397000000</v>
      </c>
      <c r="N10" s="3">
        <v>118.7003</v>
      </c>
      <c r="O10" s="1">
        <v>25.193000000000001</v>
      </c>
      <c r="P10" s="1">
        <v>20.773099999999999</v>
      </c>
      <c r="Q10" s="3">
        <v>51575.468000000001</v>
      </c>
      <c r="R10" s="3">
        <v>44063.864200000004</v>
      </c>
      <c r="S10" s="3">
        <v>1.1362000000000001</v>
      </c>
      <c r="T10" s="3">
        <v>61232.548900000002</v>
      </c>
      <c r="U10" s="3">
        <v>41046.79</v>
      </c>
      <c r="V10" s="1">
        <v>30.4</v>
      </c>
      <c r="W10" s="3">
        <v>94.660200000000003</v>
      </c>
      <c r="X10" s="1">
        <v>83</v>
      </c>
      <c r="Y10" s="1">
        <v>83</v>
      </c>
      <c r="Z10" s="1">
        <v>83</v>
      </c>
      <c r="AA10" s="1">
        <v>3.8</v>
      </c>
      <c r="AB10" s="1">
        <v>72.900000000000006</v>
      </c>
      <c r="AC10" s="1">
        <v>80.431700000000006</v>
      </c>
      <c r="AD10" s="1">
        <v>102.9957</v>
      </c>
      <c r="AE10" s="1">
        <v>6</v>
      </c>
      <c r="AF10" s="1">
        <v>93.093199999999996</v>
      </c>
      <c r="AG10" s="1">
        <v>8.4</v>
      </c>
      <c r="AH10" s="1">
        <v>0.21</v>
      </c>
      <c r="AI10" s="1">
        <v>4.5</v>
      </c>
      <c r="AJ10" s="1">
        <v>4.0999999999999996</v>
      </c>
      <c r="AK10" s="1">
        <v>5</v>
      </c>
      <c r="AL10" s="1">
        <v>69.210899999999995</v>
      </c>
      <c r="AM10" s="1">
        <v>2.6</v>
      </c>
      <c r="AN10" s="1">
        <v>25405</v>
      </c>
      <c r="AO10" s="1">
        <v>0</v>
      </c>
      <c r="AP10" s="1">
        <v>100</v>
      </c>
      <c r="AQ10" s="1">
        <v>99.9893</v>
      </c>
      <c r="AR10" s="1">
        <v>98.089299999999994</v>
      </c>
      <c r="AS10" s="1">
        <v>99.262699999999995</v>
      </c>
      <c r="AT10" s="1">
        <v>99.9816</v>
      </c>
      <c r="AU10" s="1">
        <v>16.639299999999999</v>
      </c>
      <c r="AV10" s="3">
        <v>98.557699999999997</v>
      </c>
      <c r="AW10" s="1">
        <v>0.5</v>
      </c>
      <c r="AX10" s="1">
        <v>14.5</v>
      </c>
      <c r="AY10" s="1">
        <v>6</v>
      </c>
      <c r="AZ10" s="1">
        <v>4</v>
      </c>
      <c r="BA10" s="1">
        <v>99.679400000000001</v>
      </c>
      <c r="BB10" s="1">
        <v>27.322399999999998</v>
      </c>
      <c r="BC10" s="1">
        <v>7.1763000000000003</v>
      </c>
      <c r="BD10" s="3">
        <v>1.4530000000000001</v>
      </c>
      <c r="BE10" s="3">
        <v>94.174800000000005</v>
      </c>
      <c r="BF10" s="1">
        <v>70.107799999999997</v>
      </c>
      <c r="BG10" s="1">
        <v>29.7</v>
      </c>
      <c r="BH10" s="4">
        <v>2.5693999999999999</v>
      </c>
      <c r="BI10" s="4">
        <v>4152.7548999999999</v>
      </c>
      <c r="BJ10" s="3">
        <v>98.557699999999997</v>
      </c>
      <c r="BK10" s="1">
        <v>0.98340000000000005</v>
      </c>
      <c r="BL10" s="1">
        <v>0.96560000000000001</v>
      </c>
      <c r="BM10" s="1">
        <v>0.95789999999999997</v>
      </c>
      <c r="BN10" s="1">
        <v>8</v>
      </c>
      <c r="BO10" s="1">
        <v>10.366</v>
      </c>
      <c r="BP10" s="1">
        <v>15.72</v>
      </c>
      <c r="BQ10" s="3">
        <v>104.2503</v>
      </c>
      <c r="BR10" s="1">
        <v>88.482799999999997</v>
      </c>
      <c r="BS10" s="4">
        <v>4.1980000000000004</v>
      </c>
      <c r="BT10" s="4">
        <v>4.1980000000000004</v>
      </c>
      <c r="BU10" s="4">
        <v>8.7200000000000006</v>
      </c>
      <c r="BV10" s="4">
        <v>8.7249999999999996</v>
      </c>
      <c r="BW10" s="3">
        <v>94.230800000000002</v>
      </c>
      <c r="BX10">
        <v>15.3</v>
      </c>
      <c r="BY10" s="5">
        <v>28833247</v>
      </c>
      <c r="BZ10" s="6">
        <v>104709683</v>
      </c>
      <c r="CA10" s="7">
        <f t="shared" si="0"/>
        <v>3.6315605731120049</v>
      </c>
      <c r="CB10">
        <v>8321496</v>
      </c>
      <c r="CC10" s="8">
        <f t="shared" si="1"/>
        <v>12.583035910850645</v>
      </c>
      <c r="CD10" s="8">
        <f t="shared" si="2"/>
        <v>3.4649114774554959</v>
      </c>
      <c r="CE10">
        <v>83878</v>
      </c>
      <c r="CF10" s="8">
        <f t="shared" si="3"/>
        <v>343.75219962326236</v>
      </c>
      <c r="CG10" s="8">
        <f t="shared" si="4"/>
        <v>1248.3569350723669</v>
      </c>
      <c r="CH10">
        <v>95.643299999999996</v>
      </c>
    </row>
    <row r="11" spans="1:86" ht="15.5" x14ac:dyDescent="0.35">
      <c r="A11" t="s">
        <v>86</v>
      </c>
      <c r="B11">
        <v>2009</v>
      </c>
      <c r="C11" s="2">
        <v>48.253999999999998</v>
      </c>
      <c r="D11" s="1">
        <v>121247.4</v>
      </c>
      <c r="E11" s="1">
        <v>0.13850000000000001</v>
      </c>
      <c r="F11" s="1">
        <v>8.157</v>
      </c>
      <c r="G11" s="1">
        <v>79400</v>
      </c>
      <c r="H11" s="1">
        <v>9</v>
      </c>
      <c r="I11" s="3">
        <v>107.715</v>
      </c>
      <c r="J11" s="3">
        <v>107.819</v>
      </c>
      <c r="K11" s="3">
        <v>3.16</v>
      </c>
      <c r="L11" s="3">
        <v>92.822999999999993</v>
      </c>
      <c r="M11" s="3">
        <v>10420000000</v>
      </c>
      <c r="N11" s="3">
        <v>89.694199999999995</v>
      </c>
      <c r="O11" s="1">
        <v>23.251999999999999</v>
      </c>
      <c r="P11" s="1">
        <v>22.5106</v>
      </c>
      <c r="Q11" s="3">
        <v>47816.021000000001</v>
      </c>
      <c r="R11" s="3">
        <v>42372.4758</v>
      </c>
      <c r="S11" s="3">
        <v>-3.8384999999999998</v>
      </c>
      <c r="T11" s="3">
        <v>58882.1417</v>
      </c>
      <c r="U11" s="3">
        <v>40665.504699999998</v>
      </c>
      <c r="V11" s="1">
        <v>31.5</v>
      </c>
      <c r="W11" s="3">
        <v>93.779899999999998</v>
      </c>
      <c r="X11" s="1">
        <v>83</v>
      </c>
      <c r="Y11" s="1">
        <v>83</v>
      </c>
      <c r="Z11" s="1">
        <v>76</v>
      </c>
      <c r="AA11" s="1">
        <v>3.7</v>
      </c>
      <c r="AB11" s="1">
        <v>73.5</v>
      </c>
      <c r="AC11" s="1">
        <v>80.331699999999998</v>
      </c>
      <c r="AD11" s="1">
        <v>102.4618</v>
      </c>
      <c r="AE11" s="1">
        <v>6</v>
      </c>
      <c r="AF11" s="1">
        <v>93.118200000000002</v>
      </c>
      <c r="AG11" s="1">
        <v>7.8</v>
      </c>
      <c r="AH11" s="1">
        <v>0.21</v>
      </c>
      <c r="AI11" s="1">
        <v>4.4000000000000004</v>
      </c>
      <c r="AJ11" s="1">
        <v>4</v>
      </c>
      <c r="AK11" s="1">
        <v>4.9000000000000004</v>
      </c>
      <c r="AL11" s="1">
        <v>68.362899999999996</v>
      </c>
      <c r="AM11" s="1">
        <v>2.6</v>
      </c>
      <c r="AN11" s="1">
        <v>18222</v>
      </c>
      <c r="AO11" s="1">
        <v>0</v>
      </c>
      <c r="AP11" s="1">
        <v>100</v>
      </c>
      <c r="AQ11" s="1">
        <v>99.9876</v>
      </c>
      <c r="AR11" s="1">
        <v>98.260599999999997</v>
      </c>
      <c r="AS11" s="1">
        <v>99.262699999999995</v>
      </c>
      <c r="AT11" s="1">
        <v>99.978499999999997</v>
      </c>
      <c r="AU11" s="1">
        <v>16.174600000000002</v>
      </c>
      <c r="AV11" s="3">
        <v>90.9953</v>
      </c>
      <c r="AW11" s="1">
        <v>0.7</v>
      </c>
      <c r="AX11" s="1">
        <v>14.7</v>
      </c>
      <c r="AY11" s="1">
        <v>6</v>
      </c>
      <c r="AZ11" s="1">
        <v>4</v>
      </c>
      <c r="BA11" s="1">
        <v>99.675600000000003</v>
      </c>
      <c r="BB11" s="1">
        <v>27.8689</v>
      </c>
      <c r="BC11" s="1">
        <v>7.4492000000000003</v>
      </c>
      <c r="BD11" s="3">
        <v>-3.5859999999999999</v>
      </c>
      <c r="BE11" s="3">
        <v>92.344499999999996</v>
      </c>
      <c r="BF11" s="1">
        <v>72.3</v>
      </c>
      <c r="BG11" s="1">
        <v>31.3</v>
      </c>
      <c r="BH11" s="4">
        <v>2.5966999999999998</v>
      </c>
      <c r="BI11" s="4">
        <v>4157.9301999999998</v>
      </c>
      <c r="BJ11" s="3">
        <v>96.208500000000001</v>
      </c>
      <c r="BK11" s="1">
        <v>0.9889</v>
      </c>
      <c r="BL11" s="1">
        <v>0.96519999999999995</v>
      </c>
      <c r="BM11" s="1">
        <v>0.95509999999999995</v>
      </c>
      <c r="BN11" s="1">
        <v>8</v>
      </c>
      <c r="BO11" s="1">
        <v>11.726000000000001</v>
      </c>
      <c r="BP11" s="1">
        <v>15.84</v>
      </c>
      <c r="BQ11" s="3">
        <v>106.19670000000001</v>
      </c>
      <c r="BR11" s="1">
        <v>85.294499999999999</v>
      </c>
      <c r="BS11" s="4">
        <v>5.3710000000000004</v>
      </c>
      <c r="BT11" s="4">
        <v>5.3710000000000004</v>
      </c>
      <c r="BU11" s="4">
        <v>10.896000000000001</v>
      </c>
      <c r="BV11" s="4">
        <v>10.903</v>
      </c>
      <c r="BW11" s="3">
        <v>94.786699999999996</v>
      </c>
      <c r="BX11">
        <v>18.77</v>
      </c>
      <c r="BY11" s="5">
        <v>28566589</v>
      </c>
      <c r="BZ11" s="6">
        <v>102833458</v>
      </c>
      <c r="CA11" s="7">
        <f t="shared" si="0"/>
        <v>3.5997807788672285</v>
      </c>
      <c r="CB11">
        <v>8343323</v>
      </c>
      <c r="CC11" s="8">
        <f t="shared" si="1"/>
        <v>12.325239955351122</v>
      </c>
      <c r="CD11" s="8">
        <f t="shared" si="2"/>
        <v>3.4238862621044395</v>
      </c>
      <c r="CE11">
        <v>83878</v>
      </c>
      <c r="CF11" s="8">
        <f t="shared" si="3"/>
        <v>340.57308233386584</v>
      </c>
      <c r="CG11" s="8">
        <f t="shared" si="4"/>
        <v>1225.9884355850163</v>
      </c>
      <c r="CH11">
        <v>97.005930000000006</v>
      </c>
    </row>
    <row r="12" spans="1:86" ht="15.5" x14ac:dyDescent="0.35">
      <c r="A12" t="s">
        <v>86</v>
      </c>
      <c r="B12">
        <v>2010</v>
      </c>
      <c r="C12" s="2">
        <v>48.104599999999998</v>
      </c>
      <c r="D12" s="1">
        <v>126027.4</v>
      </c>
      <c r="E12" s="1">
        <v>0.14749999999999999</v>
      </c>
      <c r="F12" s="1">
        <v>8.8237000000000005</v>
      </c>
      <c r="G12" s="1">
        <v>84200</v>
      </c>
      <c r="H12" s="1">
        <v>9</v>
      </c>
      <c r="I12" s="3">
        <v>109.53700000000001</v>
      </c>
      <c r="J12" s="3">
        <v>110.173</v>
      </c>
      <c r="K12" s="3">
        <v>4.1509999999999998</v>
      </c>
      <c r="L12" s="3">
        <v>91.904799999999994</v>
      </c>
      <c r="M12" s="3">
        <v>11207000000</v>
      </c>
      <c r="N12" s="3">
        <v>99.889499999999998</v>
      </c>
      <c r="O12" s="1">
        <v>25.422000000000001</v>
      </c>
      <c r="P12" s="1">
        <v>24.511399999999998</v>
      </c>
      <c r="Q12" s="3">
        <v>46662.235000000001</v>
      </c>
      <c r="R12" s="3">
        <v>43035.407500000001</v>
      </c>
      <c r="S12" s="3">
        <v>1.5645</v>
      </c>
      <c r="T12" s="3">
        <v>59803.3727</v>
      </c>
      <c r="U12" s="3">
        <v>41740.1149</v>
      </c>
      <c r="V12" s="1">
        <v>30.3</v>
      </c>
      <c r="W12" s="3">
        <v>97.129199999999997</v>
      </c>
      <c r="X12" s="1">
        <v>86</v>
      </c>
      <c r="Y12" s="1">
        <v>86</v>
      </c>
      <c r="Z12" s="1">
        <v>80</v>
      </c>
      <c r="AA12" s="1">
        <v>3.6</v>
      </c>
      <c r="AB12" s="1">
        <v>75.2</v>
      </c>
      <c r="AC12" s="1">
        <v>80.580500000000001</v>
      </c>
      <c r="AD12" s="1">
        <v>100.8644</v>
      </c>
      <c r="AE12" s="1">
        <v>6</v>
      </c>
      <c r="AF12" s="1">
        <v>93.774799999999999</v>
      </c>
      <c r="AG12" s="1">
        <v>6.8</v>
      </c>
      <c r="AH12" s="1">
        <v>0.28999999999999998</v>
      </c>
      <c r="AI12" s="1">
        <v>4.3</v>
      </c>
      <c r="AJ12" s="1">
        <v>3.9</v>
      </c>
      <c r="AK12" s="1">
        <v>4.7</v>
      </c>
      <c r="AL12" s="1">
        <v>68.796400000000006</v>
      </c>
      <c r="AM12" s="1">
        <v>2.5</v>
      </c>
      <c r="AN12" s="1">
        <v>22570</v>
      </c>
      <c r="AO12" s="1">
        <v>0</v>
      </c>
      <c r="AP12" s="1">
        <v>100</v>
      </c>
      <c r="AQ12" s="1">
        <v>99.985799999999998</v>
      </c>
      <c r="AR12" s="1">
        <v>98.431799999999996</v>
      </c>
      <c r="AS12" s="1">
        <v>99.262699999999995</v>
      </c>
      <c r="AT12" s="1">
        <v>99.975300000000004</v>
      </c>
      <c r="AU12" s="1">
        <v>15.986599999999999</v>
      </c>
      <c r="AV12" s="3">
        <v>89.099500000000006</v>
      </c>
      <c r="AW12" s="1">
        <v>0.5</v>
      </c>
      <c r="AX12" s="1">
        <v>14.5</v>
      </c>
      <c r="AY12" s="1">
        <v>6</v>
      </c>
      <c r="AZ12" s="1">
        <v>4</v>
      </c>
      <c r="BA12" s="1">
        <v>99.671800000000005</v>
      </c>
      <c r="BB12" s="1">
        <v>27.8689</v>
      </c>
      <c r="BC12" s="1">
        <v>7.3996000000000004</v>
      </c>
      <c r="BD12" s="3">
        <v>1.8089999999999999</v>
      </c>
      <c r="BE12" s="3">
        <v>92.344499999999996</v>
      </c>
      <c r="BF12" s="1">
        <v>67.755799999999994</v>
      </c>
      <c r="BG12" s="1">
        <v>31.1</v>
      </c>
      <c r="BH12" s="4">
        <v>2.7261000000000002</v>
      </c>
      <c r="BI12" s="4">
        <v>4379.1821</v>
      </c>
      <c r="BJ12" s="3">
        <v>96.682500000000005</v>
      </c>
      <c r="BK12" s="1">
        <v>0.98709999999999998</v>
      </c>
      <c r="BL12" s="1">
        <v>0.96870000000000001</v>
      </c>
      <c r="BM12" s="1">
        <v>0.9607</v>
      </c>
      <c r="BN12" s="1">
        <v>8</v>
      </c>
      <c r="BO12" s="1">
        <v>10.788</v>
      </c>
      <c r="BP12" s="1">
        <v>16.05</v>
      </c>
      <c r="BQ12" s="3">
        <v>103.51349999999999</v>
      </c>
      <c r="BR12" s="1">
        <v>86.839299999999994</v>
      </c>
      <c r="BS12" s="4">
        <v>4.883</v>
      </c>
      <c r="BT12" s="4">
        <v>4.883</v>
      </c>
      <c r="BU12" s="4">
        <v>9.673</v>
      </c>
      <c r="BV12" s="4">
        <v>9.68</v>
      </c>
      <c r="BW12" s="3">
        <v>95.2607</v>
      </c>
      <c r="BX12">
        <v>18.34</v>
      </c>
      <c r="BY12" s="5">
        <v>29700112</v>
      </c>
      <c r="BZ12" s="6">
        <v>103942335</v>
      </c>
      <c r="CA12" s="7">
        <f t="shared" si="0"/>
        <v>3.4997287215617234</v>
      </c>
      <c r="CB12">
        <v>8363404</v>
      </c>
      <c r="CC12" s="8">
        <f t="shared" si="1"/>
        <v>12.4282331691737</v>
      </c>
      <c r="CD12" s="8">
        <f t="shared" si="2"/>
        <v>3.5511990093985655</v>
      </c>
      <c r="CE12">
        <v>83878</v>
      </c>
      <c r="CF12" s="8">
        <f t="shared" si="3"/>
        <v>354.08703116431008</v>
      </c>
      <c r="CG12" s="8">
        <f t="shared" si="4"/>
        <v>1239.208552898257</v>
      </c>
      <c r="CH12">
        <v>96.341530000000006</v>
      </c>
    </row>
    <row r="13" spans="1:86" ht="15.5" x14ac:dyDescent="0.35">
      <c r="A13" t="s">
        <v>86</v>
      </c>
      <c r="B13">
        <v>2011</v>
      </c>
      <c r="C13" s="2">
        <v>47.889499999999998</v>
      </c>
      <c r="D13" s="1">
        <v>125332.6</v>
      </c>
      <c r="E13" s="1">
        <v>0.14019999999999999</v>
      </c>
      <c r="F13" s="1">
        <v>8.6031999999999993</v>
      </c>
      <c r="G13" s="1">
        <v>81800</v>
      </c>
      <c r="H13" s="1">
        <v>10</v>
      </c>
      <c r="I13" s="3">
        <v>113.417</v>
      </c>
      <c r="J13" s="3">
        <v>113.913</v>
      </c>
      <c r="K13" s="3">
        <v>4.6689999999999996</v>
      </c>
      <c r="L13" s="3">
        <v>89.573499999999996</v>
      </c>
      <c r="M13" s="3">
        <v>7038000000</v>
      </c>
      <c r="N13" s="3">
        <v>116.172</v>
      </c>
      <c r="O13" s="1">
        <v>26.074000000000002</v>
      </c>
      <c r="P13" s="1">
        <v>24.992599999999999</v>
      </c>
      <c r="Q13" s="3">
        <v>51126.851000000002</v>
      </c>
      <c r="R13" s="3">
        <v>44146.195800000001</v>
      </c>
      <c r="S13" s="3">
        <v>2.5811000000000002</v>
      </c>
      <c r="T13" s="3">
        <v>61346.9594</v>
      </c>
      <c r="U13" s="3">
        <v>44171.561900000001</v>
      </c>
      <c r="V13" s="1">
        <v>30.8</v>
      </c>
      <c r="W13" s="3">
        <v>92.891000000000005</v>
      </c>
      <c r="X13" s="1">
        <v>89</v>
      </c>
      <c r="Y13" s="1">
        <v>89</v>
      </c>
      <c r="Z13" s="1">
        <v>84</v>
      </c>
      <c r="AA13" s="1">
        <v>3.5</v>
      </c>
      <c r="AB13" s="1">
        <v>78.7</v>
      </c>
      <c r="AC13" s="1">
        <v>80.982900000000001</v>
      </c>
      <c r="AD13" s="1">
        <v>101.9843</v>
      </c>
      <c r="AE13" s="1">
        <v>6</v>
      </c>
      <c r="AF13" s="1">
        <v>93.914599999999993</v>
      </c>
      <c r="AG13" s="1">
        <v>6.4</v>
      </c>
      <c r="AH13" s="1">
        <v>0.2</v>
      </c>
      <c r="AI13" s="1">
        <v>4.2</v>
      </c>
      <c r="AJ13" s="1">
        <v>3.8</v>
      </c>
      <c r="AK13" s="1">
        <v>4.5999999999999996</v>
      </c>
      <c r="AL13" s="1">
        <v>68.768900000000002</v>
      </c>
      <c r="AM13" s="1">
        <v>2.4</v>
      </c>
      <c r="AN13" s="1">
        <v>31887</v>
      </c>
      <c r="AO13" s="1">
        <v>0</v>
      </c>
      <c r="AP13" s="1">
        <v>100</v>
      </c>
      <c r="AQ13" s="1">
        <v>99.984099999999998</v>
      </c>
      <c r="AR13" s="1">
        <v>98.603099999999998</v>
      </c>
      <c r="AS13" s="1">
        <v>99.262699999999995</v>
      </c>
      <c r="AT13" s="1">
        <v>99.972200000000001</v>
      </c>
      <c r="AU13" s="1">
        <v>16.367599999999999</v>
      </c>
      <c r="AV13" s="3">
        <v>91.469200000000001</v>
      </c>
      <c r="AW13" s="1">
        <v>0.4</v>
      </c>
      <c r="AX13" s="1">
        <v>14.4</v>
      </c>
      <c r="AY13" s="1">
        <v>6</v>
      </c>
      <c r="AZ13" s="1">
        <v>4</v>
      </c>
      <c r="BA13" s="1">
        <v>99.667900000000003</v>
      </c>
      <c r="BB13" s="1">
        <v>27.8689</v>
      </c>
      <c r="BC13" s="1">
        <v>7.2878999999999996</v>
      </c>
      <c r="BD13" s="3">
        <v>2.927</v>
      </c>
      <c r="BE13" s="3">
        <v>90.521299999999997</v>
      </c>
      <c r="BF13" s="1">
        <v>67.541600000000003</v>
      </c>
      <c r="BG13" s="1">
        <v>31.6</v>
      </c>
      <c r="BH13" s="4">
        <v>2.6686999999999999</v>
      </c>
      <c r="BI13" s="4">
        <v>4430.5356000000002</v>
      </c>
      <c r="BJ13" s="3">
        <v>96.7136</v>
      </c>
      <c r="BK13" s="1">
        <v>0.99050000000000005</v>
      </c>
      <c r="BL13" s="1">
        <v>0.97009999999999996</v>
      </c>
      <c r="BM13" s="1">
        <v>0.96099999999999997</v>
      </c>
      <c r="BN13" s="1">
        <v>8</v>
      </c>
      <c r="BO13" s="1">
        <v>10.558999999999999</v>
      </c>
      <c r="BP13" s="1">
        <v>16.260000000000002</v>
      </c>
      <c r="BQ13" s="3">
        <v>100.3036</v>
      </c>
      <c r="BR13" s="1">
        <v>87.583699999999993</v>
      </c>
      <c r="BS13" s="4">
        <v>4.6369999999999996</v>
      </c>
      <c r="BT13" s="4">
        <v>4.6369999999999996</v>
      </c>
      <c r="BU13" s="4">
        <v>9.173</v>
      </c>
      <c r="BV13" s="4">
        <v>9.1790000000000003</v>
      </c>
      <c r="BW13" s="3">
        <v>94.835700000000003</v>
      </c>
      <c r="BX13">
        <v>19.690000000000001</v>
      </c>
      <c r="BY13" s="5">
        <v>30906198</v>
      </c>
      <c r="BZ13" s="6">
        <v>105339662</v>
      </c>
      <c r="CA13" s="7">
        <f t="shared" si="0"/>
        <v>3.4083668913271055</v>
      </c>
      <c r="CB13">
        <v>8391643</v>
      </c>
      <c r="CC13" s="8">
        <f t="shared" si="1"/>
        <v>12.552924617980056</v>
      </c>
      <c r="CD13" s="8">
        <f t="shared" si="2"/>
        <v>3.6829734058038457</v>
      </c>
      <c r="CE13">
        <v>83878</v>
      </c>
      <c r="CF13" s="8">
        <f t="shared" si="3"/>
        <v>368.46608169007368</v>
      </c>
      <c r="CG13" s="8">
        <f t="shared" si="4"/>
        <v>1255.8675934094756</v>
      </c>
      <c r="CH13">
        <v>97.059920000000005</v>
      </c>
    </row>
    <row r="14" spans="1:86" ht="15.5" x14ac:dyDescent="0.35">
      <c r="A14" s="9" t="s">
        <v>86</v>
      </c>
      <c r="B14" s="9">
        <v>2012</v>
      </c>
      <c r="C14" s="10">
        <v>48.016199999999998</v>
      </c>
      <c r="D14" s="11">
        <v>122753.1</v>
      </c>
      <c r="E14" s="11">
        <v>0.13320000000000001</v>
      </c>
      <c r="F14" s="11">
        <v>8.1882999999999999</v>
      </c>
      <c r="G14" s="11">
        <v>79300</v>
      </c>
      <c r="H14" s="11">
        <v>10</v>
      </c>
      <c r="I14" s="12">
        <v>116.33</v>
      </c>
      <c r="J14" s="12">
        <v>117.232</v>
      </c>
      <c r="K14" s="12">
        <v>3.8420000000000001</v>
      </c>
      <c r="L14" s="12">
        <v>89.573499999999996</v>
      </c>
      <c r="M14" s="12">
        <v>6074000000</v>
      </c>
      <c r="N14" s="12">
        <v>109.0898</v>
      </c>
      <c r="O14" s="11">
        <v>27.132000000000001</v>
      </c>
      <c r="P14" s="11">
        <v>25.264500000000002</v>
      </c>
      <c r="Q14" s="12">
        <v>48302.044000000002</v>
      </c>
      <c r="R14" s="12">
        <v>44221.46</v>
      </c>
      <c r="S14" s="12">
        <v>0.17050000000000001</v>
      </c>
      <c r="T14" s="12">
        <v>61451.548999999999</v>
      </c>
      <c r="U14" s="12">
        <v>46156.483200000002</v>
      </c>
      <c r="V14" s="11">
        <v>30.5</v>
      </c>
      <c r="W14" s="12">
        <v>92.891000000000005</v>
      </c>
      <c r="X14" s="11">
        <v>92</v>
      </c>
      <c r="Y14" s="11">
        <v>92</v>
      </c>
      <c r="Z14" s="11">
        <v>88</v>
      </c>
      <c r="AA14" s="11">
        <v>3.4</v>
      </c>
      <c r="AB14" s="11">
        <v>80</v>
      </c>
      <c r="AC14" s="11">
        <v>80.936599999999999</v>
      </c>
      <c r="AD14" s="11">
        <v>100.15770000000001</v>
      </c>
      <c r="AE14" s="11">
        <v>6</v>
      </c>
      <c r="AF14" s="11">
        <v>93.942899999999995</v>
      </c>
      <c r="AG14" s="11">
        <v>6.4</v>
      </c>
      <c r="AH14" s="11">
        <v>0.22</v>
      </c>
      <c r="AI14" s="11">
        <v>4</v>
      </c>
      <c r="AJ14" s="11">
        <v>3.6</v>
      </c>
      <c r="AK14" s="11">
        <v>4.4000000000000004</v>
      </c>
      <c r="AL14" s="11">
        <v>69.219300000000004</v>
      </c>
      <c r="AM14" s="11">
        <v>2.4</v>
      </c>
      <c r="AN14" s="11">
        <v>45014</v>
      </c>
      <c r="AO14" s="11">
        <v>0</v>
      </c>
      <c r="AP14" s="11">
        <v>100</v>
      </c>
      <c r="AQ14" s="11">
        <v>99.982299999999995</v>
      </c>
      <c r="AR14" s="11">
        <v>98.7744</v>
      </c>
      <c r="AS14" s="11">
        <v>99.262699999999995</v>
      </c>
      <c r="AT14" s="11">
        <v>99.968999999999994</v>
      </c>
      <c r="AU14" s="11">
        <v>14.719900000000001</v>
      </c>
      <c r="AV14" s="12">
        <v>96.208500000000001</v>
      </c>
      <c r="AW14" s="11">
        <v>0.6</v>
      </c>
      <c r="AX14" s="11">
        <v>14.4</v>
      </c>
      <c r="AY14" s="11">
        <v>6</v>
      </c>
      <c r="AZ14" s="11">
        <v>4</v>
      </c>
      <c r="BA14" s="11">
        <v>99.666399999999996</v>
      </c>
      <c r="BB14" s="11">
        <v>27.8689</v>
      </c>
      <c r="BC14" s="11">
        <v>7.4325000000000001</v>
      </c>
      <c r="BD14" s="12">
        <v>0.628</v>
      </c>
      <c r="BE14" s="12">
        <v>91.469200000000001</v>
      </c>
      <c r="BF14" s="11">
        <v>76.060299999999998</v>
      </c>
      <c r="BG14" s="11">
        <v>34.4</v>
      </c>
      <c r="BH14" s="13">
        <v>2.9146999999999998</v>
      </c>
      <c r="BI14" s="13">
        <v>4720.8109999999997</v>
      </c>
      <c r="BJ14" s="12">
        <v>97.652600000000007</v>
      </c>
      <c r="BK14" s="11">
        <v>0.99170000000000003</v>
      </c>
      <c r="BL14" s="11">
        <v>0.97160000000000002</v>
      </c>
      <c r="BM14" s="11">
        <v>0.96240000000000003</v>
      </c>
      <c r="BN14" s="11">
        <v>8</v>
      </c>
      <c r="BO14" s="11">
        <v>10.157999999999999</v>
      </c>
      <c r="BP14" s="11">
        <v>16.170000000000002</v>
      </c>
      <c r="BQ14" s="12">
        <v>98.899100000000004</v>
      </c>
      <c r="BR14" s="11">
        <v>86.841399999999993</v>
      </c>
      <c r="BS14" s="13">
        <v>4.9089999999999998</v>
      </c>
      <c r="BT14" s="13">
        <v>4.9089999999999998</v>
      </c>
      <c r="BU14" s="13">
        <v>9.5609999999999999</v>
      </c>
      <c r="BV14" s="13">
        <v>9.5679999999999996</v>
      </c>
      <c r="BW14" s="12">
        <v>95.305199999999999</v>
      </c>
      <c r="BX14" s="9">
        <v>19.34</v>
      </c>
      <c r="BY14" s="14">
        <v>32325646</v>
      </c>
      <c r="BZ14" s="6">
        <v>109540720</v>
      </c>
      <c r="CA14" s="7">
        <f t="shared" si="0"/>
        <v>3.3886629829454917</v>
      </c>
      <c r="CB14">
        <v>8429991</v>
      </c>
      <c r="CC14" s="8">
        <f t="shared" si="1"/>
        <v>12.994168083927967</v>
      </c>
      <c r="CD14" s="8">
        <f t="shared" si="2"/>
        <v>3.8346002979125364</v>
      </c>
      <c r="CE14">
        <v>83878</v>
      </c>
      <c r="CF14" s="8">
        <f t="shared" si="3"/>
        <v>385.38885047330649</v>
      </c>
      <c r="CG14" s="8">
        <f t="shared" si="4"/>
        <v>1305.9529316388086</v>
      </c>
      <c r="CH14" s="9">
        <v>97.230770000000007</v>
      </c>
    </row>
    <row r="15" spans="1:86" ht="15.5" x14ac:dyDescent="0.35">
      <c r="A15" t="s">
        <v>86</v>
      </c>
      <c r="B15">
        <v>2013</v>
      </c>
      <c r="C15" s="2">
        <v>48.309199999999997</v>
      </c>
      <c r="D15" s="1">
        <v>122119.7</v>
      </c>
      <c r="E15" s="1">
        <v>0.13469999999999999</v>
      </c>
      <c r="F15" s="1">
        <v>8.2091999999999992</v>
      </c>
      <c r="G15" s="1">
        <v>79500</v>
      </c>
      <c r="H15" s="1">
        <v>10</v>
      </c>
      <c r="I15" s="3">
        <v>118.794</v>
      </c>
      <c r="J15" s="3">
        <v>119.56100000000001</v>
      </c>
      <c r="K15" s="3">
        <v>3.1909999999999998</v>
      </c>
      <c r="L15" s="3">
        <v>90.521299999999997</v>
      </c>
      <c r="M15" s="3">
        <v>7459000000</v>
      </c>
      <c r="N15" s="3">
        <v>114.6786</v>
      </c>
      <c r="O15" s="1">
        <v>26.329000000000001</v>
      </c>
      <c r="P15" s="1">
        <v>26.322299999999998</v>
      </c>
      <c r="Q15" s="3">
        <v>50321.474000000002</v>
      </c>
      <c r="R15" s="3">
        <v>43851.3675</v>
      </c>
      <c r="S15" s="3">
        <v>-0.83689999999999998</v>
      </c>
      <c r="T15" s="3">
        <v>60937.256800000003</v>
      </c>
      <c r="U15" s="3">
        <v>47519.852299999999</v>
      </c>
      <c r="V15" s="1">
        <v>30.8</v>
      </c>
      <c r="W15" s="3">
        <v>92.891000000000005</v>
      </c>
      <c r="X15" s="1">
        <v>95</v>
      </c>
      <c r="Y15" s="1">
        <v>95</v>
      </c>
      <c r="Z15" s="1">
        <v>92</v>
      </c>
      <c r="AA15" s="1">
        <v>3.3</v>
      </c>
      <c r="AB15" s="1">
        <v>80.599999999999994</v>
      </c>
      <c r="AC15" s="1">
        <v>81.136600000000001</v>
      </c>
      <c r="AD15" s="1">
        <v>100.01430000000001</v>
      </c>
      <c r="AE15" s="1">
        <v>6</v>
      </c>
      <c r="AF15" s="1">
        <v>93.888400000000004</v>
      </c>
      <c r="AG15" s="1">
        <v>5.5</v>
      </c>
      <c r="AH15" s="1">
        <v>0.17</v>
      </c>
      <c r="AI15" s="1">
        <v>3.9</v>
      </c>
      <c r="AJ15" s="1">
        <v>3.5</v>
      </c>
      <c r="AK15" s="1">
        <v>4.3</v>
      </c>
      <c r="AL15" s="1">
        <v>69.893799999999999</v>
      </c>
      <c r="AM15" s="1">
        <v>2.4</v>
      </c>
      <c r="AN15" s="1">
        <v>56726</v>
      </c>
      <c r="AO15" s="1">
        <v>0</v>
      </c>
      <c r="AP15" s="1">
        <v>100</v>
      </c>
      <c r="AQ15" s="1">
        <v>99.980500000000006</v>
      </c>
      <c r="AR15" s="1">
        <v>98.912599999999998</v>
      </c>
      <c r="AS15" s="1">
        <v>99.262699999999995</v>
      </c>
      <c r="AT15" s="1">
        <v>99.965900000000005</v>
      </c>
      <c r="AU15" s="1">
        <v>14.6599</v>
      </c>
      <c r="AV15" s="3">
        <v>96.208500000000001</v>
      </c>
      <c r="AW15" s="1">
        <v>0.3</v>
      </c>
      <c r="AX15" s="1">
        <v>14.1</v>
      </c>
      <c r="AY15" s="1">
        <v>6</v>
      </c>
      <c r="AZ15" s="1">
        <v>4</v>
      </c>
      <c r="BA15" s="1">
        <v>99.665899999999993</v>
      </c>
      <c r="BB15" s="1">
        <v>33.333300000000001</v>
      </c>
      <c r="BC15" s="1">
        <v>7.4230999999999998</v>
      </c>
      <c r="BD15" s="3">
        <v>-0.251</v>
      </c>
      <c r="BE15" s="3">
        <v>91.469200000000001</v>
      </c>
      <c r="BF15" s="1">
        <v>79.368200000000002</v>
      </c>
      <c r="BG15" s="1">
        <v>34.6</v>
      </c>
      <c r="BH15" s="4">
        <v>2.9548999999999999</v>
      </c>
      <c r="BI15" s="4">
        <v>4782.1239999999998</v>
      </c>
      <c r="BJ15" s="3">
        <v>97.652600000000007</v>
      </c>
      <c r="BK15" s="1">
        <v>0.98899999999999999</v>
      </c>
      <c r="BL15" s="1">
        <v>0.97299999999999998</v>
      </c>
      <c r="BM15" s="1">
        <v>0.96560000000000001</v>
      </c>
      <c r="BN15" s="1">
        <v>8</v>
      </c>
      <c r="BO15" s="1">
        <v>10.340999999999999</v>
      </c>
      <c r="BP15" s="1">
        <v>16.09</v>
      </c>
      <c r="BQ15" s="3">
        <v>99.317499999999995</v>
      </c>
      <c r="BR15" s="1">
        <v>86.016300000000001</v>
      </c>
      <c r="BS15" s="4">
        <v>5.367</v>
      </c>
      <c r="BT15" s="4">
        <v>5.367</v>
      </c>
      <c r="BU15" s="4">
        <v>9.7669999999999995</v>
      </c>
      <c r="BV15" s="4">
        <v>9.7739999999999991</v>
      </c>
      <c r="BW15" s="3">
        <v>95.774699999999996</v>
      </c>
      <c r="BX15">
        <v>19.23</v>
      </c>
      <c r="BY15" s="5">
        <v>32940265</v>
      </c>
      <c r="BZ15" s="6">
        <v>110687373</v>
      </c>
      <c r="CA15" s="7">
        <f t="shared" si="0"/>
        <v>3.3602453714321969</v>
      </c>
      <c r="CB15">
        <v>8479823</v>
      </c>
      <c r="CC15" s="8">
        <f t="shared" si="1"/>
        <v>13.053028701188692</v>
      </c>
      <c r="CD15" s="8">
        <f t="shared" si="2"/>
        <v>3.8845462930063515</v>
      </c>
      <c r="CE15">
        <v>83878</v>
      </c>
      <c r="CF15" s="8">
        <f t="shared" si="3"/>
        <v>392.71638570304492</v>
      </c>
      <c r="CG15" s="8">
        <f t="shared" si="4"/>
        <v>1319.6234173442381</v>
      </c>
      <c r="CH15">
        <v>98.024959999999993</v>
      </c>
    </row>
    <row r="16" spans="1:86" ht="15.5" x14ac:dyDescent="0.35">
      <c r="A16" t="s">
        <v>86</v>
      </c>
      <c r="B16">
        <v>2014</v>
      </c>
      <c r="C16" s="2">
        <v>48.564500000000002</v>
      </c>
      <c r="D16" s="1">
        <v>115848.9</v>
      </c>
      <c r="E16" s="1">
        <v>0.12659999999999999</v>
      </c>
      <c r="F16" s="1">
        <v>7.7142999999999997</v>
      </c>
      <c r="G16" s="1">
        <v>75700</v>
      </c>
      <c r="H16" s="1">
        <v>10</v>
      </c>
      <c r="I16" s="3">
        <v>120.535</v>
      </c>
      <c r="J16" s="3">
        <v>120.526</v>
      </c>
      <c r="K16" s="3">
        <v>2.8130000000000002</v>
      </c>
      <c r="L16" s="3">
        <v>90.865399999999994</v>
      </c>
      <c r="M16" s="3">
        <v>10515000000</v>
      </c>
      <c r="N16" s="3">
        <v>116.693</v>
      </c>
      <c r="O16" s="1">
        <v>27.847999999999999</v>
      </c>
      <c r="P16" s="1">
        <v>27.5977</v>
      </c>
      <c r="Q16" s="3">
        <v>51342.747000000003</v>
      </c>
      <c r="R16" s="3">
        <v>43838.834699999999</v>
      </c>
      <c r="S16" s="3">
        <v>-2.86E-2</v>
      </c>
      <c r="T16" s="3">
        <v>60919.840700000001</v>
      </c>
      <c r="U16" s="3">
        <v>48355.497799999997</v>
      </c>
      <c r="V16" s="1">
        <v>30.5</v>
      </c>
      <c r="W16" s="3">
        <v>91.346199999999996</v>
      </c>
      <c r="X16" s="1">
        <v>98</v>
      </c>
      <c r="Y16" s="1">
        <v>98</v>
      </c>
      <c r="Z16" s="1">
        <v>96</v>
      </c>
      <c r="AA16" s="1">
        <v>3.2</v>
      </c>
      <c r="AB16" s="1">
        <v>81</v>
      </c>
      <c r="AC16" s="1">
        <v>81.490200000000002</v>
      </c>
      <c r="AD16" s="1">
        <v>98.408900000000003</v>
      </c>
      <c r="AE16" s="1">
        <v>7</v>
      </c>
      <c r="AF16" s="1">
        <v>93.989500000000007</v>
      </c>
      <c r="AG16" s="1">
        <v>5.0999999999999996</v>
      </c>
      <c r="AH16" s="1">
        <v>0.16</v>
      </c>
      <c r="AI16" s="1">
        <v>3.8</v>
      </c>
      <c r="AJ16" s="1">
        <v>3.4</v>
      </c>
      <c r="AK16" s="1">
        <v>4.0999999999999996</v>
      </c>
      <c r="AL16" s="1">
        <v>70.432900000000004</v>
      </c>
      <c r="AM16" s="1">
        <v>2.2999999999999998</v>
      </c>
      <c r="AN16" s="1">
        <v>74375</v>
      </c>
      <c r="AO16" s="1">
        <v>0</v>
      </c>
      <c r="AP16" s="1">
        <v>100</v>
      </c>
      <c r="AQ16" s="1">
        <v>99.9786</v>
      </c>
      <c r="AR16" s="1">
        <v>98.911000000000001</v>
      </c>
      <c r="AS16" s="1">
        <v>99.262699999999995</v>
      </c>
      <c r="AT16" s="1">
        <v>99.962800000000001</v>
      </c>
      <c r="AU16" s="1">
        <v>12.9541</v>
      </c>
      <c r="AV16" s="3">
        <v>95.238100000000003</v>
      </c>
      <c r="AW16" s="1">
        <v>0.2</v>
      </c>
      <c r="AX16" s="1">
        <v>13.9</v>
      </c>
      <c r="AY16" s="1">
        <v>6</v>
      </c>
      <c r="AZ16" s="1">
        <v>4</v>
      </c>
      <c r="BA16" s="1">
        <v>99.665400000000005</v>
      </c>
      <c r="BB16" s="1">
        <v>32.240400000000001</v>
      </c>
      <c r="BC16" s="1">
        <v>7.5186000000000002</v>
      </c>
      <c r="BD16" s="3">
        <v>0.75600000000000001</v>
      </c>
      <c r="BE16" s="3">
        <v>91.346199999999996</v>
      </c>
      <c r="BF16" s="1">
        <v>82.540199999999999</v>
      </c>
      <c r="BG16" s="1">
        <v>35.700000000000003</v>
      </c>
      <c r="BH16" s="4">
        <v>3.0842999999999998</v>
      </c>
      <c r="BI16" s="4">
        <v>5009.4418999999998</v>
      </c>
      <c r="BJ16" s="3">
        <v>96.634600000000006</v>
      </c>
      <c r="BK16" s="1">
        <v>0.99360000000000004</v>
      </c>
      <c r="BL16" s="1">
        <v>0.97230000000000005</v>
      </c>
      <c r="BM16" s="1">
        <v>0.96250000000000002</v>
      </c>
      <c r="BN16" s="1">
        <v>8</v>
      </c>
      <c r="BO16" s="1">
        <v>10.759</v>
      </c>
      <c r="BP16" s="1">
        <v>16.59</v>
      </c>
      <c r="BQ16" s="3">
        <v>99.1404</v>
      </c>
      <c r="BR16" s="1">
        <v>85.178700000000006</v>
      </c>
      <c r="BS16" s="4">
        <v>5.6740000000000004</v>
      </c>
      <c r="BT16" s="4">
        <v>5.6740000000000004</v>
      </c>
      <c r="BU16" s="4">
        <v>10.507999999999999</v>
      </c>
      <c r="BV16" s="4">
        <v>10.516999999999999</v>
      </c>
      <c r="BW16" s="3">
        <v>94.581299999999999</v>
      </c>
      <c r="BX16">
        <v>17.010000000000002</v>
      </c>
      <c r="BY16" s="5">
        <v>33646592</v>
      </c>
      <c r="BZ16" s="6">
        <v>110440776</v>
      </c>
      <c r="CA16" s="7">
        <f t="shared" si="0"/>
        <v>3.2823762953466433</v>
      </c>
      <c r="CB16">
        <v>8546356</v>
      </c>
      <c r="CC16" s="8">
        <f t="shared" si="1"/>
        <v>12.922557403412636</v>
      </c>
      <c r="CD16" s="8">
        <f t="shared" si="2"/>
        <v>3.9369518423992633</v>
      </c>
      <c r="CE16">
        <v>83878</v>
      </c>
      <c r="CF16" s="8">
        <f t="shared" si="3"/>
        <v>401.13727079806387</v>
      </c>
      <c r="CG16" s="8">
        <f t="shared" si="4"/>
        <v>1316.6834688476119</v>
      </c>
      <c r="CH16">
        <v>99.405569999999997</v>
      </c>
    </row>
    <row r="17" spans="1:86" ht="15.5" x14ac:dyDescent="0.35">
      <c r="A17" t="s">
        <v>86</v>
      </c>
      <c r="B17">
        <v>2015</v>
      </c>
      <c r="C17" s="2">
        <v>48.732700000000001</v>
      </c>
      <c r="D17" s="1">
        <v>118044.4</v>
      </c>
      <c r="E17" s="1">
        <v>0.12770000000000001</v>
      </c>
      <c r="F17" s="1">
        <v>7.7949000000000002</v>
      </c>
      <c r="G17" s="1">
        <v>78100</v>
      </c>
      <c r="H17" s="1">
        <v>10</v>
      </c>
      <c r="I17" s="3">
        <v>121.511</v>
      </c>
      <c r="J17" s="3">
        <v>121.81699999999999</v>
      </c>
      <c r="K17" s="3">
        <v>2.79</v>
      </c>
      <c r="L17" s="3">
        <v>90.476200000000006</v>
      </c>
      <c r="M17" s="3">
        <v>5986000000</v>
      </c>
      <c r="N17" s="3">
        <v>100</v>
      </c>
      <c r="O17" s="1">
        <v>27.876000000000001</v>
      </c>
      <c r="P17" s="1">
        <v>28.4069</v>
      </c>
      <c r="Q17" s="3">
        <v>43986.748</v>
      </c>
      <c r="R17" s="3">
        <v>43915.228000000003</v>
      </c>
      <c r="S17" s="3">
        <v>0.17430000000000001</v>
      </c>
      <c r="T17" s="3">
        <v>61025.999300000003</v>
      </c>
      <c r="U17" s="3">
        <v>49562.5939</v>
      </c>
      <c r="V17" s="1">
        <v>30.5</v>
      </c>
      <c r="W17" s="3">
        <v>89.047600000000003</v>
      </c>
      <c r="X17" s="1">
        <v>93</v>
      </c>
      <c r="Y17" s="1">
        <v>93</v>
      </c>
      <c r="Z17" s="1">
        <v>96</v>
      </c>
      <c r="AA17" s="1">
        <v>3.1</v>
      </c>
      <c r="AB17" s="1">
        <v>83.9</v>
      </c>
      <c r="AC17" s="1">
        <v>81.190200000000004</v>
      </c>
      <c r="AD17" s="1">
        <v>99.813000000000002</v>
      </c>
      <c r="AE17" s="1">
        <v>7</v>
      </c>
      <c r="AF17" s="1">
        <v>94.465599999999995</v>
      </c>
      <c r="AG17" s="1">
        <v>5.7</v>
      </c>
      <c r="AH17" s="1">
        <v>0.11</v>
      </c>
      <c r="AI17" s="1">
        <v>3.7</v>
      </c>
      <c r="AJ17" s="1">
        <v>3.4</v>
      </c>
      <c r="AK17" s="1">
        <v>4</v>
      </c>
      <c r="AL17" s="1">
        <v>70.410700000000006</v>
      </c>
      <c r="AM17" s="1">
        <v>2.2999999999999998</v>
      </c>
      <c r="AN17" s="1">
        <v>115175</v>
      </c>
      <c r="AO17" s="1">
        <v>0</v>
      </c>
      <c r="AP17" s="1">
        <v>100</v>
      </c>
      <c r="AQ17" s="1">
        <v>99.976699999999994</v>
      </c>
      <c r="AR17" s="1">
        <v>98.909400000000005</v>
      </c>
      <c r="AS17" s="1">
        <v>99.262699999999995</v>
      </c>
      <c r="AT17" s="1">
        <v>99.959599999999995</v>
      </c>
      <c r="AU17" s="1">
        <v>13.6</v>
      </c>
      <c r="AV17" s="3">
        <v>90</v>
      </c>
      <c r="AW17" s="1">
        <v>0.7</v>
      </c>
      <c r="AX17" s="1">
        <v>14.1</v>
      </c>
      <c r="AY17" s="1">
        <v>6</v>
      </c>
      <c r="AZ17" s="1">
        <v>4</v>
      </c>
      <c r="BA17" s="1">
        <v>99.665000000000006</v>
      </c>
      <c r="BB17" s="1">
        <v>30.601099999999999</v>
      </c>
      <c r="BC17" s="1">
        <v>7.5118999999999998</v>
      </c>
      <c r="BD17" s="3">
        <v>1.3029999999999999</v>
      </c>
      <c r="BE17" s="3">
        <v>91.428600000000003</v>
      </c>
      <c r="BF17" s="1">
        <v>78.127899999999997</v>
      </c>
      <c r="BG17" s="1">
        <v>34.799999999999997</v>
      </c>
      <c r="BH17" s="4">
        <v>3.0497000000000001</v>
      </c>
      <c r="BI17" s="4">
        <v>5073.4287000000004</v>
      </c>
      <c r="BJ17" s="3">
        <v>96.1905</v>
      </c>
      <c r="BK17" s="1">
        <v>0.99099999999999999</v>
      </c>
      <c r="BL17" s="1">
        <v>0.9728</v>
      </c>
      <c r="BM17" s="1">
        <v>0.96430000000000005</v>
      </c>
      <c r="BN17" s="1">
        <v>8</v>
      </c>
      <c r="BO17" s="1">
        <v>11.038</v>
      </c>
      <c r="BP17" s="1">
        <v>16.07</v>
      </c>
      <c r="BQ17" s="3">
        <v>100</v>
      </c>
      <c r="BR17" s="1">
        <v>84.807100000000005</v>
      </c>
      <c r="BS17" s="4">
        <v>5.8019999999999996</v>
      </c>
      <c r="BT17" s="4">
        <v>5.8019999999999996</v>
      </c>
      <c r="BU17" s="4">
        <v>10.91</v>
      </c>
      <c r="BV17" s="4">
        <v>10.922000000000001</v>
      </c>
      <c r="BW17" s="3">
        <v>94.088700000000003</v>
      </c>
      <c r="BX17">
        <v>17.38</v>
      </c>
      <c r="BY17" s="5">
        <v>35350102</v>
      </c>
      <c r="BZ17" s="6">
        <v>113365901</v>
      </c>
      <c r="CA17" s="7">
        <f t="shared" si="0"/>
        <v>3.2069469276213121</v>
      </c>
      <c r="CB17">
        <v>8642699</v>
      </c>
      <c r="CC17" s="8">
        <f t="shared" si="1"/>
        <v>13.116955825952054</v>
      </c>
      <c r="CD17" s="8">
        <f t="shared" si="2"/>
        <v>4.0901692862380141</v>
      </c>
      <c r="CE17">
        <v>83878</v>
      </c>
      <c r="CF17" s="8">
        <f t="shared" si="3"/>
        <v>421.44664870407018</v>
      </c>
      <c r="CG17" s="8">
        <f t="shared" si="4"/>
        <v>1351.5570352178163</v>
      </c>
      <c r="CH17">
        <v>100</v>
      </c>
    </row>
    <row r="18" spans="1:86" ht="15.5" x14ac:dyDescent="0.35">
      <c r="A18" t="s">
        <v>86</v>
      </c>
      <c r="B18">
        <v>2016</v>
      </c>
      <c r="C18" s="2">
        <v>48.9559</v>
      </c>
      <c r="D18" s="1">
        <v>129011.1</v>
      </c>
      <c r="E18" s="1">
        <v>0.12590000000000001</v>
      </c>
      <c r="F18" s="1">
        <v>7.7584</v>
      </c>
      <c r="G18" s="1">
        <v>78100</v>
      </c>
      <c r="H18" s="1">
        <v>10</v>
      </c>
      <c r="I18" s="3">
        <v>122.693</v>
      </c>
      <c r="J18" s="3">
        <v>123.748</v>
      </c>
      <c r="K18" s="3">
        <v>2.9319999999999999</v>
      </c>
      <c r="L18" s="3">
        <v>90.952399999999997</v>
      </c>
      <c r="M18" s="3">
        <v>10132000000</v>
      </c>
      <c r="N18" s="3">
        <v>99.581999999999994</v>
      </c>
      <c r="O18" s="1">
        <v>29.516999999999999</v>
      </c>
      <c r="P18" s="1">
        <v>28.877600000000001</v>
      </c>
      <c r="Q18" s="3">
        <v>45032.902999999998</v>
      </c>
      <c r="R18" s="3">
        <v>44362.670299999998</v>
      </c>
      <c r="S18" s="3">
        <v>1.0188999999999999</v>
      </c>
      <c r="T18" s="3">
        <v>61647.779300000002</v>
      </c>
      <c r="U18" s="3">
        <v>52397.863499999999</v>
      </c>
      <c r="V18" s="1">
        <v>30.8</v>
      </c>
      <c r="W18" s="3">
        <v>90.952399999999997</v>
      </c>
      <c r="X18" s="1">
        <v>87</v>
      </c>
      <c r="Y18" s="1">
        <v>87</v>
      </c>
      <c r="Z18" s="1">
        <v>95</v>
      </c>
      <c r="AA18" s="1">
        <v>3</v>
      </c>
      <c r="AB18" s="1">
        <v>84.3</v>
      </c>
      <c r="AC18" s="1">
        <v>81.641499999999994</v>
      </c>
      <c r="AD18" s="1">
        <v>95.807199999999995</v>
      </c>
      <c r="AE18" s="1">
        <v>6</v>
      </c>
      <c r="AF18" s="1">
        <v>94.814700000000002</v>
      </c>
      <c r="AG18" s="1">
        <v>5.2</v>
      </c>
      <c r="AH18" s="1">
        <v>0.13</v>
      </c>
      <c r="AI18" s="1">
        <v>3.6</v>
      </c>
      <c r="AJ18" s="1">
        <v>3.3</v>
      </c>
      <c r="AK18" s="1">
        <v>4</v>
      </c>
      <c r="AL18" s="1">
        <v>69.616100000000003</v>
      </c>
      <c r="AM18" s="1">
        <v>2.2000000000000002</v>
      </c>
      <c r="AN18" s="1">
        <v>65976</v>
      </c>
      <c r="AO18" s="1">
        <v>0</v>
      </c>
      <c r="AP18" s="1">
        <v>100</v>
      </c>
      <c r="AQ18" s="1">
        <v>99.974800000000002</v>
      </c>
      <c r="AR18" s="1">
        <v>98.907799999999995</v>
      </c>
      <c r="AS18" s="1">
        <v>99.262699999999995</v>
      </c>
      <c r="AT18" s="1">
        <v>99.956500000000005</v>
      </c>
      <c r="AU18" s="1">
        <v>12.5144</v>
      </c>
      <c r="AV18" s="3">
        <v>77.142899999999997</v>
      </c>
      <c r="AW18" s="1">
        <v>0.7</v>
      </c>
      <c r="AX18" s="1">
        <v>14.4</v>
      </c>
      <c r="AY18" s="1">
        <v>6</v>
      </c>
      <c r="AZ18" s="1">
        <v>4</v>
      </c>
      <c r="BA18" s="1">
        <v>99.664500000000004</v>
      </c>
      <c r="BB18" s="1">
        <v>30.601099999999999</v>
      </c>
      <c r="BC18" s="1">
        <v>7.4908999999999999</v>
      </c>
      <c r="BD18" s="3">
        <v>2.117</v>
      </c>
      <c r="BE18" s="3">
        <v>91.428600000000003</v>
      </c>
      <c r="BF18" s="1">
        <v>79.228499999999997</v>
      </c>
      <c r="BG18" s="1">
        <v>34.6</v>
      </c>
      <c r="BH18" s="4">
        <v>3.1164999999999998</v>
      </c>
      <c r="BI18" s="4">
        <v>5400.3477000000003</v>
      </c>
      <c r="BJ18" s="3">
        <v>95.714299999999994</v>
      </c>
      <c r="BK18" s="1">
        <v>0.99490000000000001</v>
      </c>
      <c r="BL18" s="1">
        <v>0.97199999999999998</v>
      </c>
      <c r="BM18" s="1">
        <v>0.96120000000000005</v>
      </c>
      <c r="BN18" s="1">
        <v>8</v>
      </c>
      <c r="BO18" s="1">
        <v>10.914</v>
      </c>
      <c r="BP18" s="1">
        <v>15.63</v>
      </c>
      <c r="BQ18" s="3">
        <v>100.306</v>
      </c>
      <c r="BR18" s="1">
        <v>83.914900000000003</v>
      </c>
      <c r="BS18" s="4">
        <v>6.0640000000000001</v>
      </c>
      <c r="BT18" s="4">
        <v>6.0640000000000001</v>
      </c>
      <c r="BU18" s="4">
        <v>11.423999999999999</v>
      </c>
      <c r="BV18" s="4">
        <v>11.428000000000001</v>
      </c>
      <c r="BW18" s="3">
        <v>93.596100000000007</v>
      </c>
      <c r="BX18">
        <v>15.77</v>
      </c>
      <c r="BY18" s="5">
        <v>37090751</v>
      </c>
      <c r="BZ18" s="6">
        <v>117957253</v>
      </c>
      <c r="CA18" s="7">
        <f t="shared" si="0"/>
        <v>3.1802336113388483</v>
      </c>
      <c r="CB18">
        <v>8736668</v>
      </c>
      <c r="CC18" s="8">
        <f t="shared" si="1"/>
        <v>13.50140041947342</v>
      </c>
      <c r="CD18" s="8">
        <f t="shared" si="2"/>
        <v>4.2454115230199889</v>
      </c>
      <c r="CE18">
        <v>83878</v>
      </c>
      <c r="CF18" s="8">
        <f t="shared" si="3"/>
        <v>442.19880063902332</v>
      </c>
      <c r="CG18" s="8">
        <f t="shared" si="4"/>
        <v>1406.2954886859486</v>
      </c>
      <c r="CH18">
        <v>100.93754</v>
      </c>
    </row>
    <row r="19" spans="1:86" ht="15.5" x14ac:dyDescent="0.35">
      <c r="A19" t="s">
        <v>86</v>
      </c>
      <c r="B19">
        <v>2017</v>
      </c>
      <c r="C19" s="2">
        <v>49.310899999999997</v>
      </c>
      <c r="D19" s="1">
        <v>132221.9</v>
      </c>
      <c r="E19" s="1">
        <v>0.1273</v>
      </c>
      <c r="F19" s="1">
        <v>7.9687999999999999</v>
      </c>
      <c r="G19" s="1">
        <v>78100</v>
      </c>
      <c r="H19" s="1">
        <v>13</v>
      </c>
      <c r="I19" s="3">
        <v>125.42700000000001</v>
      </c>
      <c r="J19" s="3">
        <v>126.63200000000001</v>
      </c>
      <c r="K19" s="3">
        <v>3.3260000000000001</v>
      </c>
      <c r="L19" s="3">
        <v>90.476200000000006</v>
      </c>
      <c r="M19" s="3">
        <v>5244000000</v>
      </c>
      <c r="N19" s="3">
        <v>110.01649999999999</v>
      </c>
      <c r="O19" s="1">
        <v>29.190999999999999</v>
      </c>
      <c r="P19" s="1">
        <v>28.5426</v>
      </c>
      <c r="Q19" s="3">
        <v>47055.737999999998</v>
      </c>
      <c r="R19" s="3">
        <v>45056.638700000003</v>
      </c>
      <c r="S19" s="3">
        <v>1.5643</v>
      </c>
      <c r="T19" s="3">
        <v>62612.139900000002</v>
      </c>
      <c r="U19" s="3">
        <v>53869.8321</v>
      </c>
      <c r="V19" s="1">
        <v>29.7</v>
      </c>
      <c r="W19" s="3">
        <v>90.952399999999997</v>
      </c>
      <c r="X19" s="1">
        <v>90</v>
      </c>
      <c r="Y19" s="1">
        <v>90</v>
      </c>
      <c r="Z19" s="1">
        <v>96</v>
      </c>
      <c r="AA19" s="1">
        <v>3</v>
      </c>
      <c r="AB19" s="1">
        <v>87.9</v>
      </c>
      <c r="AC19" s="1">
        <v>81.643900000000002</v>
      </c>
      <c r="AD19" s="1">
        <v>98.518500000000003</v>
      </c>
      <c r="AE19" s="1">
        <v>6</v>
      </c>
      <c r="AF19" s="1">
        <v>94.837999999999994</v>
      </c>
      <c r="AG19" s="1">
        <v>4.9000000000000004</v>
      </c>
      <c r="AH19" s="1">
        <v>0.14000000000000001</v>
      </c>
      <c r="AI19" s="1">
        <v>3.6</v>
      </c>
      <c r="AJ19" s="1">
        <v>3.3</v>
      </c>
      <c r="AK19" s="1">
        <v>3.9</v>
      </c>
      <c r="AL19" s="1">
        <v>69.812600000000003</v>
      </c>
      <c r="AM19" s="1">
        <v>2.2000000000000002</v>
      </c>
      <c r="AN19" s="1">
        <v>45478</v>
      </c>
      <c r="AO19" s="1">
        <v>0</v>
      </c>
      <c r="AP19" s="1">
        <v>100</v>
      </c>
      <c r="AQ19" s="1">
        <v>99.972899999999996</v>
      </c>
      <c r="AR19" s="1">
        <v>98.906199999999998</v>
      </c>
      <c r="AS19" s="1">
        <v>99.262699999999995</v>
      </c>
      <c r="AT19" s="1">
        <v>99.953400000000002</v>
      </c>
      <c r="AU19" s="1">
        <v>12.155799999999999</v>
      </c>
      <c r="AV19" s="3">
        <v>85.238100000000003</v>
      </c>
      <c r="AW19" s="1">
        <v>0.3</v>
      </c>
      <c r="AX19" s="1">
        <v>14.3</v>
      </c>
      <c r="AY19" s="1">
        <v>6</v>
      </c>
      <c r="AZ19" s="1">
        <v>4</v>
      </c>
      <c r="BA19" s="1">
        <v>99.664000000000001</v>
      </c>
      <c r="BB19" s="1">
        <v>34.426200000000001</v>
      </c>
      <c r="BC19" s="1">
        <v>7.6639999999999997</v>
      </c>
      <c r="BD19" s="3">
        <v>2.2719999999999998</v>
      </c>
      <c r="BE19" s="3">
        <v>90.952399999999997</v>
      </c>
      <c r="BF19" s="1">
        <v>77.024199999999993</v>
      </c>
      <c r="BG19" s="1">
        <v>34</v>
      </c>
      <c r="BH19" s="4">
        <v>3.0566</v>
      </c>
      <c r="BI19" s="4">
        <v>5416.0801000000001</v>
      </c>
      <c r="BJ19" s="3">
        <v>97.142899999999997</v>
      </c>
      <c r="BK19" s="1">
        <v>0.99729999999999996</v>
      </c>
      <c r="BL19" s="1">
        <v>0.97170000000000001</v>
      </c>
      <c r="BM19" s="1">
        <v>0.95960000000000001</v>
      </c>
      <c r="BN19" s="1">
        <v>8</v>
      </c>
      <c r="BO19" s="1">
        <v>10.454000000000001</v>
      </c>
      <c r="BP19" s="1">
        <v>15.5</v>
      </c>
      <c r="BQ19" s="3">
        <v>98.776300000000006</v>
      </c>
      <c r="BR19" s="1">
        <v>85.697400000000002</v>
      </c>
      <c r="BS19" s="4">
        <v>5.5609999999999999</v>
      </c>
      <c r="BT19" s="4">
        <v>5.5609999999999999</v>
      </c>
      <c r="BU19" s="4">
        <v>9.9710000000000001</v>
      </c>
      <c r="BV19" s="4">
        <v>9.9789999999999992</v>
      </c>
      <c r="BW19" s="3">
        <v>95.073899999999995</v>
      </c>
      <c r="BX19">
        <v>15.69</v>
      </c>
      <c r="BY19" s="5">
        <v>38586622</v>
      </c>
      <c r="BZ19" s="6">
        <v>121126543</v>
      </c>
      <c r="CA19" s="7">
        <f t="shared" si="0"/>
        <v>3.1390812857368027</v>
      </c>
      <c r="CB19">
        <v>8797566</v>
      </c>
      <c r="CC19" s="8">
        <f t="shared" si="1"/>
        <v>13.76818804201071</v>
      </c>
      <c r="CD19" s="8">
        <f t="shared" si="2"/>
        <v>4.3860565524600785</v>
      </c>
      <c r="CE19">
        <v>83878</v>
      </c>
      <c r="CF19" s="8">
        <f t="shared" si="3"/>
        <v>460.03269033596416</v>
      </c>
      <c r="CG19" s="8">
        <f t="shared" si="4"/>
        <v>1444.0800090607788</v>
      </c>
      <c r="CH19">
        <v>101.40483</v>
      </c>
    </row>
    <row r="20" spans="1:86" ht="15.5" x14ac:dyDescent="0.35">
      <c r="A20" t="s">
        <v>86</v>
      </c>
      <c r="B20">
        <v>2018</v>
      </c>
      <c r="C20" s="2">
        <v>49.683900000000001</v>
      </c>
      <c r="D20" s="1">
        <v>119783.5</v>
      </c>
      <c r="E20" s="1">
        <v>0.11899999999999999</v>
      </c>
      <c r="F20" s="1">
        <v>7.5998999999999999</v>
      </c>
      <c r="G20" s="1">
        <v>78100</v>
      </c>
      <c r="H20" s="1">
        <v>13</v>
      </c>
      <c r="I20" s="3">
        <v>128.08799999999999</v>
      </c>
      <c r="J20" s="3">
        <v>128.804</v>
      </c>
      <c r="K20" s="3">
        <v>3.5790000000000002</v>
      </c>
      <c r="L20" s="3">
        <v>90.952399999999997</v>
      </c>
      <c r="M20" s="3">
        <v>3830000000</v>
      </c>
      <c r="N20" s="3">
        <v>121.009</v>
      </c>
      <c r="O20" s="1">
        <v>28.858000000000001</v>
      </c>
      <c r="P20" s="1">
        <v>28.515000000000001</v>
      </c>
      <c r="Q20" s="3">
        <v>50963.207000000002</v>
      </c>
      <c r="R20" s="3">
        <v>45951.581899999997</v>
      </c>
      <c r="S20" s="3">
        <v>1.9863</v>
      </c>
      <c r="T20" s="3">
        <v>63855.781499999997</v>
      </c>
      <c r="U20" s="3">
        <v>56636.495300000002</v>
      </c>
      <c r="V20" s="1">
        <v>30.8</v>
      </c>
      <c r="W20" s="3">
        <v>90.952399999999997</v>
      </c>
      <c r="X20" s="1">
        <v>85</v>
      </c>
      <c r="Y20" s="1">
        <v>85</v>
      </c>
      <c r="Z20" s="1">
        <v>94</v>
      </c>
      <c r="AA20" s="1">
        <v>3</v>
      </c>
      <c r="AB20" s="1">
        <v>87.5</v>
      </c>
      <c r="AC20" s="1">
        <v>81.692700000000002</v>
      </c>
      <c r="AD20" s="1">
        <v>96.509</v>
      </c>
      <c r="AE20" s="1">
        <v>7</v>
      </c>
      <c r="AF20" s="1">
        <v>94.878299999999996</v>
      </c>
      <c r="AG20" s="1">
        <v>4.8</v>
      </c>
      <c r="AH20" s="1">
        <v>4.9000000000000002E-2</v>
      </c>
      <c r="AI20" s="1">
        <v>3.5</v>
      </c>
      <c r="AJ20" s="1">
        <v>3.2</v>
      </c>
      <c r="AK20" s="1">
        <v>3.9</v>
      </c>
      <c r="AL20" s="1">
        <v>69.859399999999994</v>
      </c>
      <c r="AM20" s="1">
        <v>2.2000000000000002</v>
      </c>
      <c r="AN20" s="1">
        <v>35296</v>
      </c>
      <c r="AO20" s="1">
        <v>0</v>
      </c>
      <c r="AP20" s="1">
        <v>100</v>
      </c>
      <c r="AQ20" s="1">
        <v>99.972800000000007</v>
      </c>
      <c r="AR20" s="1">
        <v>98.904499999999999</v>
      </c>
      <c r="AS20" s="1">
        <v>99.262699999999995</v>
      </c>
      <c r="AT20" s="1">
        <v>99.953400000000002</v>
      </c>
      <c r="AU20" s="1">
        <v>12.5862</v>
      </c>
      <c r="AV20" s="3">
        <v>77.358500000000006</v>
      </c>
      <c r="AW20" s="1">
        <v>0.6</v>
      </c>
      <c r="AX20" s="1">
        <v>13.3</v>
      </c>
      <c r="AY20" s="1">
        <v>6</v>
      </c>
      <c r="AZ20" s="1">
        <v>4</v>
      </c>
      <c r="BA20" s="1">
        <v>99.665400000000005</v>
      </c>
      <c r="BB20" s="1">
        <v>34.426200000000001</v>
      </c>
      <c r="BC20" s="1">
        <v>7.7070999999999996</v>
      </c>
      <c r="BD20" s="3">
        <v>2.484</v>
      </c>
      <c r="BE20" s="3">
        <v>91.428600000000003</v>
      </c>
      <c r="BF20" s="1">
        <v>78.165400000000005</v>
      </c>
      <c r="BG20" s="1">
        <v>34.1</v>
      </c>
      <c r="BH20" s="4">
        <v>3.0918000000000001</v>
      </c>
      <c r="BI20" s="4">
        <v>5682.4408999999996</v>
      </c>
      <c r="BJ20" s="3">
        <v>98.571399999999997</v>
      </c>
      <c r="BK20" s="1">
        <v>0.99490000000000001</v>
      </c>
      <c r="BL20" s="1">
        <v>0.97409999999999997</v>
      </c>
      <c r="BM20" s="1">
        <v>0.96399999999999997</v>
      </c>
      <c r="BN20" s="1">
        <v>8</v>
      </c>
      <c r="BO20" s="1">
        <v>10.422000000000001</v>
      </c>
      <c r="BP20" s="1">
        <v>15.7</v>
      </c>
      <c r="BQ20" s="3">
        <v>97.315899999999999</v>
      </c>
      <c r="BR20" s="1">
        <v>86.863500000000002</v>
      </c>
      <c r="BS20" s="4">
        <v>4.9329999999999998</v>
      </c>
      <c r="BT20" s="4">
        <v>4.9329999999999998</v>
      </c>
      <c r="BU20" s="4">
        <v>9.5719999999999992</v>
      </c>
      <c r="BV20" s="4">
        <v>9.5890000000000004</v>
      </c>
      <c r="BW20" s="3">
        <v>94.660200000000003</v>
      </c>
      <c r="BX20">
        <v>14.81</v>
      </c>
      <c r="BY20" s="5">
        <v>40093480</v>
      </c>
      <c r="BZ20" s="6">
        <v>125229170</v>
      </c>
      <c r="CA20" s="7">
        <f t="shared" si="0"/>
        <v>3.1234297945700895</v>
      </c>
      <c r="CB20">
        <v>8840521</v>
      </c>
      <c r="CC20" s="8">
        <f t="shared" si="1"/>
        <v>14.165360842420938</v>
      </c>
      <c r="CD20" s="8">
        <f t="shared" si="2"/>
        <v>4.5351942492982031</v>
      </c>
      <c r="CE20">
        <v>83878</v>
      </c>
      <c r="CF20" s="8">
        <f t="shared" si="3"/>
        <v>477.99756789623024</v>
      </c>
      <c r="CG20" s="8">
        <f t="shared" si="4"/>
        <v>1492.9918452991249</v>
      </c>
      <c r="CH20">
        <v>101.84433</v>
      </c>
    </row>
    <row r="21" spans="1:86" ht="15.5" x14ac:dyDescent="0.35">
      <c r="A21" t="s">
        <v>86</v>
      </c>
      <c r="B21">
        <v>2019</v>
      </c>
      <c r="C21" s="2">
        <v>50.067100000000003</v>
      </c>
      <c r="D21" s="1">
        <v>117921.2</v>
      </c>
      <c r="E21" s="1">
        <v>0.1193</v>
      </c>
      <c r="F21" s="1">
        <v>7.7178000000000004</v>
      </c>
      <c r="G21" s="1">
        <v>78100</v>
      </c>
      <c r="H21" s="1">
        <v>13</v>
      </c>
      <c r="I21" s="3">
        <v>129.999</v>
      </c>
      <c r="J21" s="3">
        <v>131.15700000000001</v>
      </c>
      <c r="K21" s="3">
        <v>3.831</v>
      </c>
      <c r="L21" s="3">
        <v>90.476200000000006</v>
      </c>
      <c r="M21" s="3">
        <v>10525000000</v>
      </c>
      <c r="N21" s="3">
        <v>116.9854</v>
      </c>
      <c r="O21" s="1">
        <v>32.009</v>
      </c>
      <c r="P21" s="1">
        <v>28.363199999999999</v>
      </c>
      <c r="Q21" s="3">
        <v>50010.449000000001</v>
      </c>
      <c r="R21" s="3">
        <v>46550.562299999998</v>
      </c>
      <c r="S21" s="3">
        <v>1.3035000000000001</v>
      </c>
      <c r="T21" s="3">
        <v>64688.143799999998</v>
      </c>
      <c r="U21" s="3">
        <v>60354.927900000002</v>
      </c>
      <c r="V21" s="1">
        <v>30.2</v>
      </c>
      <c r="W21" s="3">
        <v>91.428600000000003</v>
      </c>
      <c r="X21" s="1">
        <v>85</v>
      </c>
      <c r="Y21" s="1">
        <v>85</v>
      </c>
      <c r="Z21" s="1">
        <v>95</v>
      </c>
      <c r="AA21" s="1">
        <v>2.9</v>
      </c>
      <c r="AB21" s="1">
        <v>87.8</v>
      </c>
      <c r="AC21" s="1">
        <v>81.895099999999999</v>
      </c>
      <c r="AD21" s="1">
        <v>97.794799999999995</v>
      </c>
      <c r="AE21" s="1">
        <v>7</v>
      </c>
      <c r="AF21" s="1">
        <v>94.884799999999998</v>
      </c>
      <c r="AG21" s="1">
        <v>4.9000000000000004</v>
      </c>
      <c r="AH21" s="1">
        <v>0.16</v>
      </c>
      <c r="AI21" s="1">
        <v>3.5</v>
      </c>
      <c r="AJ21" s="1">
        <v>3.2</v>
      </c>
      <c r="AK21" s="1">
        <v>3.8</v>
      </c>
      <c r="AL21" s="1">
        <v>69.605400000000003</v>
      </c>
      <c r="AM21" s="1">
        <v>2.2000000000000002</v>
      </c>
      <c r="AN21" s="1">
        <v>41090</v>
      </c>
      <c r="AO21" s="1">
        <v>0</v>
      </c>
      <c r="AP21" s="1">
        <v>100</v>
      </c>
      <c r="AQ21" s="1">
        <v>99.972700000000003</v>
      </c>
      <c r="AR21" s="1">
        <v>98.902600000000007</v>
      </c>
      <c r="AS21" s="1">
        <v>99.262699999999995</v>
      </c>
      <c r="AT21" s="1">
        <v>99.953400000000002</v>
      </c>
      <c r="AU21" s="1">
        <v>11.464600000000001</v>
      </c>
      <c r="AV21" s="3">
        <v>77.358500000000006</v>
      </c>
      <c r="AW21" s="1">
        <v>0.6</v>
      </c>
      <c r="AX21" s="1">
        <v>13.9</v>
      </c>
      <c r="AY21" s="1">
        <v>6</v>
      </c>
      <c r="AZ21" s="1">
        <v>4</v>
      </c>
      <c r="BA21" s="1">
        <v>99.666899999999998</v>
      </c>
      <c r="BB21" s="1">
        <v>39.344299999999997</v>
      </c>
      <c r="BC21" s="1">
        <v>7.8535000000000004</v>
      </c>
      <c r="BD21" s="3">
        <v>1.7549999999999999</v>
      </c>
      <c r="BE21" s="3">
        <v>91.428600000000003</v>
      </c>
      <c r="BF21" s="1">
        <v>78.147099999999995</v>
      </c>
      <c r="BG21" s="1">
        <v>34</v>
      </c>
      <c r="BH21" s="4">
        <v>3.1326000000000001</v>
      </c>
      <c r="BI21" s="4">
        <v>5958.8563999999997</v>
      </c>
      <c r="BJ21" s="3">
        <v>98.571399999999997</v>
      </c>
      <c r="BK21" s="1">
        <v>0.99329999999999996</v>
      </c>
      <c r="BL21" s="1">
        <v>0.98089999999999999</v>
      </c>
      <c r="BM21" s="1">
        <v>0.97489999999999999</v>
      </c>
      <c r="BN21" s="1">
        <v>8</v>
      </c>
      <c r="BO21" s="1">
        <v>11.007999999999999</v>
      </c>
      <c r="BP21" s="1">
        <v>14.58</v>
      </c>
      <c r="BQ21" s="3">
        <v>97.564800000000005</v>
      </c>
      <c r="BR21" s="1">
        <v>87.921899999999994</v>
      </c>
      <c r="BS21" s="4">
        <v>4.5599999999999996</v>
      </c>
      <c r="BT21" s="4">
        <v>4.5599999999999996</v>
      </c>
      <c r="BU21" s="4">
        <v>8.7669999999999995</v>
      </c>
      <c r="BV21" s="4">
        <v>8.7859999999999996</v>
      </c>
      <c r="BW21" s="3">
        <v>94.686000000000007</v>
      </c>
      <c r="BX21">
        <v>13.33</v>
      </c>
      <c r="BY21" s="5">
        <v>41321435</v>
      </c>
      <c r="BZ21" s="6">
        <v>127890554</v>
      </c>
      <c r="CA21" s="7">
        <f t="shared" si="0"/>
        <v>3.0950172471018975</v>
      </c>
      <c r="CB21">
        <v>8879920</v>
      </c>
      <c r="CC21" s="8">
        <f t="shared" si="1"/>
        <v>14.402219164136614</v>
      </c>
      <c r="CD21" s="8">
        <f t="shared" si="2"/>
        <v>4.6533566743844537</v>
      </c>
      <c r="CE21">
        <v>83878</v>
      </c>
      <c r="CF21" s="8">
        <f t="shared" si="3"/>
        <v>492.63734233052764</v>
      </c>
      <c r="CG21" s="8">
        <f t="shared" si="4"/>
        <v>1524.721071079425</v>
      </c>
      <c r="CH21">
        <v>102.00747</v>
      </c>
    </row>
    <row r="22" spans="1:86" ht="15.5" x14ac:dyDescent="0.35">
      <c r="A22" t="s">
        <v>86</v>
      </c>
      <c r="B22">
        <v>2020</v>
      </c>
      <c r="C22" s="2">
        <v>50.5184</v>
      </c>
      <c r="D22" s="1">
        <v>117490</v>
      </c>
      <c r="E22" s="1">
        <v>0.1163</v>
      </c>
      <c r="F22" s="1">
        <v>7.0204000000000004</v>
      </c>
      <c r="G22" s="1">
        <v>78100</v>
      </c>
      <c r="H22" s="1">
        <v>13</v>
      </c>
      <c r="I22" s="3">
        <v>131.809</v>
      </c>
      <c r="J22" s="3">
        <v>132.48500000000001</v>
      </c>
      <c r="K22" s="3">
        <v>2.9140000000000001</v>
      </c>
      <c r="L22" s="3">
        <v>90.952399999999997</v>
      </c>
      <c r="M22" s="3">
        <v>14614000000</v>
      </c>
      <c r="N22" s="3">
        <v>110.92740000000001</v>
      </c>
      <c r="O22" s="1">
        <v>31.466999999999999</v>
      </c>
      <c r="P22" s="1">
        <v>29.210599999999999</v>
      </c>
      <c r="Q22" s="3">
        <v>48764.175000000003</v>
      </c>
      <c r="R22" s="3">
        <v>43428.698299999996</v>
      </c>
      <c r="S22" s="3">
        <v>-6.7064000000000004</v>
      </c>
      <c r="T22" s="3">
        <v>60349.902099999999</v>
      </c>
      <c r="U22" s="3">
        <v>58523.033799999997</v>
      </c>
      <c r="V22" s="1">
        <v>29.8</v>
      </c>
      <c r="W22" s="3">
        <v>93.8095</v>
      </c>
      <c r="X22" s="1">
        <v>85</v>
      </c>
      <c r="Y22" s="1">
        <v>85</v>
      </c>
      <c r="Z22" s="1">
        <v>95</v>
      </c>
      <c r="AA22" s="1">
        <v>2.9</v>
      </c>
      <c r="AB22" s="1">
        <v>87.5</v>
      </c>
      <c r="AC22" s="1">
        <v>81.192700000000002</v>
      </c>
      <c r="AD22" s="1">
        <v>96.118799999999993</v>
      </c>
      <c r="AE22" s="1">
        <v>6</v>
      </c>
      <c r="AF22" s="1">
        <v>94.884799999999998</v>
      </c>
      <c r="AG22" s="1"/>
      <c r="AH22" s="1">
        <v>0.14000000000000001</v>
      </c>
      <c r="AI22" s="1">
        <v>3.4</v>
      </c>
      <c r="AJ22" s="1">
        <v>3.1</v>
      </c>
      <c r="AK22" s="1">
        <v>3.7</v>
      </c>
      <c r="AL22" s="1">
        <v>69.619900000000001</v>
      </c>
      <c r="AM22" s="1">
        <v>2.2000000000000002</v>
      </c>
      <c r="AN22" s="1">
        <v>39601</v>
      </c>
      <c r="AO22" s="1">
        <v>0</v>
      </c>
      <c r="AP22" s="1">
        <v>100</v>
      </c>
      <c r="AQ22" s="1">
        <v>99.9726</v>
      </c>
      <c r="AR22" s="1">
        <v>98.900599999999997</v>
      </c>
      <c r="AS22" s="1">
        <v>99.262699999999995</v>
      </c>
      <c r="AT22" s="1">
        <v>99.953400000000002</v>
      </c>
      <c r="AU22" s="1">
        <v>10.9335</v>
      </c>
      <c r="AV22" s="3">
        <v>76.886799999999994</v>
      </c>
      <c r="AW22" s="1">
        <v>0.7</v>
      </c>
      <c r="AX22" s="1">
        <v>14.7</v>
      </c>
      <c r="AY22" s="1">
        <v>6</v>
      </c>
      <c r="AZ22" s="1">
        <v>4</v>
      </c>
      <c r="BA22" s="1">
        <v>99.668499999999995</v>
      </c>
      <c r="BB22" s="1">
        <v>39.344299999999997</v>
      </c>
      <c r="BC22" s="1">
        <v>8.6967999999999996</v>
      </c>
      <c r="BD22" s="3">
        <v>-6.3179999999999996</v>
      </c>
      <c r="BE22" s="3">
        <v>90.952399999999997</v>
      </c>
      <c r="BF22" s="1">
        <v>80.996600000000001</v>
      </c>
      <c r="BG22" s="1">
        <v>35.799999999999997</v>
      </c>
      <c r="BH22" s="4">
        <v>3.2027999999999999</v>
      </c>
      <c r="BI22" s="4">
        <v>5829.2861000000003</v>
      </c>
      <c r="BJ22" s="3">
        <v>97.142899999999997</v>
      </c>
      <c r="BK22" s="1">
        <v>0.99490000000000001</v>
      </c>
      <c r="BL22" s="1">
        <v>0.9859</v>
      </c>
      <c r="BM22" s="1">
        <v>0.98150000000000004</v>
      </c>
      <c r="BN22" s="1">
        <v>8</v>
      </c>
      <c r="BO22" s="1">
        <v>11.419</v>
      </c>
      <c r="BP22" s="1">
        <v>14</v>
      </c>
      <c r="BQ22" s="3">
        <v>98.542599999999993</v>
      </c>
      <c r="BR22" s="1">
        <v>87.921899999999994</v>
      </c>
      <c r="BS22" s="4">
        <v>5.2009999999999996</v>
      </c>
      <c r="BT22" s="4">
        <v>5.2009999999999996</v>
      </c>
      <c r="BU22" s="4">
        <v>10.324999999999999</v>
      </c>
      <c r="BV22" s="4">
        <v>10.343</v>
      </c>
      <c r="BW22" s="3">
        <v>95.652199999999993</v>
      </c>
      <c r="BX22">
        <v>13.33</v>
      </c>
      <c r="BY22" s="5">
        <v>21671644</v>
      </c>
      <c r="BZ22" s="6">
        <v>79133399</v>
      </c>
      <c r="CA22" s="7">
        <f t="shared" si="0"/>
        <v>3.6514718957177408</v>
      </c>
      <c r="CB22">
        <v>8916864</v>
      </c>
      <c r="CC22" s="8">
        <f t="shared" si="1"/>
        <v>8.8745773177655281</v>
      </c>
      <c r="CD22" s="8">
        <f t="shared" si="2"/>
        <v>2.4304109606247217</v>
      </c>
      <c r="CE22">
        <v>83878</v>
      </c>
      <c r="CF22" s="8">
        <f t="shared" si="3"/>
        <v>258.37101504566158</v>
      </c>
      <c r="CG22" s="8">
        <f t="shared" si="4"/>
        <v>943.43450010729873</v>
      </c>
      <c r="CH22">
        <v>103.17335</v>
      </c>
    </row>
    <row r="23" spans="1:86" ht="15.5" x14ac:dyDescent="0.35">
      <c r="A23" t="s">
        <v>86</v>
      </c>
      <c r="B23">
        <v>2021</v>
      </c>
      <c r="C23" s="2">
        <v>51.1111</v>
      </c>
      <c r="D23" s="1">
        <v>117094</v>
      </c>
      <c r="E23" s="1">
        <v>0.1173</v>
      </c>
      <c r="F23" s="1">
        <v>7.3891</v>
      </c>
      <c r="G23" s="1">
        <v>78100</v>
      </c>
      <c r="H23" s="1">
        <v>13</v>
      </c>
      <c r="I23" s="3">
        <v>135.446</v>
      </c>
      <c r="J23" s="3">
        <v>137.505</v>
      </c>
      <c r="K23" s="3">
        <v>6.2510000000000003</v>
      </c>
      <c r="L23" s="3">
        <v>85.714299999999994</v>
      </c>
      <c r="M23" s="3">
        <v>8340000000</v>
      </c>
      <c r="N23" s="3">
        <v>132.78880000000001</v>
      </c>
      <c r="O23" s="1">
        <v>34.308999999999997</v>
      </c>
      <c r="P23" s="1">
        <v>29.253699999999998</v>
      </c>
      <c r="Q23" s="3">
        <v>53827.417999999998</v>
      </c>
      <c r="R23" s="3">
        <v>45313.398999999998</v>
      </c>
      <c r="S23" s="3">
        <v>4.3398000000000003</v>
      </c>
      <c r="T23" s="3">
        <v>62968.942199999998</v>
      </c>
      <c r="U23" s="3">
        <v>62968.942199999998</v>
      </c>
      <c r="V23" s="1">
        <v>30.7</v>
      </c>
      <c r="W23" s="3">
        <v>93.8095</v>
      </c>
      <c r="X23" s="1">
        <v>86</v>
      </c>
      <c r="Y23" s="1">
        <v>86</v>
      </c>
      <c r="Z23" s="1">
        <v>99</v>
      </c>
      <c r="AA23" s="1">
        <v>2.8</v>
      </c>
      <c r="AB23" s="1">
        <v>92.5</v>
      </c>
      <c r="AC23" s="1">
        <v>81.190200000000004</v>
      </c>
      <c r="AD23" s="1">
        <v>99.684899999999999</v>
      </c>
      <c r="AE23" s="1">
        <v>6</v>
      </c>
      <c r="AF23" s="1"/>
      <c r="AG23" s="1"/>
      <c r="AH23" s="1">
        <v>0.18</v>
      </c>
      <c r="AI23" s="1">
        <v>3.3</v>
      </c>
      <c r="AJ23" s="1">
        <v>3</v>
      </c>
      <c r="AK23" s="1">
        <v>3.6</v>
      </c>
      <c r="AL23" s="1">
        <v>69.61</v>
      </c>
      <c r="AM23" s="1">
        <v>2.1</v>
      </c>
      <c r="AN23" s="1">
        <v>52150</v>
      </c>
      <c r="AO23" s="1">
        <v>0</v>
      </c>
      <c r="AP23" s="1">
        <v>100</v>
      </c>
      <c r="AQ23" s="1">
        <v>99.972499999999997</v>
      </c>
      <c r="AR23" s="1">
        <v>98.898499999999999</v>
      </c>
      <c r="AS23" s="1">
        <v>99.262699999999995</v>
      </c>
      <c r="AT23" s="1">
        <v>99.953400000000002</v>
      </c>
      <c r="AU23" s="1"/>
      <c r="AV23" s="3">
        <v>79.2453</v>
      </c>
      <c r="AW23" s="1">
        <v>0.5</v>
      </c>
      <c r="AX23" s="1">
        <v>14.8</v>
      </c>
      <c r="AY23" s="1">
        <v>6</v>
      </c>
      <c r="AZ23" s="1">
        <v>4</v>
      </c>
      <c r="BA23" s="1">
        <v>99.670199999999994</v>
      </c>
      <c r="BB23" s="1">
        <v>40.437199999999997</v>
      </c>
      <c r="BC23" s="1">
        <v>9.4930000000000003</v>
      </c>
      <c r="BD23" s="3">
        <v>4.7949999999999999</v>
      </c>
      <c r="BE23" s="3">
        <v>87.142899999999997</v>
      </c>
      <c r="BF23" s="1">
        <v>79.9114</v>
      </c>
      <c r="BG23" s="1">
        <v>36</v>
      </c>
      <c r="BH23" s="4">
        <v>3.2635999999999998</v>
      </c>
      <c r="BI23" s="4">
        <v>6323.0033999999996</v>
      </c>
      <c r="BJ23" s="3">
        <v>97.142899999999997</v>
      </c>
      <c r="BK23" s="1"/>
      <c r="BL23" s="1"/>
      <c r="BM23" s="1"/>
      <c r="BN23" s="1">
        <v>8</v>
      </c>
      <c r="BO23" s="1">
        <v>12.257</v>
      </c>
      <c r="BP23" s="1">
        <v>14.51</v>
      </c>
      <c r="BQ23" s="3">
        <v>96.131</v>
      </c>
      <c r="BR23" s="1"/>
      <c r="BS23" s="4">
        <v>6.4589999999999996</v>
      </c>
      <c r="BT23" s="4">
        <v>6.4589999999999996</v>
      </c>
      <c r="BU23" s="4">
        <v>12.023</v>
      </c>
      <c r="BV23" s="4">
        <v>12.037000000000001</v>
      </c>
      <c r="BW23" s="3">
        <v>94.686000000000007</v>
      </c>
      <c r="BX23">
        <v>16.16</v>
      </c>
      <c r="BY23" s="5">
        <v>19757984</v>
      </c>
      <c r="BZ23" s="6">
        <v>66708839</v>
      </c>
      <c r="CA23" s="7">
        <f t="shared" si="0"/>
        <v>3.3762978550848102</v>
      </c>
      <c r="CB23">
        <v>8955797</v>
      </c>
      <c r="CC23" s="8">
        <f t="shared" si="1"/>
        <v>7.448676985420728</v>
      </c>
      <c r="CD23" s="8">
        <f t="shared" si="2"/>
        <v>2.2061670223208498</v>
      </c>
      <c r="CE23">
        <v>83878</v>
      </c>
      <c r="CF23" s="8">
        <f t="shared" si="3"/>
        <v>235.55621259448247</v>
      </c>
      <c r="CG23" s="8">
        <f t="shared" si="4"/>
        <v>795.30793533465271</v>
      </c>
      <c r="CH23">
        <v>102.95744999999999</v>
      </c>
    </row>
    <row r="24" spans="1:86" ht="15.5" x14ac:dyDescent="0.35">
      <c r="A24" t="s">
        <v>86</v>
      </c>
      <c r="B24">
        <v>2022</v>
      </c>
      <c r="C24" s="2">
        <v>51.827800000000003</v>
      </c>
      <c r="D24" s="1"/>
      <c r="E24" s="1">
        <v>0.1031</v>
      </c>
      <c r="F24" s="1">
        <v>6.7710999999999997</v>
      </c>
      <c r="G24" s="1"/>
      <c r="H24" s="1">
        <v>13</v>
      </c>
      <c r="I24" s="3">
        <v>147.12100000000001</v>
      </c>
      <c r="J24" s="3">
        <v>151.99700000000001</v>
      </c>
      <c r="K24" s="3">
        <v>8.7970000000000006</v>
      </c>
      <c r="L24" s="3">
        <v>84.905699999999996</v>
      </c>
      <c r="M24" s="3">
        <v>-4070000000</v>
      </c>
      <c r="N24" s="3"/>
      <c r="O24" s="1">
        <v>31.527000000000001</v>
      </c>
      <c r="P24" s="1">
        <v>29.234300000000001</v>
      </c>
      <c r="Q24" s="3">
        <v>52609.010999999999</v>
      </c>
      <c r="R24" s="3">
        <v>47250.969599999997</v>
      </c>
      <c r="S24" s="3">
        <v>4.2759</v>
      </c>
      <c r="T24" s="3">
        <v>65661.452000000005</v>
      </c>
      <c r="U24" s="3">
        <v>70734.942599999995</v>
      </c>
      <c r="V24" s="1"/>
      <c r="W24" s="3">
        <v>91.509399999999999</v>
      </c>
      <c r="X24" s="1">
        <v>84</v>
      </c>
      <c r="Y24" s="1">
        <v>84</v>
      </c>
      <c r="Z24" s="1">
        <v>95</v>
      </c>
      <c r="AA24" s="1">
        <v>2.7</v>
      </c>
      <c r="AB24" s="1">
        <v>93.6</v>
      </c>
      <c r="AC24" s="1">
        <v>81.295100000000005</v>
      </c>
      <c r="AD24" s="1">
        <v>96.219300000000004</v>
      </c>
      <c r="AE24" s="1">
        <v>7</v>
      </c>
      <c r="AF24" s="1"/>
      <c r="AG24" s="1"/>
      <c r="AH24" s="1"/>
      <c r="AI24" s="1">
        <v>3.2</v>
      </c>
      <c r="AJ24" s="1">
        <v>2.9</v>
      </c>
      <c r="AK24" s="1">
        <v>3.5</v>
      </c>
      <c r="AL24" s="1">
        <v>68.985399999999998</v>
      </c>
      <c r="AM24" s="1">
        <v>2.1</v>
      </c>
      <c r="AN24" s="1">
        <v>157365</v>
      </c>
      <c r="AO24" s="1">
        <v>0</v>
      </c>
      <c r="AP24" s="1">
        <v>100</v>
      </c>
      <c r="AQ24" s="1">
        <v>99.972399999999993</v>
      </c>
      <c r="AR24" s="1">
        <v>98.896299999999997</v>
      </c>
      <c r="AS24" s="1">
        <v>99.262699999999995</v>
      </c>
      <c r="AT24" s="1">
        <v>99.953400000000002</v>
      </c>
      <c r="AU24" s="1"/>
      <c r="AV24" s="3">
        <v>68.396199999999993</v>
      </c>
      <c r="AW24" s="1"/>
      <c r="AX24" s="1"/>
      <c r="AY24" s="1">
        <v>6</v>
      </c>
      <c r="AZ24" s="1">
        <v>4</v>
      </c>
      <c r="BA24" s="1">
        <v>99.671999999999997</v>
      </c>
      <c r="BB24" s="1">
        <v>40.983600000000003</v>
      </c>
      <c r="BC24" s="1">
        <v>8.6433</v>
      </c>
      <c r="BD24" s="3">
        <v>5.2779999999999996</v>
      </c>
      <c r="BE24" s="3">
        <v>87.264200000000002</v>
      </c>
      <c r="BF24" s="1"/>
      <c r="BG24" s="15">
        <v>34.075000000000003</v>
      </c>
      <c r="BH24" s="4">
        <v>3.2004999999999999</v>
      </c>
      <c r="BI24" s="4">
        <v>6658.5487999999996</v>
      </c>
      <c r="BJ24" s="3">
        <v>95.7547</v>
      </c>
      <c r="BK24" s="1"/>
      <c r="BL24" s="1"/>
      <c r="BM24" s="1"/>
      <c r="BN24" s="1">
        <v>8</v>
      </c>
      <c r="BO24" s="1">
        <v>12.154999999999999</v>
      </c>
      <c r="BP24" s="1"/>
      <c r="BQ24" s="3"/>
      <c r="BR24" s="1"/>
      <c r="BS24" s="4">
        <v>4.992</v>
      </c>
      <c r="BT24" s="4">
        <v>4.992</v>
      </c>
      <c r="BU24" s="4">
        <v>10.327</v>
      </c>
      <c r="BV24" s="4">
        <v>10.321999999999999</v>
      </c>
      <c r="BW24" s="3">
        <v>94.2029</v>
      </c>
      <c r="BX24">
        <v>17.52</v>
      </c>
      <c r="BY24" s="5">
        <v>35569674</v>
      </c>
      <c r="BZ24" s="6">
        <v>115062696</v>
      </c>
      <c r="CA24" s="7">
        <f t="shared" si="0"/>
        <v>3.2348538251995227</v>
      </c>
      <c r="CB24">
        <v>9041851</v>
      </c>
      <c r="CC24" s="8">
        <f t="shared" si="1"/>
        <v>12.725568691631835</v>
      </c>
      <c r="CD24" s="8">
        <f t="shared" si="2"/>
        <v>3.9338929606338349</v>
      </c>
      <c r="CE24">
        <v>83878</v>
      </c>
      <c r="CF24" s="8">
        <f t="shared" si="3"/>
        <v>424.06440306158947</v>
      </c>
      <c r="CG24" s="8">
        <f t="shared" si="4"/>
        <v>1371.7863563747346</v>
      </c>
      <c r="CH24">
        <v>102.36913</v>
      </c>
    </row>
    <row r="25" spans="1:86" ht="15.5" x14ac:dyDescent="0.35">
      <c r="A25" t="s">
        <v>86</v>
      </c>
      <c r="B25">
        <v>2023</v>
      </c>
      <c r="C25" s="2">
        <v>52.594099999999997</v>
      </c>
      <c r="D25" s="1"/>
      <c r="E25" s="1">
        <v>0.1</v>
      </c>
      <c r="F25" s="1">
        <v>6.4406999999999996</v>
      </c>
      <c r="G25" s="1"/>
      <c r="H25" s="1">
        <v>13</v>
      </c>
      <c r="I25" s="3">
        <v>158.46600000000001</v>
      </c>
      <c r="J25" s="3">
        <v>160.589</v>
      </c>
      <c r="K25" s="3">
        <v>6.0270000000000001</v>
      </c>
      <c r="L25" s="3">
        <v>83.490600000000001</v>
      </c>
      <c r="M25" s="3">
        <v>6863000000</v>
      </c>
      <c r="N25" s="3"/>
      <c r="O25" s="1">
        <v>33.792999999999999</v>
      </c>
      <c r="P25" s="1">
        <v>29.6478</v>
      </c>
      <c r="Q25" s="3">
        <v>56290.148999999998</v>
      </c>
      <c r="R25" s="3">
        <v>46338.9571</v>
      </c>
      <c r="S25" s="3">
        <v>-1.9300999999999999</v>
      </c>
      <c r="T25" s="3">
        <v>64394.090499999998</v>
      </c>
      <c r="U25" s="3">
        <v>70478.787400000001</v>
      </c>
      <c r="V25" s="1"/>
      <c r="W25" s="3">
        <v>89.622600000000006</v>
      </c>
      <c r="X25" s="1">
        <v>84</v>
      </c>
      <c r="Y25" s="1">
        <v>84</v>
      </c>
      <c r="Z25" s="1">
        <v>95</v>
      </c>
      <c r="AA25" s="1">
        <v>2.6</v>
      </c>
      <c r="AB25" s="1">
        <v>95.3</v>
      </c>
      <c r="AC25" s="1">
        <v>81.541499999999999</v>
      </c>
      <c r="AD25" s="1"/>
      <c r="AE25" s="1">
        <v>6</v>
      </c>
      <c r="AF25" s="1"/>
      <c r="AG25" s="1"/>
      <c r="AH25" s="1"/>
      <c r="AI25" s="1">
        <v>3.1</v>
      </c>
      <c r="AJ25" s="1">
        <v>2.8</v>
      </c>
      <c r="AK25" s="1">
        <v>3.4</v>
      </c>
      <c r="AL25" s="16">
        <v>68.985399999999998</v>
      </c>
      <c r="AM25" s="1">
        <v>2</v>
      </c>
      <c r="AN25" s="1">
        <v>4819</v>
      </c>
      <c r="AO25" s="1"/>
      <c r="AP25" s="1"/>
      <c r="AQ25" s="1"/>
      <c r="AR25" s="1"/>
      <c r="AS25" s="1"/>
      <c r="AT25" s="1"/>
      <c r="AU25" s="1"/>
      <c r="AV25" s="3">
        <v>71.563999999999993</v>
      </c>
      <c r="AW25" s="1"/>
      <c r="AX25" s="1"/>
      <c r="AY25" s="1">
        <v>6</v>
      </c>
      <c r="AZ25" s="17">
        <v>4</v>
      </c>
      <c r="BA25" s="1"/>
      <c r="BB25" s="1">
        <v>40.983600000000003</v>
      </c>
      <c r="BC25" s="1"/>
      <c r="BD25" s="3">
        <v>-0.95499999999999996</v>
      </c>
      <c r="BE25" s="3">
        <v>90.094300000000004</v>
      </c>
      <c r="BF25" s="1"/>
      <c r="BG25" s="15">
        <v>40.844000000000001</v>
      </c>
      <c r="BH25" s="18">
        <v>3.2004999999999999</v>
      </c>
      <c r="BI25" s="18">
        <v>6658.5487999999996</v>
      </c>
      <c r="BJ25" s="3">
        <v>97.169799999999995</v>
      </c>
      <c r="BK25" s="1"/>
      <c r="BL25" s="1"/>
      <c r="BM25" s="1"/>
      <c r="BN25" s="1">
        <v>8</v>
      </c>
      <c r="BO25" s="1">
        <v>13.118</v>
      </c>
      <c r="BP25" s="1"/>
      <c r="BQ25" s="3"/>
      <c r="BR25" s="1"/>
      <c r="BS25" s="4">
        <v>5.2640000000000002</v>
      </c>
      <c r="BT25" s="4">
        <v>5.2640000000000002</v>
      </c>
      <c r="BU25" s="4">
        <v>10.98</v>
      </c>
      <c r="BV25" s="4">
        <v>10.946</v>
      </c>
      <c r="BW25" s="3">
        <v>93.627399999999994</v>
      </c>
      <c r="BX25">
        <v>15.72</v>
      </c>
      <c r="BY25" s="5">
        <v>40650056</v>
      </c>
      <c r="BZ25" s="6">
        <v>127765910</v>
      </c>
      <c r="CA25" s="7">
        <f t="shared" si="0"/>
        <v>3.1430684867937204</v>
      </c>
      <c r="CB25">
        <v>9131761</v>
      </c>
      <c r="CC25" s="8">
        <f t="shared" si="1"/>
        <v>13.99137690966726</v>
      </c>
      <c r="CD25" s="8">
        <f t="shared" si="2"/>
        <v>4.451502399153898</v>
      </c>
      <c r="CE25">
        <v>83878</v>
      </c>
      <c r="CF25" s="8">
        <f t="shared" si="3"/>
        <v>484.63310999308521</v>
      </c>
      <c r="CG25" s="8">
        <f t="shared" si="4"/>
        <v>1523.235055676101</v>
      </c>
      <c r="CH25">
        <v>103.46747999999999</v>
      </c>
    </row>
    <row r="26" spans="1:86" ht="15.5" x14ac:dyDescent="0.35">
      <c r="A26" t="s">
        <v>87</v>
      </c>
      <c r="B26">
        <v>2000</v>
      </c>
      <c r="C26" s="2">
        <v>52.465800000000002</v>
      </c>
      <c r="D26">
        <v>144424.6</v>
      </c>
      <c r="E26">
        <v>0.24149999999999999</v>
      </c>
      <c r="F26">
        <v>12.1907</v>
      </c>
      <c r="G26">
        <v>149000</v>
      </c>
      <c r="H26">
        <v>12</v>
      </c>
      <c r="I26" s="19">
        <v>74.950999999999993</v>
      </c>
      <c r="J26" s="19">
        <v>75.83</v>
      </c>
      <c r="K26" s="19">
        <v>4.9669999999999996</v>
      </c>
      <c r="L26" s="19">
        <v>90.4255</v>
      </c>
      <c r="M26" s="19">
        <v>9393000000</v>
      </c>
      <c r="N26" s="19">
        <v>47.3504</v>
      </c>
      <c r="O26">
        <v>24.532</v>
      </c>
      <c r="P26">
        <v>1.4067000000000001</v>
      </c>
      <c r="Q26" s="19">
        <v>23136.510999999999</v>
      </c>
      <c r="R26" s="19">
        <v>35878.315399999999</v>
      </c>
      <c r="S26" s="19">
        <v>3.4655</v>
      </c>
      <c r="T26" s="19">
        <v>50477.998299999999</v>
      </c>
      <c r="U26" s="19">
        <v>27788.090899999999</v>
      </c>
      <c r="V26">
        <v>33.1</v>
      </c>
      <c r="W26" s="19">
        <v>90.710400000000007</v>
      </c>
      <c r="X26">
        <v>95</v>
      </c>
      <c r="Y26">
        <v>60</v>
      </c>
      <c r="Z26">
        <v>82</v>
      </c>
      <c r="AA26">
        <v>4.8</v>
      </c>
      <c r="AB26">
        <v>29.4</v>
      </c>
      <c r="AC26">
        <v>77.721999999999994</v>
      </c>
      <c r="AE26">
        <v>8</v>
      </c>
      <c r="AF26">
        <v>88.540700000000001</v>
      </c>
      <c r="AG26">
        <v>16.7</v>
      </c>
      <c r="AH26">
        <v>0.5</v>
      </c>
      <c r="AI26">
        <v>5.9</v>
      </c>
      <c r="AJ26">
        <v>5.2</v>
      </c>
      <c r="AK26">
        <v>6.5</v>
      </c>
      <c r="AL26">
        <v>59.509599999999999</v>
      </c>
      <c r="AM26">
        <v>3</v>
      </c>
      <c r="AN26">
        <v>13952</v>
      </c>
      <c r="AO26">
        <v>0</v>
      </c>
      <c r="AP26">
        <v>100</v>
      </c>
      <c r="AQ26">
        <v>99.4846</v>
      </c>
      <c r="AR26">
        <v>99.631299999999996</v>
      </c>
      <c r="AU26">
        <v>19.489699999999999</v>
      </c>
      <c r="AV26" s="19">
        <v>83.597899999999996</v>
      </c>
      <c r="AW26">
        <v>0.3</v>
      </c>
      <c r="AZ26">
        <v>6</v>
      </c>
      <c r="BA26">
        <v>68.657399999999996</v>
      </c>
      <c r="BB26">
        <v>23.333300000000001</v>
      </c>
      <c r="BC26">
        <v>5.9619</v>
      </c>
      <c r="BD26" s="19">
        <v>3.7170000000000001</v>
      </c>
      <c r="BE26" s="19">
        <v>85.869600000000005</v>
      </c>
      <c r="BF26">
        <v>2.7174999999999998</v>
      </c>
      <c r="BG26">
        <v>1.4</v>
      </c>
      <c r="BH26" s="20">
        <v>1.9361999999999999</v>
      </c>
      <c r="BI26" s="20">
        <v>2982.5535</v>
      </c>
      <c r="BJ26" s="19">
        <v>89.054699999999997</v>
      </c>
      <c r="BK26">
        <v>0.99450000000000005</v>
      </c>
      <c r="BL26">
        <v>1.0572999999999999</v>
      </c>
      <c r="BM26">
        <v>1.1061000000000001</v>
      </c>
      <c r="BN26">
        <v>6</v>
      </c>
      <c r="BO26">
        <v>9.0440000000000005</v>
      </c>
      <c r="BP26">
        <v>22.07</v>
      </c>
      <c r="BQ26" s="19">
        <v>103.9573</v>
      </c>
      <c r="BR26">
        <v>80.082400000000007</v>
      </c>
      <c r="BS26" s="20">
        <v>6.5860000000000003</v>
      </c>
      <c r="BT26" s="20">
        <v>6.5860000000000003</v>
      </c>
      <c r="BU26" s="20">
        <v>15.249000000000001</v>
      </c>
      <c r="BV26" s="20">
        <v>15.247999999999999</v>
      </c>
      <c r="BW26" s="1">
        <v>92.537300000000002</v>
      </c>
      <c r="BX26">
        <v>24.64</v>
      </c>
      <c r="BY26" s="6">
        <v>10723864</v>
      </c>
      <c r="BZ26" s="5">
        <v>29215345</v>
      </c>
      <c r="CA26" s="7">
        <f t="shared" si="0"/>
        <v>2.7243300549130427</v>
      </c>
      <c r="CB26">
        <v>10251250</v>
      </c>
      <c r="CC26" s="8">
        <f t="shared" si="1"/>
        <v>2.8499300085355443</v>
      </c>
      <c r="CD26" s="8">
        <f t="shared" si="2"/>
        <v>1.0461030606023656</v>
      </c>
      <c r="CE26">
        <v>30666</v>
      </c>
      <c r="CF26" s="8">
        <f t="shared" si="3"/>
        <v>349.69881953955519</v>
      </c>
      <c r="CG26" s="8">
        <f t="shared" si="4"/>
        <v>952.69500423922261</v>
      </c>
      <c r="CH26">
        <v>98.265699999999995</v>
      </c>
    </row>
    <row r="27" spans="1:86" ht="15.5" x14ac:dyDescent="0.35">
      <c r="A27" t="s">
        <v>87</v>
      </c>
      <c r="B27">
        <v>2001</v>
      </c>
      <c r="C27" s="2">
        <v>52.549500000000002</v>
      </c>
      <c r="D27">
        <v>137430.79999999999</v>
      </c>
      <c r="E27">
        <v>0.2407</v>
      </c>
      <c r="F27">
        <v>12.242599999999999</v>
      </c>
      <c r="G27">
        <v>148000</v>
      </c>
      <c r="H27">
        <v>12</v>
      </c>
      <c r="I27" s="19">
        <v>76.778000000000006</v>
      </c>
      <c r="J27" s="19">
        <v>77.290000000000006</v>
      </c>
      <c r="K27" s="19">
        <v>3.9790000000000001</v>
      </c>
      <c r="L27" s="19"/>
      <c r="M27" s="19">
        <v>7896000000</v>
      </c>
      <c r="N27" s="19">
        <v>47.965899999999998</v>
      </c>
      <c r="O27">
        <v>28.382999999999999</v>
      </c>
      <c r="P27">
        <v>4.4718</v>
      </c>
      <c r="Q27" s="19">
        <v>23067.163</v>
      </c>
      <c r="R27" s="19">
        <v>36148.288099999998</v>
      </c>
      <c r="S27" s="19">
        <v>0.75249999999999995</v>
      </c>
      <c r="T27" s="19">
        <v>50857.8289</v>
      </c>
      <c r="U27" s="19">
        <v>28796.579600000001</v>
      </c>
      <c r="W27" s="19"/>
      <c r="X27">
        <v>95</v>
      </c>
      <c r="Y27">
        <v>60</v>
      </c>
      <c r="Z27">
        <v>82</v>
      </c>
      <c r="AA27">
        <v>4.7</v>
      </c>
      <c r="AB27">
        <v>31.3</v>
      </c>
      <c r="AC27">
        <v>77.973200000000006</v>
      </c>
      <c r="AE27">
        <v>8</v>
      </c>
      <c r="AF27">
        <v>88.589100000000002</v>
      </c>
      <c r="AG27">
        <v>15.8</v>
      </c>
      <c r="AH27">
        <v>0.57999999999999996</v>
      </c>
      <c r="AI27">
        <v>5.7</v>
      </c>
      <c r="AJ27">
        <v>5</v>
      </c>
      <c r="AK27">
        <v>6.3</v>
      </c>
      <c r="AL27">
        <v>59.692599999999999</v>
      </c>
      <c r="AM27">
        <v>2.9</v>
      </c>
      <c r="AN27">
        <v>34924</v>
      </c>
      <c r="AO27">
        <v>0</v>
      </c>
      <c r="AP27">
        <v>100</v>
      </c>
      <c r="AQ27">
        <v>99.484800000000007</v>
      </c>
      <c r="AR27">
        <v>99.631299999999996</v>
      </c>
      <c r="AU27">
        <v>19.0777</v>
      </c>
      <c r="AV27" s="19"/>
      <c r="AZ27">
        <v>6</v>
      </c>
      <c r="BA27">
        <v>68.657499999999999</v>
      </c>
      <c r="BB27">
        <v>23.333300000000001</v>
      </c>
      <c r="BC27">
        <v>6.1395</v>
      </c>
      <c r="BD27" s="19">
        <v>1.1000000000000001</v>
      </c>
      <c r="BE27" s="19"/>
      <c r="BF27">
        <v>2.8538999999999999</v>
      </c>
      <c r="BG27">
        <v>1.6</v>
      </c>
      <c r="BH27" s="20">
        <v>2.0327999999999999</v>
      </c>
      <c r="BI27" s="20">
        <v>3140.7323999999999</v>
      </c>
      <c r="BJ27" s="19"/>
      <c r="BK27">
        <v>0.99380000000000002</v>
      </c>
      <c r="BL27">
        <v>1.0633999999999999</v>
      </c>
      <c r="BM27">
        <v>1.1147</v>
      </c>
      <c r="BN27">
        <v>6</v>
      </c>
      <c r="BO27">
        <v>9.0589999999999993</v>
      </c>
      <c r="BP27">
        <v>22.25</v>
      </c>
      <c r="BQ27" s="19">
        <v>104.3689</v>
      </c>
      <c r="BR27">
        <v>80.546700000000001</v>
      </c>
      <c r="BS27" s="20">
        <v>6.1779999999999999</v>
      </c>
      <c r="BT27" s="20">
        <v>6.1779999999999999</v>
      </c>
      <c r="BU27" s="20">
        <v>15.332000000000001</v>
      </c>
      <c r="BV27" s="20">
        <v>15.333</v>
      </c>
      <c r="BW27" s="1"/>
      <c r="BX27">
        <v>22.65</v>
      </c>
      <c r="BY27" s="6">
        <v>10806622</v>
      </c>
      <c r="BZ27" s="5">
        <v>28693963</v>
      </c>
      <c r="CA27" s="7">
        <f t="shared" si="0"/>
        <v>2.6552203824654921</v>
      </c>
      <c r="CB27">
        <v>10286570</v>
      </c>
      <c r="CC27" s="8">
        <f t="shared" si="1"/>
        <v>2.7894587797487405</v>
      </c>
      <c r="CD27" s="8">
        <f t="shared" si="2"/>
        <v>1.0505564050990759</v>
      </c>
      <c r="CE27">
        <v>30666</v>
      </c>
      <c r="CF27" s="8">
        <f t="shared" si="3"/>
        <v>352.39750864149221</v>
      </c>
      <c r="CG27" s="8">
        <f t="shared" si="4"/>
        <v>935.69304767494941</v>
      </c>
      <c r="CH27">
        <v>98.23339</v>
      </c>
    </row>
    <row r="28" spans="1:86" ht="15.5" x14ac:dyDescent="0.35">
      <c r="A28" t="s">
        <v>87</v>
      </c>
      <c r="B28">
        <v>2002</v>
      </c>
      <c r="C28" s="2">
        <v>52.528100000000002</v>
      </c>
      <c r="D28">
        <v>137767.20000000001</v>
      </c>
      <c r="E28">
        <v>0.22270000000000001</v>
      </c>
      <c r="F28">
        <v>11.467700000000001</v>
      </c>
      <c r="G28">
        <v>147000</v>
      </c>
      <c r="H28">
        <v>12</v>
      </c>
      <c r="I28" s="19">
        <v>77.97</v>
      </c>
      <c r="J28" s="19">
        <v>78.319999999999993</v>
      </c>
      <c r="K28" s="19">
        <v>4.1139999999999999</v>
      </c>
      <c r="L28" s="19">
        <v>89.947100000000006</v>
      </c>
      <c r="M28" s="19">
        <v>11622000000</v>
      </c>
      <c r="N28" s="19">
        <v>54.4619</v>
      </c>
      <c r="O28">
        <v>27.972000000000001</v>
      </c>
      <c r="P28">
        <v>7.8914</v>
      </c>
      <c r="Q28" s="19">
        <v>25044.330999999998</v>
      </c>
      <c r="R28" s="19">
        <v>36600.862500000003</v>
      </c>
      <c r="S28" s="19">
        <v>1.252</v>
      </c>
      <c r="T28" s="19">
        <v>51494.565900000001</v>
      </c>
      <c r="U28" s="19">
        <v>30282.2886</v>
      </c>
      <c r="W28" s="19">
        <v>96.216200000000001</v>
      </c>
      <c r="X28">
        <v>95</v>
      </c>
      <c r="Y28">
        <v>60</v>
      </c>
      <c r="Z28">
        <v>82</v>
      </c>
      <c r="AA28">
        <v>4.5</v>
      </c>
      <c r="AB28">
        <v>46.3</v>
      </c>
      <c r="AC28">
        <v>78.075599999999994</v>
      </c>
      <c r="AE28">
        <v>7</v>
      </c>
      <c r="AF28">
        <v>88.745099999999994</v>
      </c>
      <c r="AG28">
        <v>13.9</v>
      </c>
      <c r="AH28">
        <v>0.54</v>
      </c>
      <c r="AI28">
        <v>5.5</v>
      </c>
      <c r="AJ28">
        <v>4.8</v>
      </c>
      <c r="AK28">
        <v>6.1</v>
      </c>
      <c r="AL28">
        <v>60.1892</v>
      </c>
      <c r="AM28">
        <v>2.8</v>
      </c>
      <c r="AN28">
        <v>39404</v>
      </c>
      <c r="AO28">
        <v>0</v>
      </c>
      <c r="AP28">
        <v>100</v>
      </c>
      <c r="AQ28">
        <v>99.484999999999999</v>
      </c>
      <c r="AR28">
        <v>99.631399999999999</v>
      </c>
      <c r="AU28">
        <v>18.592300000000002</v>
      </c>
      <c r="AV28" s="19">
        <v>91.534400000000005</v>
      </c>
      <c r="AZ28">
        <v>6</v>
      </c>
      <c r="BA28">
        <v>68.657600000000002</v>
      </c>
      <c r="BB28">
        <v>23.333300000000001</v>
      </c>
      <c r="BC28">
        <v>6.1325000000000003</v>
      </c>
      <c r="BD28" s="19">
        <v>1.7070000000000001</v>
      </c>
      <c r="BE28" s="19">
        <v>85.945899999999995</v>
      </c>
      <c r="BF28">
        <v>2.7635000000000001</v>
      </c>
      <c r="BG28">
        <v>1.7</v>
      </c>
      <c r="BH28" s="20">
        <v>1.9032</v>
      </c>
      <c r="BI28" s="20">
        <v>2974.5958999999998</v>
      </c>
      <c r="BJ28" s="19">
        <v>89.054699999999997</v>
      </c>
      <c r="BK28">
        <v>0.99319999999999997</v>
      </c>
      <c r="BL28">
        <v>1.0683</v>
      </c>
      <c r="BM28">
        <v>1.1223000000000001</v>
      </c>
      <c r="BN28">
        <v>6</v>
      </c>
      <c r="BO28">
        <v>9.7769999999999992</v>
      </c>
      <c r="BP28">
        <v>20.96</v>
      </c>
      <c r="BQ28" s="19">
        <v>104.8244</v>
      </c>
      <c r="BR28">
        <v>79.3506</v>
      </c>
      <c r="BS28" s="20">
        <v>6.91</v>
      </c>
      <c r="BT28" s="20">
        <v>6.91</v>
      </c>
      <c r="BU28" s="20">
        <v>15.651999999999999</v>
      </c>
      <c r="BV28" s="20">
        <v>15.651999999999999</v>
      </c>
      <c r="BW28" s="1">
        <v>93.034800000000004</v>
      </c>
      <c r="BX28">
        <v>21.54</v>
      </c>
      <c r="BY28" s="6">
        <v>11067758</v>
      </c>
      <c r="BZ28" s="5">
        <v>29092541</v>
      </c>
      <c r="CA28" s="7">
        <f t="shared" si="0"/>
        <v>2.6285848497952342</v>
      </c>
      <c r="CB28">
        <v>10332785</v>
      </c>
      <c r="CC28" s="8">
        <f t="shared" si="1"/>
        <v>2.815556599696984</v>
      </c>
      <c r="CD28" s="8">
        <f t="shared" si="2"/>
        <v>1.0711301938441573</v>
      </c>
      <c r="CE28">
        <v>30666</v>
      </c>
      <c r="CF28" s="8">
        <f t="shared" si="3"/>
        <v>360.91299810865456</v>
      </c>
      <c r="CG28" s="8">
        <f t="shared" si="4"/>
        <v>948.69043892258526</v>
      </c>
      <c r="CH28">
        <v>97.407330000000002</v>
      </c>
    </row>
    <row r="29" spans="1:86" ht="15.5" x14ac:dyDescent="0.35">
      <c r="A29" t="s">
        <v>87</v>
      </c>
      <c r="B29">
        <v>2003</v>
      </c>
      <c r="C29" s="2">
        <v>52.4831</v>
      </c>
      <c r="D29">
        <v>141010.20000000001</v>
      </c>
      <c r="E29">
        <v>0.22950000000000001</v>
      </c>
      <c r="F29">
        <v>11.889900000000001</v>
      </c>
      <c r="G29">
        <v>148000</v>
      </c>
      <c r="H29">
        <v>12</v>
      </c>
      <c r="I29" s="19">
        <v>79.153000000000006</v>
      </c>
      <c r="J29" s="19">
        <v>79.599999999999994</v>
      </c>
      <c r="K29" s="19">
        <v>3.5779999999999998</v>
      </c>
      <c r="L29" s="19">
        <v>89.418000000000006</v>
      </c>
      <c r="M29" s="19">
        <v>10806000000</v>
      </c>
      <c r="N29" s="19">
        <v>64.412800000000004</v>
      </c>
      <c r="O29">
        <v>27.327000000000002</v>
      </c>
      <c r="P29">
        <v>11.9786</v>
      </c>
      <c r="Q29" s="19">
        <v>30707.665000000001</v>
      </c>
      <c r="R29" s="19">
        <v>36826.269899999999</v>
      </c>
      <c r="S29" s="19">
        <v>0.6159</v>
      </c>
      <c r="T29" s="19">
        <v>51811.696600000003</v>
      </c>
      <c r="U29" s="19">
        <v>30934.582600000002</v>
      </c>
      <c r="V29">
        <v>28.1</v>
      </c>
      <c r="W29" s="19">
        <v>95.675700000000006</v>
      </c>
      <c r="X29">
        <v>95</v>
      </c>
      <c r="Y29">
        <v>64</v>
      </c>
      <c r="Z29">
        <v>82</v>
      </c>
      <c r="AA29">
        <v>4.4000000000000004</v>
      </c>
      <c r="AB29">
        <v>50</v>
      </c>
      <c r="AC29">
        <v>78.129300000000001</v>
      </c>
      <c r="AE29">
        <v>7</v>
      </c>
      <c r="AF29">
        <v>88.916200000000003</v>
      </c>
      <c r="AG29">
        <v>12</v>
      </c>
      <c r="AH29">
        <v>0.41</v>
      </c>
      <c r="AI29">
        <v>5.3</v>
      </c>
      <c r="AJ29">
        <v>4.7</v>
      </c>
      <c r="AK29">
        <v>5.9</v>
      </c>
      <c r="AL29">
        <v>59.768300000000004</v>
      </c>
      <c r="AM29">
        <v>2.7</v>
      </c>
      <c r="AN29">
        <v>34472</v>
      </c>
      <c r="AO29">
        <v>0</v>
      </c>
      <c r="AP29">
        <v>100</v>
      </c>
      <c r="AQ29">
        <v>99.485100000000003</v>
      </c>
      <c r="AR29">
        <v>99.631299999999996</v>
      </c>
      <c r="AU29">
        <v>18.108499999999999</v>
      </c>
      <c r="AV29" s="19">
        <v>74.371899999999997</v>
      </c>
      <c r="AW29">
        <v>0.3</v>
      </c>
      <c r="AZ29">
        <v>6</v>
      </c>
      <c r="BA29">
        <v>68.657700000000006</v>
      </c>
      <c r="BB29">
        <v>35.333300000000001</v>
      </c>
      <c r="BC29">
        <v>6.7897999999999996</v>
      </c>
      <c r="BD29" s="19">
        <v>1.038</v>
      </c>
      <c r="BE29" s="19">
        <v>87.027000000000001</v>
      </c>
      <c r="BF29">
        <v>2.6716000000000002</v>
      </c>
      <c r="BG29">
        <v>1.9</v>
      </c>
      <c r="BH29" s="20">
        <v>1.8411999999999999</v>
      </c>
      <c r="BI29" s="20">
        <v>2985.4468000000002</v>
      </c>
      <c r="BJ29" s="19">
        <v>89.054699999999997</v>
      </c>
      <c r="BK29">
        <v>0.99139999999999995</v>
      </c>
      <c r="BL29">
        <v>1.0575000000000001</v>
      </c>
      <c r="BM29">
        <v>1.1032999999999999</v>
      </c>
      <c r="BN29">
        <v>6</v>
      </c>
      <c r="BO29">
        <v>10.329000000000001</v>
      </c>
      <c r="BP29">
        <v>21.44</v>
      </c>
      <c r="BQ29" s="19">
        <v>105.3676</v>
      </c>
      <c r="BR29">
        <v>75.792500000000004</v>
      </c>
      <c r="BS29" s="20">
        <v>7.68</v>
      </c>
      <c r="BT29" s="20">
        <v>7.68</v>
      </c>
      <c r="BU29" s="20">
        <v>18.981999999999999</v>
      </c>
      <c r="BV29" s="20">
        <v>18.984000000000002</v>
      </c>
      <c r="BW29" s="1">
        <v>95.522400000000005</v>
      </c>
      <c r="BX29">
        <v>23.05</v>
      </c>
      <c r="BY29" s="6">
        <v>11072093</v>
      </c>
      <c r="BZ29" s="5">
        <v>29018507</v>
      </c>
      <c r="CA29" s="7">
        <f t="shared" si="0"/>
        <v>2.6208691527428463</v>
      </c>
      <c r="CB29">
        <v>10376133</v>
      </c>
      <c r="CC29" s="8">
        <f t="shared" si="1"/>
        <v>2.7966591214665426</v>
      </c>
      <c r="CD29" s="8">
        <f t="shared" si="2"/>
        <v>1.0670731572156988</v>
      </c>
      <c r="CE29">
        <v>30666</v>
      </c>
      <c r="CF29" s="8">
        <f t="shared" si="3"/>
        <v>361.05435987738866</v>
      </c>
      <c r="CG29" s="8">
        <f t="shared" si="4"/>
        <v>946.27623426596233</v>
      </c>
      <c r="CH29">
        <v>97.211870000000005</v>
      </c>
    </row>
    <row r="30" spans="1:86" ht="15.5" x14ac:dyDescent="0.35">
      <c r="A30" t="s">
        <v>87</v>
      </c>
      <c r="B30">
        <v>2004</v>
      </c>
      <c r="C30" s="2">
        <v>52.464599999999997</v>
      </c>
      <c r="D30">
        <v>142629</v>
      </c>
      <c r="E30">
        <v>0.21909999999999999</v>
      </c>
      <c r="F30">
        <v>11.7052</v>
      </c>
      <c r="G30">
        <v>149000</v>
      </c>
      <c r="H30">
        <v>12</v>
      </c>
      <c r="I30" s="19">
        <v>80.623000000000005</v>
      </c>
      <c r="J30" s="19">
        <v>81.2</v>
      </c>
      <c r="K30" s="19">
        <v>4.0730000000000004</v>
      </c>
      <c r="L30" s="19">
        <v>90.147800000000004</v>
      </c>
      <c r="M30" s="19">
        <v>11434000000</v>
      </c>
      <c r="N30" s="19">
        <v>77.327200000000005</v>
      </c>
      <c r="O30">
        <v>26.911000000000001</v>
      </c>
      <c r="P30">
        <v>15.544600000000001</v>
      </c>
      <c r="Q30" s="19">
        <v>35497.552000000003</v>
      </c>
      <c r="R30" s="19">
        <v>37976.6973</v>
      </c>
      <c r="S30" s="19">
        <v>3.1238999999999999</v>
      </c>
      <c r="T30" s="19">
        <v>53430.258399999999</v>
      </c>
      <c r="U30" s="19">
        <v>32063.9827</v>
      </c>
      <c r="V30">
        <v>30.5</v>
      </c>
      <c r="W30" s="19">
        <v>93.532300000000006</v>
      </c>
      <c r="X30">
        <v>95</v>
      </c>
      <c r="Y30">
        <v>64</v>
      </c>
      <c r="Z30">
        <v>82</v>
      </c>
      <c r="AA30">
        <v>4.2</v>
      </c>
      <c r="AB30">
        <v>53.9</v>
      </c>
      <c r="AC30">
        <v>78.878</v>
      </c>
      <c r="AE30">
        <v>7</v>
      </c>
      <c r="AF30">
        <v>89.036699999999996</v>
      </c>
      <c r="AG30">
        <v>11.4</v>
      </c>
      <c r="AH30">
        <v>0.56999999999999995</v>
      </c>
      <c r="AI30">
        <v>5.2</v>
      </c>
      <c r="AJ30">
        <v>4.5999999999999996</v>
      </c>
      <c r="AK30">
        <v>5.7</v>
      </c>
      <c r="AL30">
        <v>60.040199999999999</v>
      </c>
      <c r="AM30">
        <v>2.7</v>
      </c>
      <c r="AN30">
        <v>35143</v>
      </c>
      <c r="AO30">
        <v>0</v>
      </c>
      <c r="AP30">
        <v>100</v>
      </c>
      <c r="AQ30">
        <v>99.485299999999995</v>
      </c>
      <c r="AR30">
        <v>99.631399999999999</v>
      </c>
      <c r="AU30">
        <v>17.701599999999999</v>
      </c>
      <c r="AV30" s="19">
        <v>71.844700000000003</v>
      </c>
      <c r="AW30">
        <v>0.1</v>
      </c>
      <c r="AZ30">
        <v>6</v>
      </c>
      <c r="BA30">
        <v>69.945800000000006</v>
      </c>
      <c r="BB30">
        <v>34.666699999999999</v>
      </c>
      <c r="BC30">
        <v>6.9931999999999999</v>
      </c>
      <c r="BD30" s="19">
        <v>3.5710000000000002</v>
      </c>
      <c r="BE30" s="19">
        <v>88.059700000000007</v>
      </c>
      <c r="BF30">
        <v>3.3085</v>
      </c>
      <c r="BG30">
        <v>2</v>
      </c>
      <c r="BH30" s="20">
        <v>1.8205</v>
      </c>
      <c r="BI30" s="20">
        <v>3116.4477999999999</v>
      </c>
      <c r="BJ30" s="19">
        <v>88.942300000000003</v>
      </c>
      <c r="BK30">
        <v>0.99650000000000005</v>
      </c>
      <c r="BL30">
        <v>1.0566</v>
      </c>
      <c r="BM30">
        <v>1.0983000000000001</v>
      </c>
      <c r="BN30">
        <v>6</v>
      </c>
      <c r="BO30">
        <v>8.5449999999999999</v>
      </c>
      <c r="BP30">
        <v>20.32</v>
      </c>
      <c r="BQ30" s="19">
        <v>104.1631</v>
      </c>
      <c r="BR30">
        <v>77.349900000000005</v>
      </c>
      <c r="BS30" s="20">
        <v>7.3630000000000004</v>
      </c>
      <c r="BT30" s="20">
        <v>7.3630000000000004</v>
      </c>
      <c r="BU30" s="20">
        <v>17.504999999999999</v>
      </c>
      <c r="BV30" s="20">
        <v>17.503</v>
      </c>
      <c r="BW30" s="1">
        <v>90.865399999999994</v>
      </c>
      <c r="BX30">
        <v>26.02</v>
      </c>
      <c r="BY30" s="6">
        <v>11157880</v>
      </c>
      <c r="BZ30" s="5">
        <v>28494396</v>
      </c>
      <c r="CA30" s="7">
        <f t="shared" si="0"/>
        <v>2.5537464106084666</v>
      </c>
      <c r="CB30">
        <v>10421137</v>
      </c>
      <c r="CC30" s="8">
        <f t="shared" si="1"/>
        <v>2.7342885905827741</v>
      </c>
      <c r="CD30" s="8">
        <f t="shared" si="2"/>
        <v>1.0706969882461002</v>
      </c>
      <c r="CE30">
        <v>30666</v>
      </c>
      <c r="CF30" s="8">
        <f t="shared" si="3"/>
        <v>363.8518228657145</v>
      </c>
      <c r="CG30" s="8">
        <f t="shared" si="4"/>
        <v>929.18528663666598</v>
      </c>
      <c r="CH30">
        <v>97.035619999999994</v>
      </c>
    </row>
    <row r="31" spans="1:86" ht="15.5" x14ac:dyDescent="0.35">
      <c r="A31" t="s">
        <v>87</v>
      </c>
      <c r="B31">
        <v>2005</v>
      </c>
      <c r="C31" s="2">
        <v>52.333399999999997</v>
      </c>
      <c r="D31">
        <v>139972.5</v>
      </c>
      <c r="E31">
        <v>0.20910000000000001</v>
      </c>
      <c r="F31">
        <v>11.3703</v>
      </c>
      <c r="G31">
        <v>145000</v>
      </c>
      <c r="H31">
        <v>12</v>
      </c>
      <c r="I31" s="19">
        <v>82.668999999999997</v>
      </c>
      <c r="J31" s="19">
        <v>83.44</v>
      </c>
      <c r="K31" s="19">
        <v>3.875</v>
      </c>
      <c r="L31" s="19">
        <v>90.243899999999996</v>
      </c>
      <c r="M31" s="19">
        <v>7701000000</v>
      </c>
      <c r="N31" s="19">
        <v>84.2654</v>
      </c>
      <c r="O31">
        <v>30.242000000000001</v>
      </c>
      <c r="P31">
        <v>19.187000000000001</v>
      </c>
      <c r="Q31" s="19">
        <v>36945.499000000003</v>
      </c>
      <c r="R31" s="19">
        <v>38645.260600000001</v>
      </c>
      <c r="S31" s="19">
        <v>1.7605</v>
      </c>
      <c r="T31" s="19">
        <v>54370.874900000003</v>
      </c>
      <c r="U31" s="19">
        <v>33177.890899999999</v>
      </c>
      <c r="V31">
        <v>29.3</v>
      </c>
      <c r="W31" s="19">
        <v>93.137299999999996</v>
      </c>
      <c r="X31">
        <v>97</v>
      </c>
      <c r="Y31">
        <v>77</v>
      </c>
      <c r="Z31">
        <v>88</v>
      </c>
      <c r="AA31">
        <v>4.0999999999999996</v>
      </c>
      <c r="AB31">
        <v>55.8</v>
      </c>
      <c r="AC31">
        <v>78.980500000000006</v>
      </c>
      <c r="AE31">
        <v>7</v>
      </c>
      <c r="AF31">
        <v>90.501400000000004</v>
      </c>
      <c r="AG31">
        <v>10.9</v>
      </c>
      <c r="AH31">
        <v>0.48</v>
      </c>
      <c r="AI31">
        <v>5</v>
      </c>
      <c r="AJ31">
        <v>4.5</v>
      </c>
      <c r="AK31">
        <v>5.6</v>
      </c>
      <c r="AL31">
        <v>59.800899999999999</v>
      </c>
      <c r="AM31">
        <v>2.6</v>
      </c>
      <c r="AN31">
        <v>50576</v>
      </c>
      <c r="AO31">
        <v>0</v>
      </c>
      <c r="AP31">
        <v>100</v>
      </c>
      <c r="AQ31">
        <v>99.485500000000002</v>
      </c>
      <c r="AR31">
        <v>99.631399999999999</v>
      </c>
      <c r="AU31">
        <v>17.446899999999999</v>
      </c>
      <c r="AV31" s="19">
        <v>70.388400000000004</v>
      </c>
      <c r="AW31">
        <v>0.2</v>
      </c>
      <c r="AZ31">
        <v>6</v>
      </c>
      <c r="BA31">
        <v>71.245599999999996</v>
      </c>
      <c r="BB31">
        <v>34.666699999999999</v>
      </c>
      <c r="BC31">
        <v>6.8955000000000002</v>
      </c>
      <c r="BD31" s="19">
        <v>2.3220000000000001</v>
      </c>
      <c r="BE31" s="19">
        <v>87.254900000000006</v>
      </c>
      <c r="BF31">
        <v>3.9944999999999999</v>
      </c>
      <c r="BG31">
        <v>2.5</v>
      </c>
      <c r="BH31" s="20">
        <v>1.7906</v>
      </c>
      <c r="BI31" s="20">
        <v>3173.0792999999999</v>
      </c>
      <c r="BJ31" s="19">
        <v>88.5167</v>
      </c>
      <c r="BK31">
        <v>0.99550000000000005</v>
      </c>
      <c r="BL31">
        <v>1.0699000000000001</v>
      </c>
      <c r="BM31">
        <v>1.1191</v>
      </c>
      <c r="BN31">
        <v>6</v>
      </c>
      <c r="BO31">
        <v>13.016999999999999</v>
      </c>
      <c r="BP31">
        <v>20.66</v>
      </c>
      <c r="BQ31" s="19">
        <v>102.28579999999999</v>
      </c>
      <c r="BR31">
        <v>72.908900000000003</v>
      </c>
      <c r="BS31" s="20">
        <v>8.44</v>
      </c>
      <c r="BT31" s="20">
        <v>8.44</v>
      </c>
      <c r="BU31" s="20">
        <v>21.481999999999999</v>
      </c>
      <c r="BV31" s="20">
        <v>21.481999999999999</v>
      </c>
      <c r="BW31" s="1">
        <v>91.346199999999996</v>
      </c>
      <c r="BX31">
        <v>28.28</v>
      </c>
      <c r="BY31" s="6">
        <v>11319300</v>
      </c>
      <c r="BZ31" s="5">
        <v>28380693</v>
      </c>
      <c r="CA31" s="7">
        <f t="shared" si="0"/>
        <v>2.507283400917018</v>
      </c>
      <c r="CB31">
        <v>10478617</v>
      </c>
      <c r="CC31" s="8">
        <f t="shared" si="1"/>
        <v>2.7084388140152464</v>
      </c>
      <c r="CD31" s="8">
        <f t="shared" si="2"/>
        <v>1.0802284309083918</v>
      </c>
      <c r="CE31">
        <v>30666</v>
      </c>
      <c r="CF31" s="8">
        <f t="shared" si="3"/>
        <v>369.11563294854238</v>
      </c>
      <c r="CG31" s="8">
        <f t="shared" si="4"/>
        <v>925.47749951085893</v>
      </c>
      <c r="CH31">
        <v>97.242490000000004</v>
      </c>
    </row>
    <row r="32" spans="1:86" ht="15.5" x14ac:dyDescent="0.35">
      <c r="A32" t="s">
        <v>87</v>
      </c>
      <c r="B32">
        <v>2006</v>
      </c>
      <c r="C32" s="2">
        <v>51.961100000000002</v>
      </c>
      <c r="D32">
        <v>139761.9</v>
      </c>
      <c r="E32">
        <v>0.19889999999999999</v>
      </c>
      <c r="F32">
        <v>11.015499999999999</v>
      </c>
      <c r="G32">
        <v>143000</v>
      </c>
      <c r="H32">
        <v>12</v>
      </c>
      <c r="I32" s="19">
        <v>84.596000000000004</v>
      </c>
      <c r="J32" s="19">
        <v>85.17</v>
      </c>
      <c r="K32" s="19">
        <v>3.7789999999999999</v>
      </c>
      <c r="L32" s="19">
        <v>88.780500000000004</v>
      </c>
      <c r="M32" s="19">
        <v>7554000000</v>
      </c>
      <c r="N32" s="19">
        <v>92.415899999999993</v>
      </c>
      <c r="O32">
        <v>31.132999999999999</v>
      </c>
      <c r="P32">
        <v>23.241199999999999</v>
      </c>
      <c r="Q32" s="19">
        <v>38841.785000000003</v>
      </c>
      <c r="R32" s="19">
        <v>39371.085800000001</v>
      </c>
      <c r="S32" s="19">
        <v>1.8782000000000001</v>
      </c>
      <c r="T32" s="19">
        <v>55392.054499999998</v>
      </c>
      <c r="U32" s="19">
        <v>35258.985099999998</v>
      </c>
      <c r="V32">
        <v>28.1</v>
      </c>
      <c r="W32" s="19">
        <v>94.146299999999997</v>
      </c>
      <c r="X32">
        <v>98</v>
      </c>
      <c r="Y32">
        <v>94</v>
      </c>
      <c r="Z32">
        <v>92</v>
      </c>
      <c r="AA32">
        <v>4</v>
      </c>
      <c r="AB32">
        <v>62</v>
      </c>
      <c r="AC32">
        <v>79.380499999999998</v>
      </c>
      <c r="AD32">
        <v>88.560699999999997</v>
      </c>
      <c r="AE32">
        <v>6</v>
      </c>
      <c r="AF32">
        <v>90.598399999999998</v>
      </c>
      <c r="AG32">
        <v>10.5</v>
      </c>
      <c r="AH32">
        <v>0.37</v>
      </c>
      <c r="AI32">
        <v>4.9000000000000004</v>
      </c>
      <c r="AJ32">
        <v>4.3</v>
      </c>
      <c r="AK32">
        <v>5.4</v>
      </c>
      <c r="AL32">
        <v>61.051400000000001</v>
      </c>
      <c r="AM32">
        <v>2.6</v>
      </c>
      <c r="AN32">
        <v>53574</v>
      </c>
      <c r="AO32">
        <v>0</v>
      </c>
      <c r="AP32">
        <v>100</v>
      </c>
      <c r="AQ32">
        <v>99.485600000000005</v>
      </c>
      <c r="AR32">
        <v>99.631299999999996</v>
      </c>
      <c r="AU32">
        <v>17.3306</v>
      </c>
      <c r="AV32" s="19">
        <v>73.912999999999997</v>
      </c>
      <c r="AW32">
        <v>0.2</v>
      </c>
      <c r="AZ32">
        <v>6</v>
      </c>
      <c r="BA32">
        <v>72.557199999999995</v>
      </c>
      <c r="BB32">
        <v>34.666699999999999</v>
      </c>
      <c r="BC32">
        <v>6.8056999999999999</v>
      </c>
      <c r="BD32" s="19">
        <v>2.5529999999999999</v>
      </c>
      <c r="BE32" s="19">
        <v>88.725499999999997</v>
      </c>
      <c r="BF32">
        <v>4.9904000000000002</v>
      </c>
      <c r="BG32">
        <v>2.9</v>
      </c>
      <c r="BH32" s="20">
        <v>1.8227</v>
      </c>
      <c r="BI32" s="20">
        <v>3318.0859</v>
      </c>
      <c r="BJ32" s="19">
        <v>88.995199999999997</v>
      </c>
      <c r="BK32">
        <v>0.99419999999999997</v>
      </c>
      <c r="BL32">
        <v>1.0747</v>
      </c>
      <c r="BM32">
        <v>1.1272</v>
      </c>
      <c r="BN32">
        <v>6</v>
      </c>
      <c r="BO32">
        <v>11.244999999999999</v>
      </c>
      <c r="BP32">
        <v>20.29</v>
      </c>
      <c r="BQ32" s="19">
        <v>102.0166</v>
      </c>
      <c r="BR32">
        <v>73.920699999999997</v>
      </c>
      <c r="BS32" s="20">
        <v>8.2460000000000004</v>
      </c>
      <c r="BT32" s="20">
        <v>8.2460000000000004</v>
      </c>
      <c r="BU32" s="20">
        <v>20.510999999999999</v>
      </c>
      <c r="BV32" s="20">
        <v>20.512</v>
      </c>
      <c r="BW32" s="1">
        <v>92.788499999999999</v>
      </c>
      <c r="BX32">
        <v>28.63</v>
      </c>
      <c r="BY32" s="6">
        <v>11800373</v>
      </c>
      <c r="BZ32" s="5">
        <v>29370925</v>
      </c>
      <c r="CA32" s="7">
        <f t="shared" si="0"/>
        <v>2.48898276351095</v>
      </c>
      <c r="CB32">
        <v>10547958</v>
      </c>
      <c r="CC32" s="8">
        <f t="shared" si="1"/>
        <v>2.7845128886557946</v>
      </c>
      <c r="CD32" s="8">
        <f t="shared" si="2"/>
        <v>1.1187353040275663</v>
      </c>
      <c r="CE32">
        <v>30666</v>
      </c>
      <c r="CF32" s="8">
        <f t="shared" si="3"/>
        <v>384.80313702471796</v>
      </c>
      <c r="CG32" s="8">
        <f t="shared" si="4"/>
        <v>957.76837539946519</v>
      </c>
      <c r="CH32">
        <v>97.415120000000002</v>
      </c>
    </row>
    <row r="33" spans="1:86" ht="15.5" x14ac:dyDescent="0.35">
      <c r="A33" t="s">
        <v>87</v>
      </c>
      <c r="B33">
        <v>2007</v>
      </c>
      <c r="C33" s="2">
        <v>51.562600000000003</v>
      </c>
      <c r="D33">
        <v>138601.29999999999</v>
      </c>
      <c r="E33">
        <v>0.18659999999999999</v>
      </c>
      <c r="F33">
        <v>10.636799999999999</v>
      </c>
      <c r="G33">
        <v>139000</v>
      </c>
      <c r="H33">
        <v>12</v>
      </c>
      <c r="I33" s="19">
        <v>86.135000000000005</v>
      </c>
      <c r="J33" s="19">
        <v>87.82</v>
      </c>
      <c r="K33" s="19">
        <v>5.1950000000000003</v>
      </c>
      <c r="L33" s="19">
        <v>90.291300000000007</v>
      </c>
      <c r="M33" s="19">
        <v>7044000000</v>
      </c>
      <c r="N33" s="19">
        <v>108.5955</v>
      </c>
      <c r="O33">
        <v>33.581000000000003</v>
      </c>
      <c r="P33">
        <v>25.689399999999999</v>
      </c>
      <c r="Q33" s="19">
        <v>44496.790999999997</v>
      </c>
      <c r="R33" s="19">
        <v>40520.0844</v>
      </c>
      <c r="S33" s="19">
        <v>2.9184000000000001</v>
      </c>
      <c r="T33" s="19">
        <v>57008.606099999997</v>
      </c>
      <c r="U33" s="19">
        <v>36799.531900000002</v>
      </c>
      <c r="V33">
        <v>29.2</v>
      </c>
      <c r="W33" s="19">
        <v>91.747600000000006</v>
      </c>
      <c r="X33">
        <v>98</v>
      </c>
      <c r="Y33">
        <v>94</v>
      </c>
      <c r="Z33">
        <v>92</v>
      </c>
      <c r="AA33">
        <v>3.9</v>
      </c>
      <c r="AB33">
        <v>66.8</v>
      </c>
      <c r="AC33">
        <v>79.782899999999998</v>
      </c>
      <c r="AD33">
        <v>88.581800000000001</v>
      </c>
      <c r="AE33">
        <v>7</v>
      </c>
      <c r="AF33">
        <v>90.721999999999994</v>
      </c>
      <c r="AG33">
        <v>10.8</v>
      </c>
      <c r="AH33">
        <v>0.39</v>
      </c>
      <c r="AI33">
        <v>4.8</v>
      </c>
      <c r="AJ33">
        <v>4.2</v>
      </c>
      <c r="AK33">
        <v>5.3</v>
      </c>
      <c r="AL33">
        <v>61.296100000000003</v>
      </c>
      <c r="AM33">
        <v>2.5</v>
      </c>
      <c r="AN33">
        <v>59911</v>
      </c>
      <c r="AO33">
        <v>0</v>
      </c>
      <c r="AP33">
        <v>100</v>
      </c>
      <c r="AQ33">
        <v>99.485799999999998</v>
      </c>
      <c r="AR33">
        <v>99.631299999999996</v>
      </c>
      <c r="AU33">
        <v>17.263500000000001</v>
      </c>
      <c r="AV33" s="19">
        <v>72.463800000000006</v>
      </c>
      <c r="AW33">
        <v>0.2</v>
      </c>
      <c r="AZ33">
        <v>6</v>
      </c>
      <c r="BA33">
        <v>73.880600000000001</v>
      </c>
      <c r="BB33">
        <v>35.333300000000001</v>
      </c>
      <c r="BC33">
        <v>6.7737999999999996</v>
      </c>
      <c r="BD33" s="19">
        <v>3.677</v>
      </c>
      <c r="BE33" s="19">
        <v>91.262100000000004</v>
      </c>
      <c r="BF33">
        <v>5.4253999999999998</v>
      </c>
      <c r="BG33">
        <v>3.4</v>
      </c>
      <c r="BH33" s="20">
        <v>1.85</v>
      </c>
      <c r="BI33" s="20">
        <v>3431.0837000000001</v>
      </c>
      <c r="BJ33" s="19">
        <v>88.995199999999997</v>
      </c>
      <c r="BK33">
        <v>0.99690000000000001</v>
      </c>
      <c r="BL33">
        <v>1.0798000000000001</v>
      </c>
      <c r="BM33">
        <v>1.1334</v>
      </c>
      <c r="BN33">
        <v>6</v>
      </c>
      <c r="BO33">
        <v>11.164999999999999</v>
      </c>
      <c r="BP33">
        <v>18.739999999999998</v>
      </c>
      <c r="BQ33" s="19">
        <v>103.374</v>
      </c>
      <c r="BR33">
        <v>76.230900000000005</v>
      </c>
      <c r="BS33" s="20">
        <v>7.4589999999999996</v>
      </c>
      <c r="BT33" s="20">
        <v>7.4589999999999996</v>
      </c>
      <c r="BU33" s="20">
        <v>18.841000000000001</v>
      </c>
      <c r="BV33" s="20">
        <v>18.841999999999999</v>
      </c>
      <c r="BW33" s="1">
        <v>93.75</v>
      </c>
      <c r="BX33">
        <v>27.65</v>
      </c>
      <c r="BY33" s="6">
        <v>12112478</v>
      </c>
      <c r="BZ33" s="5">
        <v>29849356</v>
      </c>
      <c r="CA33" s="7">
        <f t="shared" si="0"/>
        <v>2.4643475926230782</v>
      </c>
      <c r="CB33">
        <v>10625700</v>
      </c>
      <c r="CC33" s="8">
        <f t="shared" si="1"/>
        <v>2.8091660784701245</v>
      </c>
      <c r="CD33" s="8">
        <f t="shared" si="2"/>
        <v>1.1399228286136442</v>
      </c>
      <c r="CE33">
        <v>30666</v>
      </c>
      <c r="CF33" s="8">
        <f t="shared" si="3"/>
        <v>394.98069523250507</v>
      </c>
      <c r="CG33" s="8">
        <f t="shared" si="4"/>
        <v>973.36972542881369</v>
      </c>
      <c r="CH33">
        <v>96.883690000000001</v>
      </c>
    </row>
    <row r="34" spans="1:86" ht="15.5" x14ac:dyDescent="0.35">
      <c r="A34" t="s">
        <v>87</v>
      </c>
      <c r="B34">
        <v>2008</v>
      </c>
      <c r="C34" s="2">
        <v>51.417400000000001</v>
      </c>
      <c r="D34">
        <v>142123.4</v>
      </c>
      <c r="E34">
        <v>0.188</v>
      </c>
      <c r="F34">
        <v>10.6799</v>
      </c>
      <c r="G34">
        <v>139000</v>
      </c>
      <c r="H34">
        <v>12</v>
      </c>
      <c r="I34" s="19">
        <v>90.003</v>
      </c>
      <c r="J34" s="19">
        <v>90.19</v>
      </c>
      <c r="K34" s="19">
        <v>4.5810000000000004</v>
      </c>
      <c r="L34" s="19">
        <v>90.776700000000005</v>
      </c>
      <c r="M34" s="19">
        <v>-5203000000</v>
      </c>
      <c r="N34" s="19">
        <v>118.8989</v>
      </c>
      <c r="O34">
        <v>31.899000000000001</v>
      </c>
      <c r="P34">
        <v>27.848600000000001</v>
      </c>
      <c r="Q34" s="19">
        <v>48493.275000000001</v>
      </c>
      <c r="R34" s="19">
        <v>40380.907500000001</v>
      </c>
      <c r="S34" s="19">
        <v>-0.34350000000000003</v>
      </c>
      <c r="T34" s="19">
        <v>56812.794999999998</v>
      </c>
      <c r="U34" s="19">
        <v>37883.331899999997</v>
      </c>
      <c r="V34">
        <v>28.4</v>
      </c>
      <c r="W34" s="19">
        <v>87.864099999999993</v>
      </c>
      <c r="X34">
        <v>99</v>
      </c>
      <c r="Y34">
        <v>98</v>
      </c>
      <c r="Z34">
        <v>93</v>
      </c>
      <c r="AA34">
        <v>3.8</v>
      </c>
      <c r="AB34">
        <v>68.900000000000006</v>
      </c>
      <c r="AC34">
        <v>79.680499999999995</v>
      </c>
      <c r="AD34">
        <v>88.263599999999997</v>
      </c>
      <c r="AE34">
        <v>6</v>
      </c>
      <c r="AF34">
        <v>90.722899999999996</v>
      </c>
      <c r="AG34">
        <v>9.4</v>
      </c>
      <c r="AH34">
        <v>0.47</v>
      </c>
      <c r="AI34">
        <v>4.7</v>
      </c>
      <c r="AJ34">
        <v>4.0999999999999996</v>
      </c>
      <c r="AK34">
        <v>5.2</v>
      </c>
      <c r="AL34">
        <v>61.706899999999997</v>
      </c>
      <c r="AM34">
        <v>2.4</v>
      </c>
      <c r="AN34">
        <v>66470</v>
      </c>
      <c r="AO34">
        <v>0</v>
      </c>
      <c r="AP34">
        <v>100</v>
      </c>
      <c r="AQ34">
        <v>99.485900000000001</v>
      </c>
      <c r="AR34">
        <v>99.631299999999996</v>
      </c>
      <c r="AU34">
        <v>17.2072</v>
      </c>
      <c r="AV34" s="19">
        <v>67.788499999999999</v>
      </c>
      <c r="AW34">
        <v>0.1</v>
      </c>
      <c r="AZ34">
        <v>6</v>
      </c>
      <c r="BA34">
        <v>75.215599999999995</v>
      </c>
      <c r="BB34">
        <v>35.333300000000001</v>
      </c>
      <c r="BC34">
        <v>7.2641</v>
      </c>
      <c r="BD34" s="19">
        <v>0.44700000000000001</v>
      </c>
      <c r="BE34" s="19">
        <v>91.747600000000006</v>
      </c>
      <c r="BF34">
        <v>6.8293999999999997</v>
      </c>
      <c r="BG34">
        <v>4</v>
      </c>
      <c r="BH34" s="20">
        <v>1.9368000000000001</v>
      </c>
      <c r="BI34" s="20">
        <v>3447.8652000000002</v>
      </c>
      <c r="BJ34" s="19">
        <v>89.423100000000005</v>
      </c>
      <c r="BK34">
        <v>0.99770000000000003</v>
      </c>
      <c r="BL34">
        <v>1.0879000000000001</v>
      </c>
      <c r="BM34">
        <v>1.1463000000000001</v>
      </c>
      <c r="BN34">
        <v>6</v>
      </c>
      <c r="BO34">
        <v>10.135</v>
      </c>
      <c r="BP34">
        <v>20.239999999999998</v>
      </c>
      <c r="BQ34" s="19">
        <v>100.1066</v>
      </c>
      <c r="BR34">
        <v>77.520099999999999</v>
      </c>
      <c r="BS34" s="20">
        <v>6.976</v>
      </c>
      <c r="BT34" s="20">
        <v>6.976</v>
      </c>
      <c r="BU34" s="20">
        <v>17.97</v>
      </c>
      <c r="BV34" s="20">
        <v>17.972000000000001</v>
      </c>
      <c r="BW34" s="1">
        <v>92.788499999999999</v>
      </c>
      <c r="BX34">
        <v>25.83</v>
      </c>
      <c r="BY34" s="6">
        <v>12429534</v>
      </c>
      <c r="BZ34" s="5">
        <v>29971839</v>
      </c>
      <c r="CA34" s="7">
        <f t="shared" si="0"/>
        <v>2.4113405216961472</v>
      </c>
      <c r="CB34">
        <v>10709973</v>
      </c>
      <c r="CC34" s="8">
        <f t="shared" si="1"/>
        <v>2.798498091451771</v>
      </c>
      <c r="CD34" s="8">
        <f t="shared" si="2"/>
        <v>1.1605569873985677</v>
      </c>
      <c r="CE34">
        <v>30666</v>
      </c>
      <c r="CF34" s="8">
        <f t="shared" si="3"/>
        <v>405.31970260223051</v>
      </c>
      <c r="CG34" s="8">
        <f t="shared" si="4"/>
        <v>977.36382312658975</v>
      </c>
      <c r="CH34">
        <v>97.85642</v>
      </c>
    </row>
    <row r="35" spans="1:86" ht="15.5" x14ac:dyDescent="0.35">
      <c r="A35" t="s">
        <v>87</v>
      </c>
      <c r="B35">
        <v>2009</v>
      </c>
      <c r="C35" s="2">
        <v>51.494399999999999</v>
      </c>
      <c r="D35">
        <v>131392.79999999999</v>
      </c>
      <c r="E35">
        <v>0.1799</v>
      </c>
      <c r="F35">
        <v>9.9480000000000004</v>
      </c>
      <c r="G35">
        <v>126000</v>
      </c>
      <c r="H35">
        <v>12</v>
      </c>
      <c r="I35" s="19">
        <v>89.998999999999995</v>
      </c>
      <c r="J35" s="19">
        <v>90.49</v>
      </c>
      <c r="K35" s="19">
        <v>3.16</v>
      </c>
      <c r="L35" s="19">
        <v>90.909099999999995</v>
      </c>
      <c r="M35" s="19">
        <v>8000000000</v>
      </c>
      <c r="N35" s="19">
        <v>93.267700000000005</v>
      </c>
      <c r="O35">
        <v>34.57</v>
      </c>
      <c r="P35">
        <v>29.161899999999999</v>
      </c>
      <c r="Q35" s="19">
        <v>45055.745000000003</v>
      </c>
      <c r="R35" s="19">
        <v>39293.637600000002</v>
      </c>
      <c r="S35" s="19">
        <v>-2.6924999999999999</v>
      </c>
      <c r="T35" s="19">
        <v>55283.090900000003</v>
      </c>
      <c r="U35" s="19">
        <v>37885.905899999998</v>
      </c>
      <c r="V35">
        <v>28.6</v>
      </c>
      <c r="W35" s="19">
        <v>92.344499999999996</v>
      </c>
      <c r="X35">
        <v>98</v>
      </c>
      <c r="Y35">
        <v>97</v>
      </c>
      <c r="Z35">
        <v>95</v>
      </c>
      <c r="AA35">
        <v>3.8</v>
      </c>
      <c r="AB35">
        <v>74.5</v>
      </c>
      <c r="AC35">
        <v>80.034099999999995</v>
      </c>
      <c r="AD35">
        <v>87.843599999999995</v>
      </c>
      <c r="AE35">
        <v>6</v>
      </c>
      <c r="AF35">
        <v>90.929699999999997</v>
      </c>
      <c r="AG35">
        <v>9.4</v>
      </c>
      <c r="AH35">
        <v>0.37</v>
      </c>
      <c r="AI35">
        <v>4.5999999999999996</v>
      </c>
      <c r="AJ35">
        <v>4</v>
      </c>
      <c r="AK35">
        <v>5.0999999999999996</v>
      </c>
      <c r="AL35">
        <v>62.131100000000004</v>
      </c>
      <c r="AM35">
        <v>2.4</v>
      </c>
      <c r="AN35">
        <v>97175</v>
      </c>
      <c r="AO35">
        <v>0</v>
      </c>
      <c r="AP35">
        <v>100</v>
      </c>
      <c r="AQ35">
        <v>99.486099999999993</v>
      </c>
      <c r="AR35">
        <v>99.631299999999996</v>
      </c>
      <c r="AU35">
        <v>17.1234</v>
      </c>
      <c r="AV35" s="19">
        <v>75.355500000000006</v>
      </c>
      <c r="AW35">
        <v>0.1</v>
      </c>
      <c r="AZ35">
        <v>6</v>
      </c>
      <c r="BA35">
        <v>76.774100000000004</v>
      </c>
      <c r="BB35">
        <v>38</v>
      </c>
      <c r="BC35">
        <v>7.8705999999999996</v>
      </c>
      <c r="BD35" s="19">
        <v>-1.9059999999999999</v>
      </c>
      <c r="BE35" s="19">
        <v>87.559799999999996</v>
      </c>
      <c r="BF35">
        <v>7.5320999999999998</v>
      </c>
      <c r="BG35">
        <v>4.9000000000000004</v>
      </c>
      <c r="BH35" s="20">
        <v>1.9985999999999999</v>
      </c>
      <c r="BI35" s="20">
        <v>3554.6774999999998</v>
      </c>
      <c r="BJ35" s="19">
        <v>88.625600000000006</v>
      </c>
      <c r="BK35">
        <v>0.99670000000000003</v>
      </c>
      <c r="BL35">
        <v>1.0895999999999999</v>
      </c>
      <c r="BM35">
        <v>1.1505000000000001</v>
      </c>
      <c r="BN35">
        <v>6</v>
      </c>
      <c r="BO35">
        <v>11.081</v>
      </c>
      <c r="BP35">
        <v>20.56</v>
      </c>
      <c r="BQ35" s="19">
        <v>101.6815</v>
      </c>
      <c r="BR35">
        <v>73.249799999999993</v>
      </c>
      <c r="BS35" s="20">
        <v>7.9080000000000004</v>
      </c>
      <c r="BT35" s="20">
        <v>7.9080000000000004</v>
      </c>
      <c r="BU35" s="20">
        <v>21.94</v>
      </c>
      <c r="BV35" s="20">
        <v>21.943999999999999</v>
      </c>
      <c r="BW35" s="1">
        <v>93.364900000000006</v>
      </c>
      <c r="BX35">
        <v>25.01</v>
      </c>
      <c r="BY35" s="6">
        <v>12243246</v>
      </c>
      <c r="BZ35" s="5">
        <v>29250381</v>
      </c>
      <c r="CA35" s="7">
        <f t="shared" si="0"/>
        <v>2.3891034289435988</v>
      </c>
      <c r="CB35">
        <v>10796493</v>
      </c>
      <c r="CC35" s="8">
        <f t="shared" si="1"/>
        <v>2.7092483642605059</v>
      </c>
      <c r="CD35" s="8">
        <f t="shared" si="2"/>
        <v>1.1340021245787868</v>
      </c>
      <c r="CE35">
        <v>30666</v>
      </c>
      <c r="CF35" s="8">
        <f t="shared" si="3"/>
        <v>399.24496184699666</v>
      </c>
      <c r="CG35" s="8">
        <f t="shared" si="4"/>
        <v>953.83750733711599</v>
      </c>
      <c r="CH35">
        <v>98.379819999999995</v>
      </c>
    </row>
    <row r="36" spans="1:86" ht="15.5" x14ac:dyDescent="0.35">
      <c r="A36" t="s">
        <v>87</v>
      </c>
      <c r="B36">
        <v>2010</v>
      </c>
      <c r="C36" s="2">
        <v>51.647399999999998</v>
      </c>
      <c r="D36">
        <v>131365.79999999999</v>
      </c>
      <c r="E36">
        <v>0.18759999999999999</v>
      </c>
      <c r="F36">
        <v>10.5526</v>
      </c>
      <c r="G36">
        <v>133000</v>
      </c>
      <c r="H36">
        <v>12</v>
      </c>
      <c r="I36" s="19">
        <v>92.094999999999999</v>
      </c>
      <c r="J36" s="19">
        <v>93.55</v>
      </c>
      <c r="K36" s="19">
        <v>4.1509999999999998</v>
      </c>
      <c r="L36" s="19">
        <v>90</v>
      </c>
      <c r="M36" s="19">
        <v>7824000000</v>
      </c>
      <c r="N36" s="19">
        <v>102.7343</v>
      </c>
      <c r="O36">
        <v>34.767000000000003</v>
      </c>
      <c r="P36">
        <v>30.842600000000001</v>
      </c>
      <c r="Q36" s="19">
        <v>44460.654999999999</v>
      </c>
      <c r="R36" s="19">
        <v>39991.564599999998</v>
      </c>
      <c r="S36" s="19">
        <v>1.7762</v>
      </c>
      <c r="T36" s="19">
        <v>56265.019899999999</v>
      </c>
      <c r="U36" s="19">
        <v>39844.405400000003</v>
      </c>
      <c r="V36">
        <v>28.4</v>
      </c>
      <c r="W36" s="19">
        <v>93.301400000000001</v>
      </c>
      <c r="X36">
        <v>98</v>
      </c>
      <c r="Y36">
        <v>97</v>
      </c>
      <c r="Z36">
        <v>95</v>
      </c>
      <c r="AA36">
        <v>3.7</v>
      </c>
      <c r="AB36">
        <v>77.599999999999994</v>
      </c>
      <c r="AC36">
        <v>80.182900000000004</v>
      </c>
      <c r="AD36">
        <v>90.888800000000003</v>
      </c>
      <c r="AE36">
        <v>6</v>
      </c>
      <c r="AF36">
        <v>91.518100000000004</v>
      </c>
      <c r="AG36">
        <v>8.1</v>
      </c>
      <c r="AH36">
        <v>0.56999999999999995</v>
      </c>
      <c r="AI36">
        <v>4.5</v>
      </c>
      <c r="AJ36">
        <v>3.9</v>
      </c>
      <c r="AK36">
        <v>5</v>
      </c>
      <c r="AL36">
        <v>61.714199999999998</v>
      </c>
      <c r="AM36">
        <v>2.2999999999999998</v>
      </c>
      <c r="AN36">
        <v>105232</v>
      </c>
      <c r="AO36">
        <v>0</v>
      </c>
      <c r="AP36">
        <v>100</v>
      </c>
      <c r="AQ36">
        <v>99.486099999999993</v>
      </c>
      <c r="AR36">
        <v>99.639700000000005</v>
      </c>
      <c r="AU36">
        <v>16.973700000000001</v>
      </c>
      <c r="AV36" s="19">
        <v>74.407600000000002</v>
      </c>
      <c r="AW36">
        <v>0.1</v>
      </c>
      <c r="AZ36">
        <v>6</v>
      </c>
      <c r="BA36">
        <v>78.362399999999994</v>
      </c>
      <c r="BB36">
        <v>39.333300000000001</v>
      </c>
      <c r="BC36">
        <v>7.7746000000000004</v>
      </c>
      <c r="BD36" s="19">
        <v>2.71</v>
      </c>
      <c r="BE36" s="19">
        <v>85.645899999999997</v>
      </c>
      <c r="BF36">
        <v>8.4443000000000001</v>
      </c>
      <c r="BG36">
        <v>6.2</v>
      </c>
      <c r="BH36" s="20">
        <v>2.0619000000000001</v>
      </c>
      <c r="BI36" s="20">
        <v>3755.6356999999998</v>
      </c>
      <c r="BJ36" s="19">
        <v>90.047399999999996</v>
      </c>
      <c r="BK36">
        <v>0.99770000000000003</v>
      </c>
      <c r="BL36">
        <v>1.0833999999999999</v>
      </c>
      <c r="BM36">
        <v>1.1392</v>
      </c>
      <c r="BN36">
        <v>6</v>
      </c>
      <c r="BO36">
        <v>10.865</v>
      </c>
      <c r="BP36">
        <v>20.53</v>
      </c>
      <c r="BQ36" s="19">
        <v>99.991100000000003</v>
      </c>
      <c r="BR36">
        <v>72.383499999999998</v>
      </c>
      <c r="BS36" s="20">
        <v>8.2929999999999993</v>
      </c>
      <c r="BT36" s="20">
        <v>8.2929999999999993</v>
      </c>
      <c r="BU36" s="20">
        <v>22.390999999999998</v>
      </c>
      <c r="BV36" s="20">
        <v>22.399000000000001</v>
      </c>
      <c r="BW36" s="1">
        <v>94.312799999999996</v>
      </c>
      <c r="BX36">
        <v>24.78</v>
      </c>
      <c r="BY36" s="6">
        <v>12988051</v>
      </c>
      <c r="BZ36" s="5">
        <v>30298026</v>
      </c>
      <c r="CA36" s="7">
        <f t="shared" si="0"/>
        <v>2.3327615513674838</v>
      </c>
      <c r="CB36">
        <v>10895586</v>
      </c>
      <c r="CC36" s="8">
        <f t="shared" si="1"/>
        <v>2.7807614936911147</v>
      </c>
      <c r="CD36" s="8">
        <f t="shared" si="2"/>
        <v>1.1920470362952484</v>
      </c>
      <c r="CE36">
        <v>30666</v>
      </c>
      <c r="CF36" s="8">
        <f t="shared" si="3"/>
        <v>423.53260940455226</v>
      </c>
      <c r="CG36" s="8">
        <f t="shared" si="4"/>
        <v>988.00058696928193</v>
      </c>
      <c r="CH36">
        <v>98.617400000000004</v>
      </c>
    </row>
    <row r="37" spans="1:86" ht="15.5" x14ac:dyDescent="0.35">
      <c r="A37" t="s">
        <v>87</v>
      </c>
      <c r="B37">
        <v>2011</v>
      </c>
      <c r="C37" s="2">
        <v>52.041800000000002</v>
      </c>
      <c r="D37">
        <v>122445.1</v>
      </c>
      <c r="E37">
        <v>0.1673</v>
      </c>
      <c r="F37">
        <v>9.4735999999999994</v>
      </c>
      <c r="G37">
        <v>122000</v>
      </c>
      <c r="H37">
        <v>12</v>
      </c>
      <c r="I37" s="19">
        <v>95.174999999999997</v>
      </c>
      <c r="J37" s="19">
        <v>96.53</v>
      </c>
      <c r="K37" s="19">
        <v>4.6689999999999996</v>
      </c>
      <c r="L37" s="19">
        <v>90.521299999999997</v>
      </c>
      <c r="M37" s="19">
        <v>-10150000000</v>
      </c>
      <c r="N37" s="19">
        <v>119.8644</v>
      </c>
      <c r="O37">
        <v>30.452000000000002</v>
      </c>
      <c r="P37">
        <v>32.103200000000001</v>
      </c>
      <c r="Q37" s="19">
        <v>47915.957999999999</v>
      </c>
      <c r="R37" s="19">
        <v>40236.959600000002</v>
      </c>
      <c r="S37" s="19">
        <v>0.61360000000000003</v>
      </c>
      <c r="T37" s="19">
        <v>56610.2716</v>
      </c>
      <c r="U37" s="19">
        <v>41244.849499999997</v>
      </c>
      <c r="V37">
        <v>28.1</v>
      </c>
      <c r="W37" s="19">
        <v>94.786699999999996</v>
      </c>
      <c r="X37">
        <v>98</v>
      </c>
      <c r="Y37">
        <v>97</v>
      </c>
      <c r="Z37">
        <v>95</v>
      </c>
      <c r="AA37">
        <v>3.6</v>
      </c>
      <c r="AB37">
        <v>81.599999999999994</v>
      </c>
      <c r="AC37">
        <v>80.585400000000007</v>
      </c>
      <c r="AD37">
        <v>91.678799999999995</v>
      </c>
      <c r="AE37">
        <v>6</v>
      </c>
      <c r="AF37">
        <v>91.6357</v>
      </c>
      <c r="AG37">
        <v>8.1999999999999993</v>
      </c>
      <c r="AH37">
        <v>0.45</v>
      </c>
      <c r="AI37">
        <v>4.4000000000000004</v>
      </c>
      <c r="AJ37">
        <v>3.9</v>
      </c>
      <c r="AK37">
        <v>4.9000000000000004</v>
      </c>
      <c r="AL37">
        <v>62.071399999999997</v>
      </c>
      <c r="AM37">
        <v>2.2999999999999998</v>
      </c>
      <c r="AN37">
        <v>52464</v>
      </c>
      <c r="AO37">
        <v>0</v>
      </c>
      <c r="AP37">
        <v>100</v>
      </c>
      <c r="AQ37">
        <v>99.486099999999993</v>
      </c>
      <c r="AR37">
        <v>99.647999999999996</v>
      </c>
      <c r="AU37">
        <v>16.366299999999999</v>
      </c>
      <c r="AV37" s="19">
        <v>78.199100000000001</v>
      </c>
      <c r="AW37">
        <v>0.2</v>
      </c>
      <c r="AZ37">
        <v>6</v>
      </c>
      <c r="BA37">
        <v>79.962400000000002</v>
      </c>
      <c r="BB37">
        <v>38</v>
      </c>
      <c r="BC37">
        <v>7.8907999999999996</v>
      </c>
      <c r="BD37" s="19">
        <v>1.931</v>
      </c>
      <c r="BE37" s="19">
        <v>86.729900000000001</v>
      </c>
      <c r="BF37">
        <v>10.5547</v>
      </c>
      <c r="BG37">
        <v>6.7</v>
      </c>
      <c r="BH37" s="20">
        <v>2.1732999999999998</v>
      </c>
      <c r="BI37" s="20">
        <v>3880.1958</v>
      </c>
      <c r="BJ37" s="19">
        <v>90.140799999999999</v>
      </c>
      <c r="BK37">
        <v>0.998</v>
      </c>
      <c r="BL37">
        <v>1.0819000000000001</v>
      </c>
      <c r="BM37">
        <v>1.137</v>
      </c>
      <c r="BN37">
        <v>6</v>
      </c>
      <c r="BO37">
        <v>11.814</v>
      </c>
      <c r="BP37">
        <v>21.21</v>
      </c>
      <c r="BQ37" s="19">
        <v>98.724699999999999</v>
      </c>
      <c r="BR37">
        <v>76.6922</v>
      </c>
      <c r="BS37" s="20">
        <v>7.14</v>
      </c>
      <c r="BT37" s="20">
        <v>7.14</v>
      </c>
      <c r="BU37" s="20">
        <v>18.724</v>
      </c>
      <c r="BV37" s="20">
        <v>18.733000000000001</v>
      </c>
      <c r="BW37" s="1">
        <v>92.957700000000003</v>
      </c>
      <c r="BX37">
        <v>27.58</v>
      </c>
      <c r="BY37" s="6">
        <v>13618136</v>
      </c>
      <c r="BZ37" s="5">
        <v>31379844</v>
      </c>
      <c r="CA37" s="7">
        <f t="shared" si="0"/>
        <v>2.304268660556775</v>
      </c>
      <c r="CB37">
        <v>11038264</v>
      </c>
      <c r="CC37" s="8">
        <f t="shared" si="1"/>
        <v>2.8428241977180471</v>
      </c>
      <c r="CD37" s="8">
        <f t="shared" si="2"/>
        <v>1.2337208097215286</v>
      </c>
      <c r="CE37">
        <v>30666</v>
      </c>
      <c r="CF37" s="8">
        <f t="shared" si="3"/>
        <v>444.07930607187114</v>
      </c>
      <c r="CG37" s="8">
        <f t="shared" si="4"/>
        <v>1023.2780277832127</v>
      </c>
      <c r="CH37">
        <v>99.222020000000001</v>
      </c>
    </row>
    <row r="38" spans="1:86" ht="15.5" x14ac:dyDescent="0.35">
      <c r="A38" s="9" t="s">
        <v>87</v>
      </c>
      <c r="B38" s="9">
        <v>2012</v>
      </c>
      <c r="C38" s="10">
        <v>52.604500000000002</v>
      </c>
      <c r="D38" s="9">
        <v>121251.9</v>
      </c>
      <c r="E38" s="9">
        <v>0.1646</v>
      </c>
      <c r="F38" s="9">
        <v>9.2812999999999999</v>
      </c>
      <c r="G38" s="9">
        <v>119000</v>
      </c>
      <c r="H38" s="9">
        <v>12</v>
      </c>
      <c r="I38" s="21">
        <v>97.668000000000006</v>
      </c>
      <c r="J38" s="21">
        <v>98.54</v>
      </c>
      <c r="K38" s="21">
        <v>3.8420000000000001</v>
      </c>
      <c r="L38" s="21">
        <v>91.469200000000001</v>
      </c>
      <c r="M38" s="21">
        <v>-404000000</v>
      </c>
      <c r="N38" s="21">
        <v>112.3721</v>
      </c>
      <c r="O38" s="9">
        <v>31.669</v>
      </c>
      <c r="P38" s="9">
        <v>33.238799999999998</v>
      </c>
      <c r="Q38" s="21">
        <v>45028.565999999999</v>
      </c>
      <c r="R38" s="21">
        <v>40074.4928</v>
      </c>
      <c r="S38" s="21">
        <v>-0.40379999999999999</v>
      </c>
      <c r="T38" s="21">
        <v>56381.693399999996</v>
      </c>
      <c r="U38" s="21">
        <v>42483.525099999999</v>
      </c>
      <c r="V38" s="9">
        <v>27.5</v>
      </c>
      <c r="W38" s="21">
        <v>94.786699999999996</v>
      </c>
      <c r="X38" s="9">
        <v>99</v>
      </c>
      <c r="Y38" s="9">
        <v>98</v>
      </c>
      <c r="Z38" s="9">
        <v>96</v>
      </c>
      <c r="AA38" s="9">
        <v>3.5</v>
      </c>
      <c r="AB38" s="9">
        <v>80.7</v>
      </c>
      <c r="AC38" s="9">
        <v>80.385400000000004</v>
      </c>
      <c r="AD38" s="9">
        <v>92.226299999999995</v>
      </c>
      <c r="AE38" s="9">
        <v>5</v>
      </c>
      <c r="AF38" s="9">
        <v>91.616799999999998</v>
      </c>
      <c r="AG38" s="9">
        <v>7.2</v>
      </c>
      <c r="AH38" s="9">
        <v>0.38</v>
      </c>
      <c r="AI38" s="9">
        <v>4.3</v>
      </c>
      <c r="AJ38" s="9">
        <v>3.8</v>
      </c>
      <c r="AK38" s="9">
        <v>4.8</v>
      </c>
      <c r="AL38" s="9">
        <v>62.4863</v>
      </c>
      <c r="AM38" s="9">
        <v>2.2999999999999998</v>
      </c>
      <c r="AN38" s="9">
        <v>45001</v>
      </c>
      <c r="AO38" s="9">
        <v>0</v>
      </c>
      <c r="AP38" s="9">
        <v>100</v>
      </c>
      <c r="AQ38" s="9">
        <v>99.486099999999993</v>
      </c>
      <c r="AR38" s="9">
        <v>99.656300000000002</v>
      </c>
      <c r="AS38" s="9"/>
      <c r="AT38" s="9"/>
      <c r="AU38" s="9">
        <v>15.215</v>
      </c>
      <c r="AV38" s="21">
        <v>76.303299999999993</v>
      </c>
      <c r="AW38" s="9">
        <v>0.2</v>
      </c>
      <c r="AX38" s="9"/>
      <c r="AY38" s="9"/>
      <c r="AZ38" s="9">
        <v>6</v>
      </c>
      <c r="BA38" s="9">
        <v>81.574200000000005</v>
      </c>
      <c r="BB38" s="9">
        <v>38</v>
      </c>
      <c r="BC38" s="9">
        <v>8.0286000000000008</v>
      </c>
      <c r="BD38" s="21">
        <v>0.216</v>
      </c>
      <c r="BE38" s="21">
        <v>86.729900000000001</v>
      </c>
      <c r="BF38" s="9">
        <v>14.2378</v>
      </c>
      <c r="BG38" s="9">
        <v>7.7</v>
      </c>
      <c r="BH38" s="22">
        <v>2.2810999999999999</v>
      </c>
      <c r="BI38" s="22">
        <v>4116.6162000000004</v>
      </c>
      <c r="BJ38" s="21">
        <v>90.140799999999999</v>
      </c>
      <c r="BK38" s="9">
        <v>0.99590000000000001</v>
      </c>
      <c r="BL38" s="9">
        <v>1.0825</v>
      </c>
      <c r="BM38" s="9">
        <v>1.1397999999999999</v>
      </c>
      <c r="BN38" s="9">
        <v>6</v>
      </c>
      <c r="BO38" s="9">
        <v>12.345000000000001</v>
      </c>
      <c r="BP38" s="9">
        <v>20.9</v>
      </c>
      <c r="BQ38" s="21">
        <v>98.179100000000005</v>
      </c>
      <c r="BR38" s="9">
        <v>75.384600000000006</v>
      </c>
      <c r="BS38" s="22">
        <v>7.5419999999999998</v>
      </c>
      <c r="BT38" s="22">
        <v>7.5419999999999998</v>
      </c>
      <c r="BU38" s="22">
        <v>19.738</v>
      </c>
      <c r="BV38" s="22">
        <v>19.75</v>
      </c>
      <c r="BW38" s="11">
        <v>92.957700000000003</v>
      </c>
      <c r="BX38" s="9">
        <v>26.23</v>
      </c>
      <c r="BY38" s="14">
        <v>13872644</v>
      </c>
      <c r="BZ38" s="5">
        <v>31267441</v>
      </c>
      <c r="CA38" s="7">
        <f t="shared" si="0"/>
        <v>2.253891976179883</v>
      </c>
      <c r="CB38">
        <v>11106932</v>
      </c>
      <c r="CC38" s="8">
        <f t="shared" si="1"/>
        <v>2.8151285161374897</v>
      </c>
      <c r="CD38" s="8">
        <f t="shared" si="2"/>
        <v>1.2490077367899615</v>
      </c>
      <c r="CE38">
        <v>30666</v>
      </c>
      <c r="CF38" s="8">
        <f t="shared" si="3"/>
        <v>452.37866040566098</v>
      </c>
      <c r="CG38" s="8">
        <f t="shared" si="4"/>
        <v>1019.6126328833235</v>
      </c>
      <c r="CH38" s="9">
        <v>99.382909999999995</v>
      </c>
    </row>
    <row r="39" spans="1:86" ht="15.5" x14ac:dyDescent="0.35">
      <c r="A39" t="s">
        <v>87</v>
      </c>
      <c r="B39">
        <v>2013</v>
      </c>
      <c r="C39" s="2">
        <v>53.160299999999999</v>
      </c>
      <c r="D39">
        <v>121708</v>
      </c>
      <c r="E39">
        <v>0.16619999999999999</v>
      </c>
      <c r="F39">
        <v>9.3574000000000002</v>
      </c>
      <c r="G39">
        <v>120000</v>
      </c>
      <c r="H39">
        <v>12</v>
      </c>
      <c r="I39" s="19">
        <v>98.891000000000005</v>
      </c>
      <c r="J39" s="19">
        <v>99.69</v>
      </c>
      <c r="K39" s="19">
        <v>3.1909999999999998</v>
      </c>
      <c r="L39" s="19">
        <v>90.9953</v>
      </c>
      <c r="M39" s="19">
        <v>4982000000</v>
      </c>
      <c r="N39" s="19">
        <v>118.0894</v>
      </c>
      <c r="O39">
        <v>30.754000000000001</v>
      </c>
      <c r="P39">
        <v>34.308500000000002</v>
      </c>
      <c r="Q39" s="19">
        <v>47055.739000000001</v>
      </c>
      <c r="R39" s="19">
        <v>40007.899799999999</v>
      </c>
      <c r="S39" s="19">
        <v>-0.16619999999999999</v>
      </c>
      <c r="T39" s="19">
        <v>56288.002200000003</v>
      </c>
      <c r="U39" s="19">
        <v>43864.1204</v>
      </c>
      <c r="V39">
        <v>27.7</v>
      </c>
      <c r="W39" s="19">
        <v>94.786699999999996</v>
      </c>
      <c r="X39">
        <v>99</v>
      </c>
      <c r="Y39">
        <v>98</v>
      </c>
      <c r="Z39">
        <v>96</v>
      </c>
      <c r="AA39">
        <v>3.5</v>
      </c>
      <c r="AB39">
        <v>82.2</v>
      </c>
      <c r="AC39">
        <v>80.587800000000001</v>
      </c>
      <c r="AD39">
        <v>93.491100000000003</v>
      </c>
      <c r="AE39">
        <v>6</v>
      </c>
      <c r="AF39">
        <v>91.392600000000002</v>
      </c>
      <c r="AG39">
        <v>7</v>
      </c>
      <c r="AH39">
        <v>0.36</v>
      </c>
      <c r="AI39">
        <v>4.2</v>
      </c>
      <c r="AJ39">
        <v>3.7</v>
      </c>
      <c r="AK39">
        <v>4.7</v>
      </c>
      <c r="AL39">
        <v>62.848799999999997</v>
      </c>
      <c r="AM39">
        <v>2.2999999999999998</v>
      </c>
      <c r="AN39">
        <v>28066</v>
      </c>
      <c r="AO39">
        <v>0</v>
      </c>
      <c r="AP39">
        <v>100</v>
      </c>
      <c r="AQ39">
        <v>99.486099999999993</v>
      </c>
      <c r="AR39">
        <v>99.664599999999993</v>
      </c>
      <c r="AU39">
        <v>14.3698</v>
      </c>
      <c r="AV39" s="19">
        <v>77.725099999999998</v>
      </c>
      <c r="AW39">
        <v>0.1</v>
      </c>
      <c r="AZ39">
        <v>6</v>
      </c>
      <c r="BA39">
        <v>83.197800000000001</v>
      </c>
      <c r="BB39">
        <v>38</v>
      </c>
      <c r="BC39">
        <v>8.0327999999999999</v>
      </c>
      <c r="BD39" s="19">
        <v>0.30599999999999999</v>
      </c>
      <c r="BE39" s="19">
        <v>87.677700000000002</v>
      </c>
      <c r="BF39">
        <v>15.6358</v>
      </c>
      <c r="BG39">
        <v>8.3000000000000007</v>
      </c>
      <c r="BH39" s="20">
        <v>2.3307000000000002</v>
      </c>
      <c r="BI39" s="20">
        <v>4161.6206000000002</v>
      </c>
      <c r="BJ39" s="19">
        <v>90.140799999999999</v>
      </c>
      <c r="BK39">
        <v>1.0013000000000001</v>
      </c>
      <c r="BL39">
        <v>1.0822000000000001</v>
      </c>
      <c r="BM39">
        <v>1.1359999999999999</v>
      </c>
      <c r="BN39">
        <v>6</v>
      </c>
      <c r="BO39">
        <v>12.68</v>
      </c>
      <c r="BP39">
        <v>19.62</v>
      </c>
      <c r="BQ39" s="19">
        <v>98.426299999999998</v>
      </c>
      <c r="BR39">
        <v>71.2012</v>
      </c>
      <c r="BS39" s="20">
        <v>8.4250000000000007</v>
      </c>
      <c r="BT39" s="20">
        <v>8.4250000000000007</v>
      </c>
      <c r="BU39" s="20">
        <v>23.689</v>
      </c>
      <c r="BV39" s="20">
        <v>23.702000000000002</v>
      </c>
      <c r="BW39" s="1">
        <v>92.957700000000003</v>
      </c>
      <c r="BX39">
        <v>23.56</v>
      </c>
      <c r="BY39" s="6">
        <v>14152360</v>
      </c>
      <c r="BZ39" s="5">
        <v>31448180</v>
      </c>
      <c r="CA39" s="7">
        <f t="shared" si="0"/>
        <v>2.2221156047471942</v>
      </c>
      <c r="CB39">
        <v>11159407</v>
      </c>
      <c r="CC39" s="8">
        <f t="shared" si="1"/>
        <v>2.8180870184231117</v>
      </c>
      <c r="CD39" s="8">
        <f t="shared" si="2"/>
        <v>1.2682000038174071</v>
      </c>
      <c r="CE39">
        <v>30666</v>
      </c>
      <c r="CF39" s="8">
        <f t="shared" si="3"/>
        <v>461.50003260940457</v>
      </c>
      <c r="CG39" s="8">
        <f t="shared" si="4"/>
        <v>1025.5064240526967</v>
      </c>
      <c r="CH39">
        <v>99.257249999999999</v>
      </c>
    </row>
    <row r="40" spans="1:86" ht="15.5" x14ac:dyDescent="0.35">
      <c r="A40" t="s">
        <v>87</v>
      </c>
      <c r="B40">
        <v>2014</v>
      </c>
      <c r="C40" s="2">
        <v>53.752699999999997</v>
      </c>
      <c r="D40">
        <v>116080.2</v>
      </c>
      <c r="E40">
        <v>0.15290000000000001</v>
      </c>
      <c r="F40">
        <v>8.7184000000000008</v>
      </c>
      <c r="G40">
        <v>114000</v>
      </c>
      <c r="H40">
        <v>12</v>
      </c>
      <c r="I40" s="19">
        <v>99.381</v>
      </c>
      <c r="J40" s="19">
        <v>99.3</v>
      </c>
      <c r="K40" s="19">
        <v>2.8130000000000002</v>
      </c>
      <c r="L40" s="19">
        <v>91.346199999999996</v>
      </c>
      <c r="M40" s="19">
        <v>4133000000</v>
      </c>
      <c r="N40" s="19">
        <v>118.9875</v>
      </c>
      <c r="O40">
        <v>31.295999999999999</v>
      </c>
      <c r="P40">
        <v>35.781999999999996</v>
      </c>
      <c r="Q40" s="19">
        <v>48129.389000000003</v>
      </c>
      <c r="R40" s="19">
        <v>40533.913500000002</v>
      </c>
      <c r="S40" s="19">
        <v>1.3148</v>
      </c>
      <c r="T40" s="19">
        <v>57028.062599999997</v>
      </c>
      <c r="U40" s="19">
        <v>45147.642999999996</v>
      </c>
      <c r="V40">
        <v>28.1</v>
      </c>
      <c r="W40" s="19">
        <v>90.865399999999994</v>
      </c>
      <c r="X40">
        <v>99</v>
      </c>
      <c r="Y40">
        <v>98</v>
      </c>
      <c r="Z40">
        <v>96</v>
      </c>
      <c r="AA40">
        <v>3.4</v>
      </c>
      <c r="AB40">
        <v>85</v>
      </c>
      <c r="AC40">
        <v>81.287800000000004</v>
      </c>
      <c r="AD40">
        <v>92.415599999999998</v>
      </c>
      <c r="AE40">
        <v>5</v>
      </c>
      <c r="AF40">
        <v>91.537800000000004</v>
      </c>
      <c r="AG40">
        <v>6.7</v>
      </c>
      <c r="AH40">
        <v>0.36</v>
      </c>
      <c r="AI40">
        <v>4.2</v>
      </c>
      <c r="AJ40">
        <v>3.7</v>
      </c>
      <c r="AK40">
        <v>4.5999999999999996</v>
      </c>
      <c r="AL40">
        <v>63.612900000000003</v>
      </c>
      <c r="AM40">
        <v>2.2999999999999998</v>
      </c>
      <c r="AN40">
        <v>37472</v>
      </c>
      <c r="AO40">
        <v>0</v>
      </c>
      <c r="AP40">
        <v>100</v>
      </c>
      <c r="AQ40">
        <v>99.486199999999997</v>
      </c>
      <c r="AR40">
        <v>99.672899999999998</v>
      </c>
      <c r="AU40">
        <v>12.900399999999999</v>
      </c>
      <c r="AV40" s="19">
        <v>69.523799999999994</v>
      </c>
      <c r="AW40">
        <v>0.1</v>
      </c>
      <c r="AZ40">
        <v>6</v>
      </c>
      <c r="BA40">
        <v>84.832999999999998</v>
      </c>
      <c r="BB40">
        <v>39.333300000000001</v>
      </c>
      <c r="BC40">
        <v>8.0737000000000005</v>
      </c>
      <c r="BD40" s="19">
        <v>1.766</v>
      </c>
      <c r="BE40" s="19">
        <v>84.134600000000006</v>
      </c>
      <c r="BF40">
        <v>18.4604</v>
      </c>
      <c r="BG40">
        <v>9.1</v>
      </c>
      <c r="BH40" s="20">
        <v>2.37</v>
      </c>
      <c r="BI40" s="20">
        <v>4544.8666999999996</v>
      </c>
      <c r="BJ40" s="19">
        <v>88.942300000000003</v>
      </c>
      <c r="BK40">
        <v>0.99970000000000003</v>
      </c>
      <c r="BL40">
        <v>1.0798000000000001</v>
      </c>
      <c r="BM40">
        <v>1.1339999999999999</v>
      </c>
      <c r="BN40">
        <v>6</v>
      </c>
      <c r="BO40">
        <v>12.045</v>
      </c>
      <c r="BP40">
        <v>19.420000000000002</v>
      </c>
      <c r="BQ40" s="19">
        <v>98.852999999999994</v>
      </c>
      <c r="BR40">
        <v>71.444000000000003</v>
      </c>
      <c r="BS40" s="20">
        <v>8.5229999999999997</v>
      </c>
      <c r="BT40" s="20">
        <v>8.5229999999999997</v>
      </c>
      <c r="BU40" s="20">
        <v>23.225000000000001</v>
      </c>
      <c r="BV40" s="20">
        <v>23.23</v>
      </c>
      <c r="BW40" s="1">
        <v>94.088700000000003</v>
      </c>
      <c r="BX40">
        <v>24.22</v>
      </c>
      <c r="BY40" s="6">
        <v>14641070</v>
      </c>
      <c r="BZ40" s="5">
        <v>32605681</v>
      </c>
      <c r="CA40" s="7">
        <f t="shared" si="0"/>
        <v>2.2270012369314536</v>
      </c>
      <c r="CB40">
        <v>11209057</v>
      </c>
      <c r="CC40" s="8">
        <f t="shared" si="1"/>
        <v>2.9088692295881802</v>
      </c>
      <c r="CD40" s="8">
        <f t="shared" si="2"/>
        <v>1.306182134679126</v>
      </c>
      <c r="CE40">
        <v>30666</v>
      </c>
      <c r="CF40" s="8">
        <f t="shared" si="3"/>
        <v>477.43657470814583</v>
      </c>
      <c r="CG40" s="8">
        <f t="shared" si="4"/>
        <v>1063.2518424313571</v>
      </c>
      <c r="CH40">
        <v>99.540379999999999</v>
      </c>
    </row>
    <row r="41" spans="1:86" ht="15.5" x14ac:dyDescent="0.35">
      <c r="A41" t="s">
        <v>87</v>
      </c>
      <c r="B41">
        <v>2015</v>
      </c>
      <c r="C41" s="2">
        <v>54.218600000000002</v>
      </c>
      <c r="D41">
        <v>119304.6</v>
      </c>
      <c r="E41">
        <v>0.1578</v>
      </c>
      <c r="F41">
        <v>9.0808</v>
      </c>
      <c r="G41">
        <v>118000</v>
      </c>
      <c r="H41">
        <v>12</v>
      </c>
      <c r="I41" s="19">
        <v>100</v>
      </c>
      <c r="J41" s="19">
        <v>100.74</v>
      </c>
      <c r="K41" s="19">
        <v>2.79</v>
      </c>
      <c r="L41" s="19">
        <v>90.952399999999997</v>
      </c>
      <c r="M41" s="19">
        <v>6395000000</v>
      </c>
      <c r="N41" s="19">
        <v>100</v>
      </c>
      <c r="O41">
        <v>31.038</v>
      </c>
      <c r="P41">
        <v>36.549199999999999</v>
      </c>
      <c r="Q41" s="19">
        <v>41032.322</v>
      </c>
      <c r="R41" s="19">
        <v>40893.804499999998</v>
      </c>
      <c r="S41" s="19">
        <v>0.88790000000000002</v>
      </c>
      <c r="T41" s="19">
        <v>57534.401299999998</v>
      </c>
      <c r="U41" s="19">
        <v>46084.2425</v>
      </c>
      <c r="V41">
        <v>27.7</v>
      </c>
      <c r="W41" s="19">
        <v>91.428600000000003</v>
      </c>
      <c r="X41">
        <v>99</v>
      </c>
      <c r="Y41">
        <v>98</v>
      </c>
      <c r="Z41">
        <v>96</v>
      </c>
      <c r="AA41">
        <v>3.4</v>
      </c>
      <c r="AB41">
        <v>85.1</v>
      </c>
      <c r="AC41">
        <v>80.992699999999999</v>
      </c>
      <c r="AD41">
        <v>95.104100000000003</v>
      </c>
      <c r="AE41">
        <v>5</v>
      </c>
      <c r="AF41">
        <v>92.503100000000003</v>
      </c>
      <c r="AG41">
        <v>6.7</v>
      </c>
      <c r="AH41">
        <v>0.41</v>
      </c>
      <c r="AI41">
        <v>4.0999999999999996</v>
      </c>
      <c r="AJ41">
        <v>3.6</v>
      </c>
      <c r="AK41">
        <v>4.5999999999999996</v>
      </c>
      <c r="AL41">
        <v>63.562600000000003</v>
      </c>
      <c r="AM41">
        <v>2.2999999999999998</v>
      </c>
      <c r="AN41">
        <v>63536</v>
      </c>
      <c r="AO41">
        <v>0</v>
      </c>
      <c r="AP41">
        <v>100</v>
      </c>
      <c r="AQ41">
        <v>99.486199999999997</v>
      </c>
      <c r="AR41">
        <v>99.681200000000004</v>
      </c>
      <c r="AU41">
        <v>13.339</v>
      </c>
      <c r="AV41" s="19">
        <v>64.285700000000006</v>
      </c>
      <c r="AW41">
        <v>0.1</v>
      </c>
      <c r="AZ41">
        <v>6</v>
      </c>
      <c r="BA41">
        <v>86.480099999999993</v>
      </c>
      <c r="BB41">
        <v>39.333300000000001</v>
      </c>
      <c r="BC41">
        <v>8.2451000000000008</v>
      </c>
      <c r="BD41" s="19">
        <v>1.474</v>
      </c>
      <c r="BE41" s="19">
        <v>88.571399999999997</v>
      </c>
      <c r="BF41">
        <v>22.321300000000001</v>
      </c>
      <c r="BG41">
        <v>9.4</v>
      </c>
      <c r="BH41" s="20">
        <v>2.4281999999999999</v>
      </c>
      <c r="BI41" s="20">
        <v>4731.8158999999996</v>
      </c>
      <c r="BJ41" s="19">
        <v>88.095200000000006</v>
      </c>
      <c r="BK41">
        <v>0.99829999999999997</v>
      </c>
      <c r="BL41">
        <v>1.0805</v>
      </c>
      <c r="BM41">
        <v>1.1369</v>
      </c>
      <c r="BN41">
        <v>6</v>
      </c>
      <c r="BO41">
        <v>12.182</v>
      </c>
      <c r="BP41">
        <v>18.61</v>
      </c>
      <c r="BQ41" s="19">
        <v>100</v>
      </c>
      <c r="BR41">
        <v>72.344999999999999</v>
      </c>
      <c r="BS41" s="20">
        <v>8.4819999999999993</v>
      </c>
      <c r="BT41" s="20">
        <v>8.4819999999999993</v>
      </c>
      <c r="BU41" s="20">
        <v>22.125</v>
      </c>
      <c r="BV41" s="20">
        <v>22.132000000000001</v>
      </c>
      <c r="BW41" s="1">
        <v>94.581299999999999</v>
      </c>
      <c r="BX41">
        <v>24.9</v>
      </c>
      <c r="BY41" s="6">
        <v>15846926</v>
      </c>
      <c r="BZ41" s="5">
        <v>38380415</v>
      </c>
      <c r="CA41" s="7">
        <f t="shared" si="0"/>
        <v>2.4219470072618501</v>
      </c>
      <c r="CB41">
        <v>11274196</v>
      </c>
      <c r="CC41" s="8">
        <f t="shared" si="1"/>
        <v>3.4042706903445707</v>
      </c>
      <c r="CD41" s="8">
        <f t="shared" si="2"/>
        <v>1.4055925584405309</v>
      </c>
      <c r="CE41">
        <v>30666</v>
      </c>
      <c r="CF41" s="8">
        <f t="shared" si="3"/>
        <v>516.7588208439314</v>
      </c>
      <c r="CG41" s="8">
        <f t="shared" si="4"/>
        <v>1251.5624796191221</v>
      </c>
      <c r="CH41">
        <v>100</v>
      </c>
    </row>
    <row r="42" spans="1:86" ht="15.5" x14ac:dyDescent="0.35">
      <c r="A42" t="s">
        <v>87</v>
      </c>
      <c r="B42">
        <v>2016</v>
      </c>
      <c r="C42" s="2">
        <v>54.653300000000002</v>
      </c>
      <c r="D42">
        <v>135457</v>
      </c>
      <c r="E42">
        <v>0.15429999999999999</v>
      </c>
      <c r="F42">
        <v>8.9362999999999992</v>
      </c>
      <c r="G42">
        <v>118000</v>
      </c>
      <c r="H42">
        <v>12</v>
      </c>
      <c r="I42" s="19">
        <v>101.77200000000001</v>
      </c>
      <c r="J42" s="19">
        <v>102.96</v>
      </c>
      <c r="K42" s="19">
        <v>2.9319999999999999</v>
      </c>
      <c r="L42" s="19">
        <v>91.904799999999994</v>
      </c>
      <c r="M42" s="19">
        <v>2625000000</v>
      </c>
      <c r="N42" s="19">
        <v>100.32559999999999</v>
      </c>
      <c r="O42">
        <v>31.983000000000001</v>
      </c>
      <c r="P42">
        <v>37.6813</v>
      </c>
      <c r="Q42" s="19">
        <v>41918.103999999999</v>
      </c>
      <c r="R42" s="19">
        <v>41172.886200000001</v>
      </c>
      <c r="S42" s="19">
        <v>0.6825</v>
      </c>
      <c r="T42" s="19">
        <v>57927.047599999998</v>
      </c>
      <c r="U42" s="19">
        <v>48414.551800000001</v>
      </c>
      <c r="V42">
        <v>27.6</v>
      </c>
      <c r="W42" s="19">
        <v>89.523799999999994</v>
      </c>
      <c r="X42">
        <v>98</v>
      </c>
      <c r="Y42">
        <v>97</v>
      </c>
      <c r="Z42">
        <v>96</v>
      </c>
      <c r="AA42">
        <v>3.4</v>
      </c>
      <c r="AB42">
        <v>86.5</v>
      </c>
      <c r="AC42">
        <v>81.438999999999993</v>
      </c>
      <c r="AD42">
        <v>95.740899999999996</v>
      </c>
      <c r="AE42">
        <v>5</v>
      </c>
      <c r="AF42">
        <v>93.551199999999994</v>
      </c>
      <c r="AG42">
        <v>5.8</v>
      </c>
      <c r="AH42">
        <v>0.3</v>
      </c>
      <c r="AI42">
        <v>4.0999999999999996</v>
      </c>
      <c r="AJ42">
        <v>3.6</v>
      </c>
      <c r="AK42">
        <v>4.5</v>
      </c>
      <c r="AL42">
        <v>63.245600000000003</v>
      </c>
      <c r="AM42">
        <v>2.2999999999999998</v>
      </c>
      <c r="AN42">
        <v>28090</v>
      </c>
      <c r="AO42">
        <v>0</v>
      </c>
      <c r="AP42">
        <v>100</v>
      </c>
      <c r="AQ42">
        <v>99.486199999999997</v>
      </c>
      <c r="AR42">
        <v>99.689599999999999</v>
      </c>
      <c r="AU42">
        <v>12.3939</v>
      </c>
      <c r="AV42" s="19">
        <v>61.428600000000003</v>
      </c>
      <c r="AW42">
        <v>0.1</v>
      </c>
      <c r="AZ42">
        <v>6</v>
      </c>
      <c r="BA42">
        <v>88.138900000000007</v>
      </c>
      <c r="BB42">
        <v>39.333300000000001</v>
      </c>
      <c r="BC42">
        <v>8.2849000000000004</v>
      </c>
      <c r="BD42" s="19">
        <v>1.1930000000000001</v>
      </c>
      <c r="BE42" s="19">
        <v>88.571399999999997</v>
      </c>
      <c r="BF42">
        <v>17.964500000000001</v>
      </c>
      <c r="BG42">
        <v>9.1999999999999993</v>
      </c>
      <c r="BH42" s="20">
        <v>2.5234000000000001</v>
      </c>
      <c r="BI42" s="20">
        <v>4798.3266999999996</v>
      </c>
      <c r="BJ42" s="19">
        <v>88.571399999999997</v>
      </c>
      <c r="BK42">
        <v>0.99890000000000001</v>
      </c>
      <c r="BL42">
        <v>1.0697000000000001</v>
      </c>
      <c r="BM42">
        <v>1.1198999999999999</v>
      </c>
      <c r="BN42">
        <v>6</v>
      </c>
      <c r="BO42">
        <v>9.8859999999999992</v>
      </c>
      <c r="BP42">
        <v>19.22</v>
      </c>
      <c r="BQ42" s="19">
        <v>101.66970000000001</v>
      </c>
      <c r="BR42">
        <v>74.742599999999996</v>
      </c>
      <c r="BS42" s="20">
        <v>7.83</v>
      </c>
      <c r="BT42" s="20">
        <v>7.83</v>
      </c>
      <c r="BU42" s="20">
        <v>20.108000000000001</v>
      </c>
      <c r="BV42" s="20">
        <v>20.123000000000001</v>
      </c>
      <c r="BW42" s="1">
        <v>95.566500000000005</v>
      </c>
      <c r="BX42">
        <v>24.93</v>
      </c>
      <c r="BY42" s="6">
        <v>15210781</v>
      </c>
      <c r="BZ42" s="5">
        <v>36855214</v>
      </c>
      <c r="CA42" s="7">
        <f t="shared" si="0"/>
        <v>2.422966578770676</v>
      </c>
      <c r="CB42">
        <v>11331422</v>
      </c>
      <c r="CC42" s="8">
        <f t="shared" si="1"/>
        <v>3.2524791681044092</v>
      </c>
      <c r="CD42" s="8">
        <f t="shared" si="2"/>
        <v>1.3423541193682487</v>
      </c>
      <c r="CE42">
        <v>30666</v>
      </c>
      <c r="CF42" s="8">
        <f t="shared" si="3"/>
        <v>496.01451118502575</v>
      </c>
      <c r="CG42" s="8">
        <f t="shared" si="4"/>
        <v>1201.8265831865911</v>
      </c>
      <c r="CH42">
        <v>101.72203</v>
      </c>
    </row>
    <row r="43" spans="1:86" ht="15.5" x14ac:dyDescent="0.35">
      <c r="A43" t="s">
        <v>87</v>
      </c>
      <c r="B43">
        <v>2017</v>
      </c>
      <c r="C43" s="2">
        <v>55.1768</v>
      </c>
      <c r="D43">
        <v>140549.29999999999</v>
      </c>
      <c r="E43">
        <v>0.1497</v>
      </c>
      <c r="F43">
        <v>8.7646999999999995</v>
      </c>
      <c r="G43">
        <v>118000</v>
      </c>
      <c r="H43">
        <v>12</v>
      </c>
      <c r="I43" s="19">
        <v>104.036</v>
      </c>
      <c r="J43" s="19">
        <v>105.08</v>
      </c>
      <c r="K43" s="19">
        <v>3.3260000000000001</v>
      </c>
      <c r="L43" s="19">
        <v>89.523799999999994</v>
      </c>
      <c r="M43" s="19">
        <v>3510000000</v>
      </c>
      <c r="N43" s="19">
        <v>108.26609999999999</v>
      </c>
      <c r="O43">
        <v>32.936</v>
      </c>
      <c r="P43">
        <v>38.491100000000003</v>
      </c>
      <c r="Q43" s="19">
        <v>44110.724999999999</v>
      </c>
      <c r="R43" s="19">
        <v>41619.328600000001</v>
      </c>
      <c r="S43" s="19">
        <v>1.0843</v>
      </c>
      <c r="T43" s="19">
        <v>58555.157200000001</v>
      </c>
      <c r="U43" s="19">
        <v>50256.063199999997</v>
      </c>
      <c r="V43">
        <v>27.4</v>
      </c>
      <c r="W43" s="19">
        <v>85.714299999999994</v>
      </c>
      <c r="X43">
        <v>98</v>
      </c>
      <c r="Y43">
        <v>97</v>
      </c>
      <c r="Z43">
        <v>96</v>
      </c>
      <c r="AA43">
        <v>3.4</v>
      </c>
      <c r="AB43">
        <v>87.7</v>
      </c>
      <c r="AC43">
        <v>81.492699999999999</v>
      </c>
      <c r="AD43">
        <v>94.745199999999997</v>
      </c>
      <c r="AE43">
        <v>5</v>
      </c>
      <c r="AF43">
        <v>93.559899999999999</v>
      </c>
      <c r="AG43">
        <v>5.5</v>
      </c>
      <c r="AH43">
        <v>0.39</v>
      </c>
      <c r="AI43">
        <v>4</v>
      </c>
      <c r="AJ43">
        <v>3.6</v>
      </c>
      <c r="AK43">
        <v>4.5</v>
      </c>
      <c r="AL43">
        <v>62.899299999999997</v>
      </c>
      <c r="AM43">
        <v>2.2999999999999998</v>
      </c>
      <c r="AN43">
        <v>37981</v>
      </c>
      <c r="AO43">
        <v>0</v>
      </c>
      <c r="AP43">
        <v>100</v>
      </c>
      <c r="AQ43">
        <v>99.486199999999997</v>
      </c>
      <c r="AR43">
        <v>99.697900000000004</v>
      </c>
      <c r="AU43">
        <v>12.7692</v>
      </c>
      <c r="AV43" s="19">
        <v>62.381</v>
      </c>
      <c r="AW43">
        <v>0.1</v>
      </c>
      <c r="AZ43">
        <v>6</v>
      </c>
      <c r="BA43">
        <v>89.809399999999997</v>
      </c>
      <c r="BB43">
        <v>38</v>
      </c>
      <c r="BC43">
        <v>8.2870000000000008</v>
      </c>
      <c r="BD43" s="19">
        <v>1.4750000000000001</v>
      </c>
      <c r="BE43" s="19">
        <v>86.666700000000006</v>
      </c>
      <c r="BF43">
        <v>19.554400000000001</v>
      </c>
      <c r="BG43">
        <v>9.6999999999999993</v>
      </c>
      <c r="BH43" s="20">
        <v>2.6667000000000001</v>
      </c>
      <c r="BI43" s="20">
        <v>4757.3081000000002</v>
      </c>
      <c r="BJ43" s="19">
        <v>87.619</v>
      </c>
      <c r="BK43">
        <v>1.0009999999999999</v>
      </c>
      <c r="BL43">
        <v>1.0702</v>
      </c>
      <c r="BM43">
        <v>1.1207</v>
      </c>
      <c r="BN43">
        <v>6</v>
      </c>
      <c r="BO43">
        <v>9.8550000000000004</v>
      </c>
      <c r="BP43">
        <v>18.399999999999999</v>
      </c>
      <c r="BQ43" s="19">
        <v>100.0736</v>
      </c>
      <c r="BR43">
        <v>76.382499999999993</v>
      </c>
      <c r="BS43" s="20">
        <v>7.09</v>
      </c>
      <c r="BT43" s="20">
        <v>7.09</v>
      </c>
      <c r="BU43" s="20">
        <v>19.236000000000001</v>
      </c>
      <c r="BV43" s="20">
        <v>19.248000000000001</v>
      </c>
      <c r="BW43" s="1">
        <v>93.103399999999993</v>
      </c>
      <c r="BX43">
        <v>23.31</v>
      </c>
      <c r="BY43" s="6">
        <v>16319257</v>
      </c>
      <c r="BZ43" s="5">
        <v>38677308</v>
      </c>
      <c r="CA43" s="7">
        <f t="shared" si="0"/>
        <v>2.3700409889984573</v>
      </c>
      <c r="CB43">
        <v>11375158</v>
      </c>
      <c r="CC43" s="8">
        <f t="shared" si="1"/>
        <v>3.4001556725629656</v>
      </c>
      <c r="CD43" s="8">
        <f t="shared" si="2"/>
        <v>1.4346400287363041</v>
      </c>
      <c r="CE43">
        <v>30666</v>
      </c>
      <c r="CF43" s="8">
        <f t="shared" si="3"/>
        <v>532.16125350551101</v>
      </c>
      <c r="CG43" s="8">
        <f t="shared" si="4"/>
        <v>1261.2439835648602</v>
      </c>
      <c r="CH43">
        <v>102.36606999999999</v>
      </c>
    </row>
    <row r="44" spans="1:86" ht="15.5" x14ac:dyDescent="0.35">
      <c r="A44" t="s">
        <v>87</v>
      </c>
      <c r="B44">
        <v>2018</v>
      </c>
      <c r="C44" s="2">
        <v>55.654699999999998</v>
      </c>
      <c r="D44">
        <v>124613.1</v>
      </c>
      <c r="E44">
        <v>0.14749999999999999</v>
      </c>
      <c r="F44">
        <v>8.7597000000000005</v>
      </c>
      <c r="G44">
        <v>118000</v>
      </c>
      <c r="H44">
        <v>12</v>
      </c>
      <c r="I44" s="19">
        <v>106.437</v>
      </c>
      <c r="J44" s="19">
        <v>107.39</v>
      </c>
      <c r="K44" s="19">
        <v>3.5790000000000002</v>
      </c>
      <c r="L44" s="19">
        <v>89.523799999999994</v>
      </c>
      <c r="M44" s="19">
        <v>-4968000000</v>
      </c>
      <c r="N44" s="19">
        <v>117.985</v>
      </c>
      <c r="O44">
        <v>32.869999999999997</v>
      </c>
      <c r="P44">
        <v>39.400700000000001</v>
      </c>
      <c r="Q44" s="19">
        <v>47627.406000000003</v>
      </c>
      <c r="R44" s="19">
        <v>42208.3626</v>
      </c>
      <c r="S44" s="19">
        <v>1.4153</v>
      </c>
      <c r="T44" s="19">
        <v>59383.8822</v>
      </c>
      <c r="U44" s="19">
        <v>52466.733099999998</v>
      </c>
      <c r="V44">
        <v>27.2</v>
      </c>
      <c r="W44" s="19">
        <v>86.1905</v>
      </c>
      <c r="X44">
        <v>98</v>
      </c>
      <c r="Y44">
        <v>97</v>
      </c>
      <c r="Z44">
        <v>96</v>
      </c>
      <c r="AA44">
        <v>3.3</v>
      </c>
      <c r="AB44">
        <v>88.6</v>
      </c>
      <c r="AC44">
        <v>81.595100000000002</v>
      </c>
      <c r="AD44">
        <v>92.881399999999999</v>
      </c>
      <c r="AE44">
        <v>5</v>
      </c>
      <c r="AF44">
        <v>93.627200000000002</v>
      </c>
      <c r="AG44">
        <v>5.4</v>
      </c>
      <c r="AH44">
        <v>0.43</v>
      </c>
      <c r="AI44">
        <v>4</v>
      </c>
      <c r="AJ44">
        <v>3.5</v>
      </c>
      <c r="AK44">
        <v>4.4000000000000004</v>
      </c>
      <c r="AL44">
        <v>62.388300000000001</v>
      </c>
      <c r="AM44">
        <v>2.2999999999999998</v>
      </c>
      <c r="AN44">
        <v>50604</v>
      </c>
      <c r="AO44">
        <v>0</v>
      </c>
      <c r="AP44">
        <v>100</v>
      </c>
      <c r="AQ44">
        <v>99.486199999999997</v>
      </c>
      <c r="AR44">
        <v>99.706199999999995</v>
      </c>
      <c r="AU44">
        <v>12.492599999999999</v>
      </c>
      <c r="AV44" s="19">
        <v>59.433999999999997</v>
      </c>
      <c r="AW44">
        <v>0.1</v>
      </c>
      <c r="AX44">
        <v>14.8</v>
      </c>
      <c r="AY44">
        <v>6</v>
      </c>
      <c r="AZ44">
        <v>6</v>
      </c>
      <c r="BA44">
        <v>91.491699999999994</v>
      </c>
      <c r="BB44">
        <v>38</v>
      </c>
      <c r="BC44">
        <v>8.3185000000000002</v>
      </c>
      <c r="BD44" s="19">
        <v>1.8779999999999999</v>
      </c>
      <c r="BE44" s="19">
        <v>86.666700000000006</v>
      </c>
      <c r="BF44">
        <v>24.259399999999999</v>
      </c>
      <c r="BG44">
        <v>10.7</v>
      </c>
      <c r="BH44" s="20">
        <v>2.8601999999999999</v>
      </c>
      <c r="BI44" s="20">
        <v>5040.0005000000001</v>
      </c>
      <c r="BJ44" s="19">
        <v>87.619</v>
      </c>
      <c r="BK44">
        <v>1.0047999999999999</v>
      </c>
      <c r="BL44">
        <v>1.0733999999999999</v>
      </c>
      <c r="BM44">
        <v>1.1236999999999999</v>
      </c>
      <c r="BN44">
        <v>6</v>
      </c>
      <c r="BO44">
        <v>9.8010000000000002</v>
      </c>
      <c r="BP44">
        <v>18.579999999999998</v>
      </c>
      <c r="BQ44" s="19">
        <v>98.6541</v>
      </c>
      <c r="BR44">
        <v>80.540499999999994</v>
      </c>
      <c r="BS44" s="20">
        <v>5.9409999999999998</v>
      </c>
      <c r="BT44" s="20">
        <v>5.9409999999999998</v>
      </c>
      <c r="BU44" s="20">
        <v>15.747999999999999</v>
      </c>
      <c r="BV44" s="20">
        <v>15.752000000000001</v>
      </c>
      <c r="BW44" s="1">
        <v>92.718400000000003</v>
      </c>
      <c r="BX44">
        <v>26.58</v>
      </c>
      <c r="BY44" s="6">
        <v>17559915</v>
      </c>
      <c r="BZ44" s="5">
        <v>41320284</v>
      </c>
      <c r="CA44" s="7">
        <f t="shared" si="0"/>
        <v>2.3531027342672215</v>
      </c>
      <c r="CB44">
        <v>11427054</v>
      </c>
      <c r="CC44" s="8">
        <f t="shared" si="1"/>
        <v>3.6160049650592359</v>
      </c>
      <c r="CD44" s="8">
        <f t="shared" si="2"/>
        <v>1.5366965973907185</v>
      </c>
      <c r="CE44">
        <v>30666</v>
      </c>
      <c r="CF44" s="8">
        <f t="shared" si="3"/>
        <v>572.61837213852471</v>
      </c>
      <c r="CG44" s="8">
        <f t="shared" si="4"/>
        <v>1347.429857170808</v>
      </c>
      <c r="CH44">
        <v>103.09782</v>
      </c>
    </row>
    <row r="45" spans="1:86" ht="15.5" x14ac:dyDescent="0.35">
      <c r="A45" t="s">
        <v>87</v>
      </c>
      <c r="B45">
        <v>2019</v>
      </c>
      <c r="C45" s="2">
        <v>56.0563</v>
      </c>
      <c r="D45">
        <v>122997.9</v>
      </c>
      <c r="E45">
        <v>0.14369999999999999</v>
      </c>
      <c r="F45">
        <v>8.6937999999999995</v>
      </c>
      <c r="G45">
        <v>118000</v>
      </c>
      <c r="H45">
        <v>12</v>
      </c>
      <c r="I45" s="19">
        <v>107.768</v>
      </c>
      <c r="J45" s="19">
        <v>108.38</v>
      </c>
      <c r="K45" s="19">
        <v>3.831</v>
      </c>
      <c r="L45" s="19">
        <v>89.523799999999994</v>
      </c>
      <c r="M45" s="19">
        <v>664000000</v>
      </c>
      <c r="N45" s="19">
        <v>112.6019</v>
      </c>
      <c r="O45">
        <v>35.067</v>
      </c>
      <c r="P45">
        <v>39.951799999999999</v>
      </c>
      <c r="Q45" s="19">
        <v>46858.358</v>
      </c>
      <c r="R45" s="19">
        <v>43006.404300000002</v>
      </c>
      <c r="S45" s="19">
        <v>1.8907</v>
      </c>
      <c r="T45" s="19">
        <v>60506.664700000001</v>
      </c>
      <c r="U45" s="19">
        <v>56712.469599999997</v>
      </c>
      <c r="V45">
        <v>27.2</v>
      </c>
      <c r="W45" s="19">
        <v>82.857100000000003</v>
      </c>
      <c r="X45">
        <v>97</v>
      </c>
      <c r="Y45">
        <v>97</v>
      </c>
      <c r="Z45">
        <v>96</v>
      </c>
      <c r="AA45">
        <v>3.3</v>
      </c>
      <c r="AB45">
        <v>90.3</v>
      </c>
      <c r="AC45">
        <v>81.995099999999994</v>
      </c>
      <c r="AD45">
        <v>92.519599999999997</v>
      </c>
      <c r="AE45">
        <v>4</v>
      </c>
      <c r="AF45">
        <v>93.633300000000006</v>
      </c>
      <c r="AG45">
        <v>5.8</v>
      </c>
      <c r="AH45">
        <v>0.47</v>
      </c>
      <c r="AI45">
        <v>3.9</v>
      </c>
      <c r="AJ45">
        <v>3.5</v>
      </c>
      <c r="AK45">
        <v>4.4000000000000004</v>
      </c>
      <c r="AL45">
        <v>62.83</v>
      </c>
      <c r="AM45">
        <v>2.2999999999999998</v>
      </c>
      <c r="AN45">
        <v>58469</v>
      </c>
      <c r="AO45">
        <v>0</v>
      </c>
      <c r="AP45">
        <v>100</v>
      </c>
      <c r="AQ45">
        <v>99.486199999999997</v>
      </c>
      <c r="AR45">
        <v>99.714500000000001</v>
      </c>
      <c r="AU45">
        <v>11.214399999999999</v>
      </c>
      <c r="AV45" s="19">
        <v>60.8491</v>
      </c>
      <c r="AW45">
        <v>0.1</v>
      </c>
      <c r="AX45">
        <v>14.1</v>
      </c>
      <c r="AY45">
        <v>6</v>
      </c>
      <c r="AZ45">
        <v>6</v>
      </c>
      <c r="BA45">
        <v>93.185699999999997</v>
      </c>
      <c r="BB45">
        <v>42</v>
      </c>
      <c r="BC45">
        <v>8.0970999999999993</v>
      </c>
      <c r="BD45" s="19">
        <v>2.4430000000000001</v>
      </c>
      <c r="BE45" s="19">
        <v>87.619</v>
      </c>
      <c r="BF45">
        <v>21.744599999999998</v>
      </c>
      <c r="BG45">
        <v>10.199999999999999</v>
      </c>
      <c r="BH45" s="20">
        <v>3.1566000000000001</v>
      </c>
      <c r="BI45" s="20">
        <v>5290.8793999999998</v>
      </c>
      <c r="BJ45" s="19">
        <v>87.619</v>
      </c>
      <c r="BK45">
        <v>1.0108999999999999</v>
      </c>
      <c r="BL45">
        <v>1.0790999999999999</v>
      </c>
      <c r="BM45">
        <v>1.1283000000000001</v>
      </c>
      <c r="BN45">
        <v>6</v>
      </c>
      <c r="BO45">
        <v>9.25</v>
      </c>
      <c r="BP45">
        <v>18.11</v>
      </c>
      <c r="BQ45" s="19">
        <v>99.475099999999998</v>
      </c>
      <c r="BR45">
        <v>81.764700000000005</v>
      </c>
      <c r="BS45" s="20">
        <v>5.3639999999999999</v>
      </c>
      <c r="BT45" s="20">
        <v>5.3639999999999999</v>
      </c>
      <c r="BU45" s="20">
        <v>14.236000000000001</v>
      </c>
      <c r="BV45" s="20">
        <v>14.241</v>
      </c>
      <c r="BW45" s="1">
        <v>93.719800000000006</v>
      </c>
      <c r="BX45">
        <v>24.02</v>
      </c>
      <c r="BY45" s="6">
        <v>18057611</v>
      </c>
      <c r="BZ45" s="5">
        <v>42512847</v>
      </c>
      <c r="CA45" s="7">
        <f t="shared" si="0"/>
        <v>2.3542896676642333</v>
      </c>
      <c r="CB45">
        <v>11488980</v>
      </c>
      <c r="CC45" s="8">
        <f t="shared" si="1"/>
        <v>3.7003151715818112</v>
      </c>
      <c r="CD45" s="8">
        <f t="shared" si="2"/>
        <v>1.5717331738761839</v>
      </c>
      <c r="CE45">
        <v>30666</v>
      </c>
      <c r="CF45" s="8">
        <f t="shared" si="3"/>
        <v>588.84794234657272</v>
      </c>
      <c r="CG45" s="8">
        <f t="shared" si="4"/>
        <v>1386.3186264918802</v>
      </c>
      <c r="CH45">
        <v>103.0339</v>
      </c>
    </row>
    <row r="46" spans="1:86" ht="15.5" x14ac:dyDescent="0.35">
      <c r="A46" t="s">
        <v>87</v>
      </c>
      <c r="B46">
        <v>2020</v>
      </c>
      <c r="C46" s="2">
        <v>56.309600000000003</v>
      </c>
      <c r="D46">
        <v>122888.9</v>
      </c>
      <c r="E46">
        <v>0.1394</v>
      </c>
      <c r="F46">
        <v>7.9964000000000004</v>
      </c>
      <c r="G46">
        <v>118000</v>
      </c>
      <c r="H46">
        <v>12</v>
      </c>
      <c r="I46" s="19">
        <v>108.224</v>
      </c>
      <c r="J46" s="19">
        <v>108.76</v>
      </c>
      <c r="K46" s="19">
        <v>2.9140000000000001</v>
      </c>
      <c r="L46" s="19">
        <v>90</v>
      </c>
      <c r="M46" s="19">
        <v>4693000000</v>
      </c>
      <c r="N46" s="19">
        <v>106.4239</v>
      </c>
      <c r="O46">
        <v>36.515000000000001</v>
      </c>
      <c r="P46">
        <v>41.024000000000001</v>
      </c>
      <c r="Q46" s="19">
        <v>45933.800999999999</v>
      </c>
      <c r="R46" s="19">
        <v>40769.021800000002</v>
      </c>
      <c r="S46" s="19">
        <v>-5.2023999999999999</v>
      </c>
      <c r="T46" s="19">
        <v>57358.841800000002</v>
      </c>
      <c r="U46" s="19">
        <v>56120.095800000003</v>
      </c>
      <c r="V46">
        <v>26</v>
      </c>
      <c r="W46" s="19">
        <v>84.285700000000006</v>
      </c>
      <c r="X46">
        <v>97</v>
      </c>
      <c r="Y46">
        <v>97</v>
      </c>
      <c r="Z46">
        <v>96</v>
      </c>
      <c r="AA46">
        <v>3.2</v>
      </c>
      <c r="AB46">
        <v>91.5</v>
      </c>
      <c r="AC46">
        <v>80.695099999999996</v>
      </c>
      <c r="AD46">
        <v>93.466300000000004</v>
      </c>
      <c r="AE46">
        <v>4</v>
      </c>
      <c r="AF46">
        <v>93.633300000000006</v>
      </c>
      <c r="AH46">
        <v>0.35</v>
      </c>
      <c r="AI46">
        <v>3.9</v>
      </c>
      <c r="AJ46">
        <v>3.4</v>
      </c>
      <c r="AK46">
        <v>4.3</v>
      </c>
      <c r="AL46">
        <v>63.199100000000001</v>
      </c>
      <c r="AM46">
        <v>2.2999999999999998</v>
      </c>
      <c r="AN46">
        <v>43777</v>
      </c>
      <c r="AO46">
        <v>0</v>
      </c>
      <c r="AP46">
        <v>100</v>
      </c>
      <c r="AQ46">
        <v>99.486199999999997</v>
      </c>
      <c r="AR46">
        <v>99.722800000000007</v>
      </c>
      <c r="AU46">
        <v>11.216100000000001</v>
      </c>
      <c r="AV46" s="19">
        <v>64.150899999999993</v>
      </c>
      <c r="AW46">
        <v>0.1</v>
      </c>
      <c r="AX46">
        <v>12.7</v>
      </c>
      <c r="AY46">
        <v>6</v>
      </c>
      <c r="AZ46">
        <v>6</v>
      </c>
      <c r="BA46">
        <v>94.058300000000003</v>
      </c>
      <c r="BB46">
        <v>41.333300000000001</v>
      </c>
      <c r="BC46">
        <v>8.8004999999999995</v>
      </c>
      <c r="BD46" s="19">
        <v>-4.7930000000000001</v>
      </c>
      <c r="BE46" s="19">
        <v>89.047600000000003</v>
      </c>
      <c r="BF46">
        <v>27.403700000000001</v>
      </c>
      <c r="BG46">
        <v>12.3</v>
      </c>
      <c r="BH46" s="20">
        <v>3.3917999999999999</v>
      </c>
      <c r="BI46" s="20">
        <v>5418.9125999999997</v>
      </c>
      <c r="BJ46" s="19">
        <v>87.619</v>
      </c>
      <c r="BK46">
        <v>1.0142</v>
      </c>
      <c r="BL46">
        <v>1.0814999999999999</v>
      </c>
      <c r="BM46">
        <v>1.1303000000000001</v>
      </c>
      <c r="BN46">
        <v>6</v>
      </c>
      <c r="BO46">
        <v>9.9939999999999998</v>
      </c>
      <c r="BP46">
        <v>16.89</v>
      </c>
      <c r="BQ46" s="19">
        <v>100.93680000000001</v>
      </c>
      <c r="BR46">
        <v>81.764700000000005</v>
      </c>
      <c r="BS46" s="20">
        <v>5.5449999999999999</v>
      </c>
      <c r="BT46" s="20">
        <v>5.5449999999999999</v>
      </c>
      <c r="BU46" s="20">
        <v>15.326000000000001</v>
      </c>
      <c r="BV46" s="20">
        <v>15.331</v>
      </c>
      <c r="BW46" s="1">
        <v>90.821299999999994</v>
      </c>
      <c r="BX46">
        <v>24.76</v>
      </c>
      <c r="BY46" s="6">
        <v>7376417</v>
      </c>
      <c r="BZ46" s="5">
        <v>20177486</v>
      </c>
      <c r="CA46" s="7">
        <f t="shared" si="0"/>
        <v>2.7354047364730056</v>
      </c>
      <c r="CB46">
        <v>11538604</v>
      </c>
      <c r="CC46" s="8">
        <f t="shared" si="1"/>
        <v>1.7486938627931075</v>
      </c>
      <c r="CD46" s="8">
        <f t="shared" si="2"/>
        <v>0.63928158033675475</v>
      </c>
      <c r="CE46">
        <v>30666</v>
      </c>
      <c r="CF46" s="8">
        <f t="shared" si="3"/>
        <v>240.54056609926303</v>
      </c>
      <c r="CG46" s="8">
        <f t="shared" si="4"/>
        <v>657.97580382182218</v>
      </c>
      <c r="CH46">
        <v>103.10682</v>
      </c>
    </row>
    <row r="47" spans="1:86" ht="15.5" x14ac:dyDescent="0.35">
      <c r="A47" t="s">
        <v>87</v>
      </c>
      <c r="B47">
        <v>2021</v>
      </c>
      <c r="C47" s="2">
        <v>56.579799999999999</v>
      </c>
      <c r="D47">
        <v>122463.8</v>
      </c>
      <c r="E47">
        <v>0.13689999999999999</v>
      </c>
      <c r="F47">
        <v>8.3073999999999995</v>
      </c>
      <c r="G47">
        <v>118000</v>
      </c>
      <c r="H47">
        <v>12</v>
      </c>
      <c r="I47" s="19">
        <v>111.706</v>
      </c>
      <c r="J47" s="19">
        <v>115.93</v>
      </c>
      <c r="K47" s="19">
        <v>6.2510000000000003</v>
      </c>
      <c r="L47" s="19">
        <v>89.523799999999994</v>
      </c>
      <c r="M47" s="19">
        <v>10981000000</v>
      </c>
      <c r="N47" s="19">
        <v>137.4059</v>
      </c>
      <c r="O47">
        <v>34.445999999999998</v>
      </c>
      <c r="P47">
        <v>43.021799999999999</v>
      </c>
      <c r="Q47" s="19">
        <v>51830.701000000001</v>
      </c>
      <c r="R47" s="19">
        <v>43119.8943</v>
      </c>
      <c r="S47" s="19">
        <v>5.7663000000000002</v>
      </c>
      <c r="T47" s="19">
        <v>60666.336499999998</v>
      </c>
      <c r="U47" s="19">
        <v>60666.336499999998</v>
      </c>
      <c r="V47">
        <v>26.6</v>
      </c>
      <c r="W47" s="19">
        <v>83.333299999999994</v>
      </c>
      <c r="X47">
        <v>98</v>
      </c>
      <c r="Y47">
        <v>97</v>
      </c>
      <c r="Z47">
        <v>96</v>
      </c>
      <c r="AA47">
        <v>3.2</v>
      </c>
      <c r="AB47">
        <v>92.8</v>
      </c>
      <c r="AC47">
        <v>81.790199999999999</v>
      </c>
      <c r="AD47">
        <v>93.725899999999996</v>
      </c>
      <c r="AE47">
        <v>7</v>
      </c>
      <c r="AH47">
        <v>0.42</v>
      </c>
      <c r="AI47">
        <v>3.8</v>
      </c>
      <c r="AJ47">
        <v>3.4</v>
      </c>
      <c r="AK47">
        <v>4.2</v>
      </c>
      <c r="AL47">
        <v>63.560699999999997</v>
      </c>
      <c r="AM47">
        <v>2.2000000000000002</v>
      </c>
      <c r="AN47">
        <v>24017</v>
      </c>
      <c r="AO47">
        <v>0</v>
      </c>
      <c r="AP47">
        <v>100</v>
      </c>
      <c r="AQ47">
        <v>99.486199999999997</v>
      </c>
      <c r="AR47">
        <v>99.731099999999998</v>
      </c>
      <c r="AV47" s="19">
        <v>67.452799999999996</v>
      </c>
      <c r="AW47">
        <v>0</v>
      </c>
      <c r="AX47">
        <v>13.2</v>
      </c>
      <c r="AY47">
        <v>6</v>
      </c>
      <c r="AZ47">
        <v>6</v>
      </c>
      <c r="BA47">
        <v>94.477699999999999</v>
      </c>
      <c r="BB47">
        <v>42</v>
      </c>
      <c r="BC47">
        <v>8.4733999999999998</v>
      </c>
      <c r="BD47" s="19">
        <v>6.202</v>
      </c>
      <c r="BE47" s="19">
        <v>86.666700000000006</v>
      </c>
      <c r="BF47">
        <v>23.546900000000001</v>
      </c>
      <c r="BG47">
        <v>11.7</v>
      </c>
      <c r="BH47" s="20">
        <v>3.3923999999999999</v>
      </c>
      <c r="BI47" s="20">
        <v>6596.7061000000003</v>
      </c>
      <c r="BJ47" s="19">
        <v>87.619</v>
      </c>
      <c r="BN47">
        <v>6</v>
      </c>
      <c r="BO47">
        <v>6.6539999999999999</v>
      </c>
      <c r="BP47">
        <v>18.36</v>
      </c>
      <c r="BQ47" s="19">
        <v>99.391400000000004</v>
      </c>
      <c r="BS47" s="20">
        <v>6.2480000000000002</v>
      </c>
      <c r="BT47" s="20">
        <v>6.2480000000000002</v>
      </c>
      <c r="BU47" s="20">
        <v>18.206</v>
      </c>
      <c r="BV47" s="20">
        <v>18.209</v>
      </c>
      <c r="BW47" s="1">
        <v>90.338200000000001</v>
      </c>
      <c r="BX47">
        <v>22.6</v>
      </c>
      <c r="BY47" s="6">
        <v>10971971</v>
      </c>
      <c r="BZ47" s="5">
        <v>29220847</v>
      </c>
      <c r="CA47" s="7">
        <f t="shared" si="0"/>
        <v>2.6632267803113954</v>
      </c>
      <c r="CB47">
        <v>11586195</v>
      </c>
      <c r="CC47" s="8">
        <f t="shared" si="1"/>
        <v>2.5220399794755743</v>
      </c>
      <c r="CD47" s="8">
        <f t="shared" si="2"/>
        <v>0.94698656461418096</v>
      </c>
      <c r="CE47">
        <v>30666</v>
      </c>
      <c r="CF47" s="8">
        <f t="shared" si="3"/>
        <v>357.78944107480595</v>
      </c>
      <c r="CG47" s="8">
        <f t="shared" si="4"/>
        <v>952.87442118306922</v>
      </c>
      <c r="CH47">
        <v>103.50006</v>
      </c>
    </row>
    <row r="48" spans="1:86" ht="15.5" x14ac:dyDescent="0.35">
      <c r="A48" t="s">
        <v>87</v>
      </c>
      <c r="B48">
        <v>2022</v>
      </c>
      <c r="C48" s="2">
        <v>56.978200000000001</v>
      </c>
      <c r="E48">
        <v>0.1225</v>
      </c>
      <c r="F48">
        <v>7.6829999999999998</v>
      </c>
      <c r="H48">
        <v>12</v>
      </c>
      <c r="I48" s="19">
        <v>123.246</v>
      </c>
      <c r="J48" s="19">
        <v>127.77</v>
      </c>
      <c r="K48" s="19">
        <v>8.7970000000000006</v>
      </c>
      <c r="L48" s="19">
        <v>89.622600000000006</v>
      </c>
      <c r="M48" s="19">
        <v>-7802000000</v>
      </c>
      <c r="N48" s="19"/>
      <c r="O48">
        <v>35.262999999999998</v>
      </c>
      <c r="P48">
        <v>43.5657</v>
      </c>
      <c r="Q48" s="19">
        <v>51121.137000000002</v>
      </c>
      <c r="R48" s="19">
        <v>44583.576800000003</v>
      </c>
      <c r="S48" s="19">
        <v>3.3944000000000001</v>
      </c>
      <c r="T48" s="19">
        <v>62725.623800000001</v>
      </c>
      <c r="U48" s="19">
        <v>68137.654999999999</v>
      </c>
      <c r="W48" s="19">
        <v>84.905699999999996</v>
      </c>
      <c r="X48">
        <v>98</v>
      </c>
      <c r="Y48">
        <v>97</v>
      </c>
      <c r="Z48">
        <v>96</v>
      </c>
      <c r="AA48">
        <v>3.1</v>
      </c>
      <c r="AB48">
        <v>94</v>
      </c>
      <c r="AC48">
        <v>81.748800000000003</v>
      </c>
      <c r="AD48">
        <v>93.375799999999998</v>
      </c>
      <c r="AE48">
        <v>11</v>
      </c>
      <c r="AI48">
        <v>3.7</v>
      </c>
      <c r="AJ48">
        <v>3.3</v>
      </c>
      <c r="AK48">
        <v>4.0999999999999996</v>
      </c>
      <c r="AL48">
        <v>63.452199999999998</v>
      </c>
      <c r="AM48">
        <v>2.2000000000000002</v>
      </c>
      <c r="AN48">
        <v>118615</v>
      </c>
      <c r="AO48">
        <v>0</v>
      </c>
      <c r="AP48">
        <v>100</v>
      </c>
      <c r="AQ48">
        <v>99.486199999999997</v>
      </c>
      <c r="AR48">
        <v>99.739400000000003</v>
      </c>
      <c r="AV48" s="19">
        <v>66.509399999999999</v>
      </c>
      <c r="AX48">
        <v>12.3</v>
      </c>
      <c r="AY48">
        <v>6</v>
      </c>
      <c r="AZ48">
        <v>6</v>
      </c>
      <c r="BA48">
        <v>94.897000000000006</v>
      </c>
      <c r="BB48">
        <v>42.666699999999999</v>
      </c>
      <c r="BC48">
        <v>8.0913000000000004</v>
      </c>
      <c r="BD48" s="19">
        <v>4.234</v>
      </c>
      <c r="BE48" s="19">
        <v>86.792400000000001</v>
      </c>
      <c r="BG48" s="23">
        <v>13.816000000000001</v>
      </c>
      <c r="BH48" s="20">
        <v>3.4054000000000002</v>
      </c>
      <c r="BI48" s="20">
        <v>6983.1899000000003</v>
      </c>
      <c r="BJ48" s="19">
        <v>88.207599999999999</v>
      </c>
      <c r="BN48">
        <v>6</v>
      </c>
      <c r="BO48">
        <v>7.1070000000000002</v>
      </c>
      <c r="BQ48" s="19"/>
      <c r="BS48" s="20">
        <v>5.57</v>
      </c>
      <c r="BT48" s="20">
        <v>5.57</v>
      </c>
      <c r="BU48" s="20">
        <v>16.41</v>
      </c>
      <c r="BV48" s="20">
        <v>16.396999999999998</v>
      </c>
      <c r="BW48" s="1">
        <v>92.753600000000006</v>
      </c>
      <c r="BX48">
        <v>23.77</v>
      </c>
      <c r="BY48" s="6">
        <v>17626645</v>
      </c>
      <c r="BZ48" s="5">
        <v>43024124</v>
      </c>
      <c r="CA48" s="7">
        <f t="shared" si="0"/>
        <v>2.440857236303335</v>
      </c>
      <c r="CB48">
        <v>11680210</v>
      </c>
      <c r="CC48" s="8">
        <f t="shared" si="1"/>
        <v>3.6835060328538614</v>
      </c>
      <c r="CD48" s="8">
        <f t="shared" si="2"/>
        <v>1.509103432215688</v>
      </c>
      <c r="CE48">
        <v>30666</v>
      </c>
      <c r="CF48" s="8">
        <f t="shared" si="3"/>
        <v>574.79439770429792</v>
      </c>
      <c r="CG48" s="8">
        <f t="shared" si="4"/>
        <v>1402.9910650231527</v>
      </c>
      <c r="CH48">
        <v>105.0681</v>
      </c>
    </row>
    <row r="49" spans="1:86" ht="15.5" x14ac:dyDescent="0.35">
      <c r="A49" t="s">
        <v>87</v>
      </c>
      <c r="B49">
        <v>2023</v>
      </c>
      <c r="C49" s="2">
        <v>57.321800000000003</v>
      </c>
      <c r="E49">
        <v>0.11360000000000001</v>
      </c>
      <c r="F49">
        <v>7.1521999999999997</v>
      </c>
      <c r="H49">
        <v>12</v>
      </c>
      <c r="I49" s="19">
        <v>126.07299999999999</v>
      </c>
      <c r="J49" s="19">
        <v>128.44999999999999</v>
      </c>
      <c r="K49" s="19">
        <v>6.0270000000000001</v>
      </c>
      <c r="L49" s="19">
        <v>89.150899999999993</v>
      </c>
      <c r="M49" s="19">
        <v>-4436000000</v>
      </c>
      <c r="N49" s="19"/>
      <c r="P49">
        <v>43.702599999999997</v>
      </c>
      <c r="Q49" s="19">
        <v>54924.574999999997</v>
      </c>
      <c r="R49" s="19">
        <v>44731.042099999999</v>
      </c>
      <c r="S49" s="19">
        <v>0.33079999999999998</v>
      </c>
      <c r="T49" s="19">
        <v>62933.095999999998</v>
      </c>
      <c r="U49" s="19">
        <v>69072.833400000003</v>
      </c>
      <c r="W49" s="19">
        <v>80.660399999999996</v>
      </c>
      <c r="X49">
        <v>98</v>
      </c>
      <c r="Y49">
        <v>97</v>
      </c>
      <c r="Z49">
        <v>96</v>
      </c>
      <c r="AA49">
        <v>3</v>
      </c>
      <c r="AB49">
        <v>94.6</v>
      </c>
      <c r="AC49">
        <v>82.397599999999997</v>
      </c>
      <c r="AE49">
        <v>4</v>
      </c>
      <c r="AI49">
        <v>3.6</v>
      </c>
      <c r="AJ49">
        <v>3.2</v>
      </c>
      <c r="AK49">
        <v>4</v>
      </c>
      <c r="AL49" s="24">
        <v>63.452199999999998</v>
      </c>
      <c r="AM49">
        <v>2.1</v>
      </c>
      <c r="AN49">
        <v>41679</v>
      </c>
      <c r="AV49" s="19">
        <v>58.293799999999997</v>
      </c>
      <c r="AY49">
        <v>6</v>
      </c>
      <c r="AZ49" s="25">
        <v>6</v>
      </c>
      <c r="BB49">
        <v>42.666699999999999</v>
      </c>
      <c r="BD49" s="19">
        <v>1.252</v>
      </c>
      <c r="BE49" s="19">
        <v>85.849100000000007</v>
      </c>
      <c r="BG49" s="23">
        <v>14.741</v>
      </c>
      <c r="BH49" s="20"/>
      <c r="BI49" s="20"/>
      <c r="BJ49" s="19">
        <v>88.207599999999999</v>
      </c>
      <c r="BN49">
        <v>6</v>
      </c>
      <c r="BO49">
        <v>6.6989999999999998</v>
      </c>
      <c r="BQ49" s="19"/>
      <c r="BS49" s="20">
        <v>5.5279999999999996</v>
      </c>
      <c r="BT49" s="20">
        <v>5.5279999999999996</v>
      </c>
      <c r="BU49" s="20">
        <v>16.122</v>
      </c>
      <c r="BV49" s="20">
        <v>16.082999999999998</v>
      </c>
      <c r="BW49" s="1">
        <v>92.647099999999995</v>
      </c>
      <c r="BX49">
        <v>25.8</v>
      </c>
      <c r="BY49" s="6">
        <v>18576023</v>
      </c>
      <c r="BZ49" s="5">
        <v>44696602</v>
      </c>
      <c r="CA49" s="7">
        <f t="shared" si="0"/>
        <v>2.4061448459662222</v>
      </c>
      <c r="CB49">
        <v>11787423</v>
      </c>
      <c r="CC49" s="8">
        <f t="shared" si="1"/>
        <v>3.791889202584823</v>
      </c>
      <c r="CD49" s="8">
        <f t="shared" si="2"/>
        <v>1.5759189264693394</v>
      </c>
      <c r="CE49">
        <v>30666</v>
      </c>
      <c r="CF49" s="8">
        <f t="shared" si="3"/>
        <v>605.75304897932563</v>
      </c>
      <c r="CG49" s="8">
        <f t="shared" si="4"/>
        <v>1457.529576729929</v>
      </c>
      <c r="CH49">
        <v>101.40477</v>
      </c>
    </row>
    <row r="50" spans="1:86" ht="15.5" x14ac:dyDescent="0.35">
      <c r="A50" t="s">
        <v>88</v>
      </c>
      <c r="B50">
        <v>2000</v>
      </c>
      <c r="C50" s="2">
        <v>47.618200000000002</v>
      </c>
      <c r="D50">
        <v>41214.870000000003</v>
      </c>
      <c r="E50">
        <v>0.46949999999999997</v>
      </c>
      <c r="F50">
        <v>5.8963999999999999</v>
      </c>
      <c r="G50">
        <v>59200</v>
      </c>
      <c r="H50">
        <v>9</v>
      </c>
      <c r="I50" s="19">
        <v>54.082000000000001</v>
      </c>
      <c r="J50" s="19">
        <v>57.03</v>
      </c>
      <c r="K50" s="19">
        <v>4.9669999999999996</v>
      </c>
      <c r="L50" s="19">
        <v>51.063800000000001</v>
      </c>
      <c r="M50" s="19">
        <v>-412000000</v>
      </c>
      <c r="N50" s="19">
        <v>19.123200000000001</v>
      </c>
      <c r="O50">
        <v>37.459000000000003</v>
      </c>
      <c r="Q50" s="19">
        <v>1625.3219999999999</v>
      </c>
      <c r="R50" s="19">
        <v>3721.3035</v>
      </c>
      <c r="S50" s="19">
        <v>5.1051000000000002</v>
      </c>
      <c r="T50" s="19">
        <v>12559.668</v>
      </c>
      <c r="U50" s="19">
        <v>6422.7755999999999</v>
      </c>
      <c r="W50" s="19">
        <v>58.469900000000003</v>
      </c>
      <c r="X50">
        <v>93</v>
      </c>
      <c r="Y50">
        <v>94</v>
      </c>
      <c r="Z50">
        <v>89</v>
      </c>
      <c r="AA50">
        <v>14.3</v>
      </c>
      <c r="AB50">
        <v>5.37</v>
      </c>
      <c r="AC50">
        <v>71.663399999999996</v>
      </c>
      <c r="AE50">
        <v>19</v>
      </c>
      <c r="AF50">
        <v>75.240499999999997</v>
      </c>
      <c r="AG50">
        <v>13</v>
      </c>
      <c r="AH50">
        <v>0.98</v>
      </c>
      <c r="AI50">
        <v>17.5</v>
      </c>
      <c r="AJ50">
        <v>15.5</v>
      </c>
      <c r="AK50">
        <v>19.399999999999999</v>
      </c>
      <c r="AL50">
        <v>51.731299999999997</v>
      </c>
      <c r="AM50">
        <v>7.9</v>
      </c>
      <c r="AN50">
        <v>-26211</v>
      </c>
      <c r="AO50">
        <v>0</v>
      </c>
      <c r="AP50">
        <v>99.813000000000002</v>
      </c>
      <c r="AQ50">
        <v>85.827100000000002</v>
      </c>
      <c r="AR50">
        <v>89.663700000000006</v>
      </c>
      <c r="AS50">
        <v>51.933799999999998</v>
      </c>
      <c r="AT50">
        <v>56.2851</v>
      </c>
      <c r="AU50">
        <v>25.022500000000001</v>
      </c>
      <c r="AV50" s="19">
        <v>61.904800000000002</v>
      </c>
      <c r="AY50">
        <v>4</v>
      </c>
      <c r="AZ50">
        <v>4</v>
      </c>
      <c r="BA50">
        <v>54.931800000000003</v>
      </c>
      <c r="BB50">
        <v>10.833299999999999</v>
      </c>
      <c r="BC50">
        <v>3.4714999999999998</v>
      </c>
      <c r="BD50" s="19">
        <v>4.5869999999999997</v>
      </c>
      <c r="BE50" s="19">
        <v>60.326099999999997</v>
      </c>
      <c r="BF50">
        <v>7.2108999999999996</v>
      </c>
      <c r="BG50">
        <v>8</v>
      </c>
      <c r="BH50" s="20">
        <v>0.49519999999999997</v>
      </c>
      <c r="BI50" s="20">
        <v>1179.6959999999999</v>
      </c>
      <c r="BJ50" s="19">
        <v>48.258699999999997</v>
      </c>
      <c r="BK50">
        <v>0.97250000000000003</v>
      </c>
      <c r="BL50">
        <v>0.97699999999999998</v>
      </c>
      <c r="BM50">
        <v>0.97929999999999995</v>
      </c>
      <c r="BN50">
        <v>8</v>
      </c>
      <c r="BO50">
        <v>79.549000000000007</v>
      </c>
      <c r="BP50">
        <v>18.22</v>
      </c>
      <c r="BQ50" s="19">
        <v>86.651899999999998</v>
      </c>
      <c r="BR50">
        <v>53.693100000000001</v>
      </c>
      <c r="BS50" s="20">
        <v>16.218</v>
      </c>
      <c r="BT50" s="20">
        <v>16.218</v>
      </c>
      <c r="BU50" s="20">
        <v>33.207999999999998</v>
      </c>
      <c r="BV50" s="20">
        <v>33.33</v>
      </c>
      <c r="BW50" s="19">
        <v>62.189100000000003</v>
      </c>
      <c r="BX50">
        <v>49.68</v>
      </c>
      <c r="BY50" s="5">
        <v>2232667</v>
      </c>
      <c r="BZ50" s="6">
        <v>8554139</v>
      </c>
      <c r="CA50" s="7">
        <f t="shared" si="0"/>
        <v>3.8313546086362185</v>
      </c>
      <c r="CB50">
        <v>8170172</v>
      </c>
      <c r="CC50" s="8">
        <f t="shared" si="1"/>
        <v>1.0469961954289335</v>
      </c>
      <c r="CD50" s="8">
        <f t="shared" si="2"/>
        <v>0.27327050152677324</v>
      </c>
      <c r="CE50">
        <v>110996</v>
      </c>
      <c r="CF50" s="8">
        <f t="shared" si="3"/>
        <v>20.114841976287433</v>
      </c>
      <c r="CG50" s="8">
        <f t="shared" si="4"/>
        <v>77.067092507838126</v>
      </c>
      <c r="CH50">
        <v>72.229860000000002</v>
      </c>
    </row>
    <row r="51" spans="1:86" ht="15.5" x14ac:dyDescent="0.35">
      <c r="A51" t="s">
        <v>88</v>
      </c>
      <c r="B51">
        <v>2001</v>
      </c>
      <c r="C51" s="2">
        <v>47.120100000000001</v>
      </c>
      <c r="D51">
        <v>46309.85</v>
      </c>
      <c r="E51">
        <v>0.4733</v>
      </c>
      <c r="F51">
        <v>6.2956000000000003</v>
      </c>
      <c r="G51">
        <v>62300</v>
      </c>
      <c r="H51">
        <v>9</v>
      </c>
      <c r="I51" s="19">
        <v>58.061</v>
      </c>
      <c r="J51" s="19">
        <v>59.78</v>
      </c>
      <c r="K51" s="19">
        <v>3.9790000000000001</v>
      </c>
      <c r="L51" s="19"/>
      <c r="M51" s="19">
        <v>-514000000</v>
      </c>
      <c r="N51" s="19">
        <v>20.171299999999999</v>
      </c>
      <c r="O51">
        <v>40.523000000000003</v>
      </c>
      <c r="Q51" s="19">
        <v>1797.3920000000001</v>
      </c>
      <c r="R51" s="19">
        <v>3941.2757000000001</v>
      </c>
      <c r="S51" s="19">
        <v>5.9112</v>
      </c>
      <c r="T51" s="19">
        <v>13302.090200000001</v>
      </c>
      <c r="U51" s="19">
        <v>6961.0672000000004</v>
      </c>
      <c r="W51" s="19"/>
      <c r="X51">
        <v>94</v>
      </c>
      <c r="Y51">
        <v>93</v>
      </c>
      <c r="Z51">
        <v>90</v>
      </c>
      <c r="AA51">
        <v>13.8</v>
      </c>
      <c r="AB51">
        <v>7.61</v>
      </c>
      <c r="AC51">
        <v>71.768299999999996</v>
      </c>
      <c r="AD51">
        <v>91.053700000000006</v>
      </c>
      <c r="AE51">
        <v>17</v>
      </c>
      <c r="AF51">
        <v>75.514300000000006</v>
      </c>
      <c r="AG51">
        <v>13.2</v>
      </c>
      <c r="AH51">
        <v>0.95</v>
      </c>
      <c r="AI51">
        <v>16.8</v>
      </c>
      <c r="AJ51">
        <v>14.9</v>
      </c>
      <c r="AK51">
        <v>18.5</v>
      </c>
      <c r="AL51">
        <v>51.940199999999997</v>
      </c>
      <c r="AM51">
        <v>7.6</v>
      </c>
      <c r="AN51">
        <v>-30726</v>
      </c>
      <c r="AO51">
        <v>0</v>
      </c>
      <c r="AP51">
        <v>99.7714</v>
      </c>
      <c r="AQ51">
        <v>85.835300000000004</v>
      </c>
      <c r="AR51">
        <v>90.184100000000001</v>
      </c>
      <c r="AS51">
        <v>51.4619</v>
      </c>
      <c r="AT51">
        <v>57.060600000000001</v>
      </c>
      <c r="AU51">
        <v>25.1479</v>
      </c>
      <c r="AV51" s="19"/>
      <c r="AY51">
        <v>4</v>
      </c>
      <c r="AZ51">
        <v>4</v>
      </c>
      <c r="BA51">
        <v>55.334299999999999</v>
      </c>
      <c r="BB51">
        <v>26.25</v>
      </c>
      <c r="BC51">
        <v>3.8458999999999999</v>
      </c>
      <c r="BD51" s="19">
        <v>3.8239999999999998</v>
      </c>
      <c r="BE51" s="19"/>
      <c r="BF51">
        <v>4.9377000000000004</v>
      </c>
      <c r="BG51">
        <v>7.2</v>
      </c>
      <c r="BH51" s="20">
        <v>0.4471</v>
      </c>
      <c r="BI51" s="20">
        <v>1157.0543</v>
      </c>
      <c r="BJ51" s="19"/>
      <c r="BK51">
        <v>0.97470000000000001</v>
      </c>
      <c r="BL51">
        <v>0.97729999999999995</v>
      </c>
      <c r="BM51">
        <v>0.97870000000000001</v>
      </c>
      <c r="BN51">
        <v>8</v>
      </c>
      <c r="BO51">
        <v>29.69</v>
      </c>
      <c r="BP51">
        <v>17.309999999999999</v>
      </c>
      <c r="BQ51" s="19">
        <v>83.656700000000001</v>
      </c>
      <c r="BR51">
        <v>44.397300000000001</v>
      </c>
      <c r="BS51" s="20">
        <v>19.920999999999999</v>
      </c>
      <c r="BT51" s="20">
        <v>19.920999999999999</v>
      </c>
      <c r="BU51" s="20">
        <v>39.087000000000003</v>
      </c>
      <c r="BV51" s="20">
        <v>39.256</v>
      </c>
      <c r="BW51" s="19"/>
      <c r="BX51">
        <v>46.01</v>
      </c>
      <c r="BY51" s="5">
        <v>2232433</v>
      </c>
      <c r="BZ51" s="6">
        <v>9384506</v>
      </c>
      <c r="CA51" s="7">
        <f t="shared" si="0"/>
        <v>4.2037122726639504</v>
      </c>
      <c r="CB51">
        <v>8009142</v>
      </c>
      <c r="CC51" s="8">
        <f t="shared" si="1"/>
        <v>1.1717242620994859</v>
      </c>
      <c r="CD51" s="8">
        <f t="shared" si="2"/>
        <v>0.278735599893222</v>
      </c>
      <c r="CE51">
        <v>110996</v>
      </c>
      <c r="CF51" s="8">
        <f t="shared" si="3"/>
        <v>20.112733792208729</v>
      </c>
      <c r="CG51" s="8">
        <f t="shared" si="4"/>
        <v>84.548145879130786</v>
      </c>
      <c r="CH51">
        <v>75.686639999999997</v>
      </c>
    </row>
    <row r="52" spans="1:86" ht="15.5" x14ac:dyDescent="0.35">
      <c r="A52" t="s">
        <v>88</v>
      </c>
      <c r="B52">
        <v>2002</v>
      </c>
      <c r="C52" s="2">
        <v>46.546199999999999</v>
      </c>
      <c r="D52">
        <v>44770.15</v>
      </c>
      <c r="E52">
        <v>0.42199999999999999</v>
      </c>
      <c r="F52">
        <v>6.0728999999999997</v>
      </c>
      <c r="G52">
        <v>59200</v>
      </c>
      <c r="H52">
        <v>9</v>
      </c>
      <c r="I52" s="19">
        <v>61.436</v>
      </c>
      <c r="J52" s="19">
        <v>62.06</v>
      </c>
      <c r="K52" s="19">
        <v>4.1139999999999999</v>
      </c>
      <c r="L52" s="19">
        <v>51.322800000000001</v>
      </c>
      <c r="M52" s="19">
        <v>-103000000</v>
      </c>
      <c r="N52" s="19">
        <v>22.596800000000002</v>
      </c>
      <c r="O52">
        <v>42.311</v>
      </c>
      <c r="Q52" s="19">
        <v>2090.683</v>
      </c>
      <c r="R52" s="19">
        <v>4264.2718000000004</v>
      </c>
      <c r="S52" s="19">
        <v>8.1951999999999998</v>
      </c>
      <c r="T52" s="19">
        <v>14392.225200000001</v>
      </c>
      <c r="U52" s="19">
        <v>7786.4111999999996</v>
      </c>
      <c r="W52" s="19">
        <v>59.459499999999998</v>
      </c>
      <c r="X52">
        <v>93</v>
      </c>
      <c r="Y52">
        <v>88</v>
      </c>
      <c r="Z52">
        <v>92</v>
      </c>
      <c r="AA52">
        <v>13.2</v>
      </c>
      <c r="AB52">
        <v>9.08</v>
      </c>
      <c r="AC52">
        <v>71.865899999999996</v>
      </c>
      <c r="AD52">
        <v>91.833500000000001</v>
      </c>
      <c r="AE52">
        <v>15</v>
      </c>
      <c r="AF52">
        <v>75.8857</v>
      </c>
      <c r="AG52">
        <v>12.6</v>
      </c>
      <c r="AH52">
        <v>0.93</v>
      </c>
      <c r="AI52">
        <v>16</v>
      </c>
      <c r="AJ52">
        <v>14.2</v>
      </c>
      <c r="AK52">
        <v>17.600000000000001</v>
      </c>
      <c r="AL52">
        <v>52.646000000000001</v>
      </c>
      <c r="AM52">
        <v>7.2</v>
      </c>
      <c r="AN52">
        <v>-12735</v>
      </c>
      <c r="AO52">
        <v>0</v>
      </c>
      <c r="AP52">
        <v>99.730599999999995</v>
      </c>
      <c r="AQ52">
        <v>85.846299999999999</v>
      </c>
      <c r="AR52">
        <v>90.704599999999999</v>
      </c>
      <c r="AS52">
        <v>51.036200000000001</v>
      </c>
      <c r="AT52">
        <v>57.848399999999998</v>
      </c>
      <c r="AU52">
        <v>25.302399999999999</v>
      </c>
      <c r="AV52" s="19">
        <v>64.021199999999993</v>
      </c>
      <c r="AY52">
        <v>4</v>
      </c>
      <c r="AZ52">
        <v>4</v>
      </c>
      <c r="BA52">
        <v>55.772300000000001</v>
      </c>
      <c r="BB52">
        <v>26.25</v>
      </c>
      <c r="BC52">
        <v>4.2019000000000002</v>
      </c>
      <c r="BD52" s="19">
        <v>5.8719999999999999</v>
      </c>
      <c r="BE52" s="19">
        <v>67.567599999999999</v>
      </c>
      <c r="BF52">
        <v>6.3357000000000001</v>
      </c>
      <c r="BG52">
        <v>8.6999999999999993</v>
      </c>
      <c r="BH52" s="20">
        <v>0.4647</v>
      </c>
      <c r="BI52" s="20">
        <v>1168.8019999999999</v>
      </c>
      <c r="BJ52" s="19">
        <v>51.2438</v>
      </c>
      <c r="BK52">
        <v>0.98199999999999998</v>
      </c>
      <c r="BL52">
        <v>0.97829999999999995</v>
      </c>
      <c r="BM52">
        <v>0.97660000000000002</v>
      </c>
      <c r="BN52">
        <v>8</v>
      </c>
      <c r="BO52">
        <v>27.381</v>
      </c>
      <c r="BP52">
        <v>17.329999999999998</v>
      </c>
      <c r="BQ52" s="19">
        <v>84.274299999999997</v>
      </c>
      <c r="BR52">
        <v>49.489400000000003</v>
      </c>
      <c r="BS52" s="20">
        <v>18.11</v>
      </c>
      <c r="BT52" s="20">
        <v>18.11</v>
      </c>
      <c r="BU52" s="20">
        <v>35.607999999999997</v>
      </c>
      <c r="BV52" s="20">
        <v>35.604999999999997</v>
      </c>
      <c r="BW52" s="19">
        <v>63.681600000000003</v>
      </c>
      <c r="BX52">
        <v>40.909999999999997</v>
      </c>
      <c r="BY52" s="5">
        <v>2521625</v>
      </c>
      <c r="BZ52" s="6">
        <v>10285668</v>
      </c>
      <c r="CA52" s="7">
        <f t="shared" si="0"/>
        <v>4.0789839884994796</v>
      </c>
      <c r="CB52">
        <v>7837161</v>
      </c>
      <c r="CC52" s="8">
        <f t="shared" si="1"/>
        <v>1.3124227000057802</v>
      </c>
      <c r="CD52" s="8">
        <f t="shared" si="2"/>
        <v>0.32175235394551677</v>
      </c>
      <c r="CE52">
        <v>110996</v>
      </c>
      <c r="CF52" s="8">
        <f t="shared" si="3"/>
        <v>22.718161014811344</v>
      </c>
      <c r="CG52" s="8">
        <f t="shared" si="4"/>
        <v>92.667015027568567</v>
      </c>
      <c r="CH52">
        <v>78.125950000000003</v>
      </c>
    </row>
    <row r="53" spans="1:86" ht="15.5" x14ac:dyDescent="0.35">
      <c r="A53" t="s">
        <v>88</v>
      </c>
      <c r="B53">
        <v>2003</v>
      </c>
      <c r="C53" s="2">
        <v>45.945799999999998</v>
      </c>
      <c r="D53">
        <v>50576.26</v>
      </c>
      <c r="E53">
        <v>0.45040000000000002</v>
      </c>
      <c r="F53">
        <v>6.8756000000000004</v>
      </c>
      <c r="G53">
        <v>63800</v>
      </c>
      <c r="H53">
        <v>9</v>
      </c>
      <c r="I53" s="19">
        <v>62.878</v>
      </c>
      <c r="J53" s="19">
        <v>65.56</v>
      </c>
      <c r="K53" s="19">
        <v>3.5779999999999998</v>
      </c>
      <c r="L53" s="19">
        <v>56.613799999999998</v>
      </c>
      <c r="M53" s="19">
        <v>-715000000</v>
      </c>
      <c r="N53" s="19">
        <v>29.731200000000001</v>
      </c>
      <c r="O53">
        <v>37.795999999999999</v>
      </c>
      <c r="Q53" s="19">
        <v>2710.5770000000002</v>
      </c>
      <c r="R53" s="19">
        <v>4523.2862999999998</v>
      </c>
      <c r="S53" s="19">
        <v>6.0740999999999996</v>
      </c>
      <c r="T53" s="19">
        <v>15266.4179</v>
      </c>
      <c r="U53" s="19">
        <v>8417.4472999999998</v>
      </c>
      <c r="W53" s="19">
        <v>56.756799999999998</v>
      </c>
      <c r="X53">
        <v>96</v>
      </c>
      <c r="Y53">
        <v>96</v>
      </c>
      <c r="Z53">
        <v>96</v>
      </c>
      <c r="AA53">
        <v>12.5</v>
      </c>
      <c r="AB53">
        <v>12</v>
      </c>
      <c r="AC53">
        <v>72.065899999999999</v>
      </c>
      <c r="AD53">
        <v>91.714600000000004</v>
      </c>
      <c r="AE53">
        <v>14</v>
      </c>
      <c r="AF53">
        <v>76.153199999999998</v>
      </c>
      <c r="AG53">
        <v>12.7</v>
      </c>
      <c r="AH53">
        <v>0.96</v>
      </c>
      <c r="AI53">
        <v>15.1</v>
      </c>
      <c r="AJ53">
        <v>13.5</v>
      </c>
      <c r="AK53">
        <v>16.7</v>
      </c>
      <c r="AL53">
        <v>53.121600000000001</v>
      </c>
      <c r="AM53">
        <v>6.8</v>
      </c>
      <c r="AN53">
        <v>-13183</v>
      </c>
      <c r="AO53">
        <v>0</v>
      </c>
      <c r="AP53">
        <v>99.6905</v>
      </c>
      <c r="AQ53">
        <v>85.857100000000003</v>
      </c>
      <c r="AR53">
        <v>91.225399999999993</v>
      </c>
      <c r="AS53">
        <v>50.656700000000001</v>
      </c>
      <c r="AT53">
        <v>58.648499999999999</v>
      </c>
      <c r="AU53">
        <v>25.453199999999999</v>
      </c>
      <c r="AV53" s="19">
        <v>49.748699999999999</v>
      </c>
      <c r="AY53">
        <v>4</v>
      </c>
      <c r="AZ53">
        <v>4</v>
      </c>
      <c r="BA53">
        <v>56.241300000000003</v>
      </c>
      <c r="BB53">
        <v>26.25</v>
      </c>
      <c r="BC53">
        <v>4.3712999999999997</v>
      </c>
      <c r="BD53" s="19">
        <v>5.2370000000000001</v>
      </c>
      <c r="BE53" s="19">
        <v>68.648700000000005</v>
      </c>
      <c r="BF53">
        <v>7.7488000000000001</v>
      </c>
      <c r="BG53">
        <v>9.1999999999999993</v>
      </c>
      <c r="BH53" s="20">
        <v>0.47220000000000001</v>
      </c>
      <c r="BI53" s="20">
        <v>1224.1956</v>
      </c>
      <c r="BJ53" s="19">
        <v>48.258699999999997</v>
      </c>
      <c r="BK53">
        <v>0.98450000000000004</v>
      </c>
      <c r="BL53">
        <v>0.97850000000000004</v>
      </c>
      <c r="BM53">
        <v>0.9758</v>
      </c>
      <c r="BN53">
        <v>8</v>
      </c>
      <c r="BO53">
        <v>28.29</v>
      </c>
      <c r="BP53">
        <v>14.97</v>
      </c>
      <c r="BQ53" s="19">
        <v>84.771699999999996</v>
      </c>
      <c r="BR53">
        <v>61.742800000000003</v>
      </c>
      <c r="BS53" s="20">
        <v>13.733000000000001</v>
      </c>
      <c r="BT53" s="20">
        <v>13.733000000000001</v>
      </c>
      <c r="BU53" s="20">
        <v>27.056999999999999</v>
      </c>
      <c r="BV53" s="20">
        <v>27.073</v>
      </c>
      <c r="BW53" s="19">
        <v>65.174099999999996</v>
      </c>
      <c r="BX53">
        <v>40.020000000000003</v>
      </c>
      <c r="BY53" s="5">
        <v>2972644</v>
      </c>
      <c r="BZ53" s="6">
        <v>12521479</v>
      </c>
      <c r="CA53" s="7">
        <f t="shared" si="0"/>
        <v>4.2122363121853814</v>
      </c>
      <c r="CB53">
        <v>7775327</v>
      </c>
      <c r="CC53" s="8">
        <f t="shared" si="1"/>
        <v>1.6104118836416783</v>
      </c>
      <c r="CD53" s="8">
        <f t="shared" si="2"/>
        <v>0.3823175539755434</v>
      </c>
      <c r="CE53">
        <v>110996</v>
      </c>
      <c r="CF53" s="8">
        <f t="shared" si="3"/>
        <v>26.781541677177557</v>
      </c>
      <c r="CG53" s="8">
        <f t="shared" si="4"/>
        <v>112.81018234891347</v>
      </c>
      <c r="CH53">
        <v>78.564120000000003</v>
      </c>
    </row>
    <row r="54" spans="1:86" ht="15.5" x14ac:dyDescent="0.35">
      <c r="A54" t="s">
        <v>88</v>
      </c>
      <c r="B54">
        <v>2004</v>
      </c>
      <c r="C54" s="2">
        <v>45.366100000000003</v>
      </c>
      <c r="D54">
        <v>51321.69</v>
      </c>
      <c r="E54">
        <v>0.40699999999999997</v>
      </c>
      <c r="F54">
        <v>6.6685999999999996</v>
      </c>
      <c r="G54">
        <v>62700</v>
      </c>
      <c r="H54">
        <v>9</v>
      </c>
      <c r="I54" s="19">
        <v>66.745000000000005</v>
      </c>
      <c r="J54" s="19">
        <v>68.16</v>
      </c>
      <c r="K54" s="19">
        <v>4.0730000000000004</v>
      </c>
      <c r="L54" s="19">
        <v>57.142899999999997</v>
      </c>
      <c r="M54" s="19">
        <v>-1119000000</v>
      </c>
      <c r="N54" s="19">
        <v>39.148600000000002</v>
      </c>
      <c r="O54">
        <v>41.427999999999997</v>
      </c>
      <c r="P54">
        <v>8.5800000000000001E-2</v>
      </c>
      <c r="Q54" s="19">
        <v>3370.3820000000001</v>
      </c>
      <c r="R54" s="19">
        <v>4854.2734</v>
      </c>
      <c r="S54" s="19">
        <v>7.3174000000000001</v>
      </c>
      <c r="T54" s="19">
        <v>16383.5234</v>
      </c>
      <c r="U54" s="19">
        <v>9201.7500999999993</v>
      </c>
      <c r="W54" s="19">
        <v>58.706499999999998</v>
      </c>
      <c r="X54">
        <v>95</v>
      </c>
      <c r="Y54">
        <v>94</v>
      </c>
      <c r="Z54">
        <v>95</v>
      </c>
      <c r="AA54">
        <v>11.8</v>
      </c>
      <c r="AB54">
        <v>18.100000000000001</v>
      </c>
      <c r="AC54">
        <v>72.563400000000001</v>
      </c>
      <c r="AD54">
        <v>96.1036</v>
      </c>
      <c r="AE54">
        <v>14</v>
      </c>
      <c r="AF54">
        <v>76.4422</v>
      </c>
      <c r="AG54">
        <v>12.5</v>
      </c>
      <c r="AH54">
        <v>0.92</v>
      </c>
      <c r="AI54">
        <v>14.2</v>
      </c>
      <c r="AJ54">
        <v>12.7</v>
      </c>
      <c r="AK54">
        <v>15.7</v>
      </c>
      <c r="AL54">
        <v>53.414700000000003</v>
      </c>
      <c r="AM54">
        <v>6.4</v>
      </c>
      <c r="AN54">
        <v>-13604</v>
      </c>
      <c r="AO54">
        <v>0</v>
      </c>
      <c r="AP54">
        <v>99.651200000000003</v>
      </c>
      <c r="AQ54">
        <v>85.867999999999995</v>
      </c>
      <c r="AR54">
        <v>91.746399999999994</v>
      </c>
      <c r="AS54">
        <v>50.323900000000002</v>
      </c>
      <c r="AT54">
        <v>59.460900000000002</v>
      </c>
      <c r="AU54">
        <v>25.567699999999999</v>
      </c>
      <c r="AV54" s="19">
        <v>45.145600000000002</v>
      </c>
      <c r="AY54">
        <v>4</v>
      </c>
      <c r="AZ54">
        <v>4</v>
      </c>
      <c r="BA54">
        <v>56.741100000000003</v>
      </c>
      <c r="BB54">
        <v>26.25</v>
      </c>
      <c r="BC54">
        <v>4.0951000000000004</v>
      </c>
      <c r="BD54" s="19">
        <v>6.51</v>
      </c>
      <c r="BE54" s="19">
        <v>71.641800000000003</v>
      </c>
      <c r="BF54">
        <v>8.0820000000000007</v>
      </c>
      <c r="BG54">
        <v>9.6</v>
      </c>
      <c r="BH54" s="20">
        <v>0.47089999999999999</v>
      </c>
      <c r="BI54" s="20">
        <v>1263.7733000000001</v>
      </c>
      <c r="BJ54" s="19">
        <v>49.519199999999998</v>
      </c>
      <c r="BK54">
        <v>0.98709999999999998</v>
      </c>
      <c r="BL54">
        <v>0.96889999999999998</v>
      </c>
      <c r="BM54">
        <v>0.96109999999999995</v>
      </c>
      <c r="BN54">
        <v>8</v>
      </c>
      <c r="BO54">
        <v>24.37</v>
      </c>
      <c r="BP54">
        <v>14.17</v>
      </c>
      <c r="BQ54" s="19">
        <v>85.403000000000006</v>
      </c>
      <c r="BR54">
        <v>65.946100000000001</v>
      </c>
      <c r="BS54" s="20">
        <v>12.037000000000001</v>
      </c>
      <c r="BT54" s="20">
        <v>12.037000000000001</v>
      </c>
      <c r="BU54" s="20">
        <v>24.497</v>
      </c>
      <c r="BV54" s="20">
        <v>24.472000000000001</v>
      </c>
      <c r="BW54" s="19">
        <v>66.346199999999996</v>
      </c>
      <c r="BX54">
        <v>36.99</v>
      </c>
      <c r="BY54" s="5">
        <v>3346525</v>
      </c>
      <c r="BZ54" s="6">
        <v>14160067</v>
      </c>
      <c r="CA54" s="7">
        <f t="shared" si="0"/>
        <v>4.2312748298608254</v>
      </c>
      <c r="CB54">
        <v>7716860</v>
      </c>
      <c r="CC54" s="8">
        <f t="shared" si="1"/>
        <v>1.8349519104920913</v>
      </c>
      <c r="CD54" s="8">
        <f t="shared" si="2"/>
        <v>0.43366408098630788</v>
      </c>
      <c r="CE54">
        <v>110996</v>
      </c>
      <c r="CF54" s="8">
        <f t="shared" si="3"/>
        <v>30.149960358931853</v>
      </c>
      <c r="CG54" s="8">
        <f t="shared" si="4"/>
        <v>127.57276838805002</v>
      </c>
      <c r="CH54">
        <v>81.598600000000005</v>
      </c>
    </row>
    <row r="55" spans="1:86" ht="15.5" x14ac:dyDescent="0.35">
      <c r="A55" t="s">
        <v>88</v>
      </c>
      <c r="B55">
        <v>2005</v>
      </c>
      <c r="C55" s="2">
        <v>44.942500000000003</v>
      </c>
      <c r="D55">
        <v>52700.03</v>
      </c>
      <c r="E55">
        <v>0.38779999999999998</v>
      </c>
      <c r="F55">
        <v>6.8532000000000002</v>
      </c>
      <c r="G55">
        <v>63400</v>
      </c>
      <c r="H55">
        <v>9</v>
      </c>
      <c r="I55" s="19">
        <v>70.775000000000006</v>
      </c>
      <c r="J55" s="19">
        <v>73.2</v>
      </c>
      <c r="K55" s="19">
        <v>3.875</v>
      </c>
      <c r="L55" s="19">
        <v>56.5854</v>
      </c>
      <c r="M55" s="19">
        <v>-2816000000</v>
      </c>
      <c r="N55" s="19">
        <v>46.269399999999997</v>
      </c>
      <c r="O55">
        <v>40.610999999999997</v>
      </c>
      <c r="P55">
        <v>2.1503000000000001</v>
      </c>
      <c r="Q55" s="19">
        <v>3869.5880000000002</v>
      </c>
      <c r="R55" s="19">
        <v>5236.0864000000001</v>
      </c>
      <c r="S55" s="19">
        <v>7.8654999999999999</v>
      </c>
      <c r="T55" s="19">
        <v>17672.169699999999</v>
      </c>
      <c r="U55" s="19">
        <v>10291.473900000001</v>
      </c>
      <c r="W55" s="19">
        <v>57.8431</v>
      </c>
      <c r="X55">
        <v>96</v>
      </c>
      <c r="Y55">
        <v>96</v>
      </c>
      <c r="Z55">
        <v>96</v>
      </c>
      <c r="AA55">
        <v>11</v>
      </c>
      <c r="AB55">
        <v>20</v>
      </c>
      <c r="AC55">
        <v>72.561000000000007</v>
      </c>
      <c r="AD55">
        <v>93.4208</v>
      </c>
      <c r="AE55">
        <v>13</v>
      </c>
      <c r="AF55">
        <v>78.957099999999997</v>
      </c>
      <c r="AG55">
        <v>12.8</v>
      </c>
      <c r="AH55">
        <v>1.1299999999999999</v>
      </c>
      <c r="AI55">
        <v>13.3</v>
      </c>
      <c r="AJ55">
        <v>11.9</v>
      </c>
      <c r="AK55">
        <v>14.6</v>
      </c>
      <c r="AL55">
        <v>53.655099999999997</v>
      </c>
      <c r="AM55">
        <v>6</v>
      </c>
      <c r="AN55">
        <v>-14435</v>
      </c>
      <c r="AO55">
        <v>0</v>
      </c>
      <c r="AP55">
        <v>99.612499999999997</v>
      </c>
      <c r="AQ55">
        <v>85.878699999999995</v>
      </c>
      <c r="AR55">
        <v>92.267600000000002</v>
      </c>
      <c r="AS55">
        <v>50.0379</v>
      </c>
      <c r="AT55">
        <v>60.285600000000002</v>
      </c>
      <c r="AU55">
        <v>25.613</v>
      </c>
      <c r="AV55" s="19">
        <v>51.456299999999999</v>
      </c>
      <c r="AY55">
        <v>4</v>
      </c>
      <c r="AZ55">
        <v>4</v>
      </c>
      <c r="BA55">
        <v>57.271099999999997</v>
      </c>
      <c r="BB55">
        <v>22.083300000000001</v>
      </c>
      <c r="BC55">
        <v>4.1045999999999996</v>
      </c>
      <c r="BD55" s="19">
        <v>7.056</v>
      </c>
      <c r="BE55" s="19">
        <v>69.607799999999997</v>
      </c>
      <c r="BF55">
        <v>10.6717</v>
      </c>
      <c r="BG55">
        <v>9.8000000000000007</v>
      </c>
      <c r="BH55" s="20">
        <v>0.44269999999999998</v>
      </c>
      <c r="BI55" s="20">
        <v>1301.7063000000001</v>
      </c>
      <c r="BJ55" s="19">
        <v>49.760800000000003</v>
      </c>
      <c r="BK55">
        <v>0.98960000000000004</v>
      </c>
      <c r="BL55">
        <v>0.96789999999999998</v>
      </c>
      <c r="BM55">
        <v>0.95909999999999995</v>
      </c>
      <c r="BN55">
        <v>8</v>
      </c>
      <c r="BO55">
        <v>25.05</v>
      </c>
      <c r="BP55">
        <v>13.24</v>
      </c>
      <c r="BQ55" s="19">
        <v>86.476799999999997</v>
      </c>
      <c r="BR55">
        <v>70.130799999999994</v>
      </c>
      <c r="BS55" s="20">
        <v>10.083</v>
      </c>
      <c r="BT55" s="20">
        <v>10.083</v>
      </c>
      <c r="BU55" s="20">
        <v>22.390999999999998</v>
      </c>
      <c r="BV55" s="20">
        <v>22.346</v>
      </c>
      <c r="BW55" s="19">
        <v>66.346199999999996</v>
      </c>
      <c r="BX55">
        <v>33.450000000000003</v>
      </c>
      <c r="BY55" s="5">
        <v>3829429</v>
      </c>
      <c r="BZ55" s="6">
        <v>16071313</v>
      </c>
      <c r="CA55" s="7">
        <f t="shared" si="0"/>
        <v>4.1967909576075177</v>
      </c>
      <c r="CB55">
        <v>7658972</v>
      </c>
      <c r="CC55" s="8">
        <f t="shared" si="1"/>
        <v>2.0983642452276885</v>
      </c>
      <c r="CD55" s="8">
        <f t="shared" si="2"/>
        <v>0.49999255774795887</v>
      </c>
      <c r="CE55">
        <v>110996</v>
      </c>
      <c r="CF55" s="8">
        <f t="shared" si="3"/>
        <v>34.500603625355872</v>
      </c>
      <c r="CG55" s="8">
        <f t="shared" si="4"/>
        <v>144.79182132689465</v>
      </c>
      <c r="CH55">
        <v>83.930539999999993</v>
      </c>
    </row>
    <row r="56" spans="1:86" ht="15.5" x14ac:dyDescent="0.35">
      <c r="A56" t="s">
        <v>88</v>
      </c>
      <c r="B56">
        <v>2006</v>
      </c>
      <c r="C56" s="2">
        <v>44.738599999999998</v>
      </c>
      <c r="D56">
        <v>52549.87</v>
      </c>
      <c r="E56">
        <v>0.37380000000000002</v>
      </c>
      <c r="F56">
        <v>7.1086999999999998</v>
      </c>
      <c r="G56">
        <v>63800</v>
      </c>
      <c r="H56">
        <v>9</v>
      </c>
      <c r="I56" s="19">
        <v>76.022999999999996</v>
      </c>
      <c r="J56" s="19">
        <v>77.66</v>
      </c>
      <c r="K56" s="19">
        <v>3.7789999999999999</v>
      </c>
      <c r="L56" s="19">
        <v>53.658499999999997</v>
      </c>
      <c r="M56" s="19">
        <v>-5253000000</v>
      </c>
      <c r="N56" s="19">
        <v>59.375700000000002</v>
      </c>
      <c r="O56">
        <v>37.561</v>
      </c>
      <c r="P56">
        <v>5.0347999999999997</v>
      </c>
      <c r="Q56" s="19">
        <v>4477.0280000000002</v>
      </c>
      <c r="R56" s="19">
        <v>5634.9111999999996</v>
      </c>
      <c r="S56" s="19">
        <v>7.6167999999999996</v>
      </c>
      <c r="T56" s="19">
        <v>19018.2323</v>
      </c>
      <c r="U56" s="19">
        <v>11408.0152</v>
      </c>
      <c r="V56">
        <v>35.700000000000003</v>
      </c>
      <c r="W56" s="19">
        <v>51.707299999999996</v>
      </c>
      <c r="X56">
        <v>95</v>
      </c>
      <c r="Y56">
        <v>96</v>
      </c>
      <c r="Z56">
        <v>96</v>
      </c>
      <c r="AA56">
        <v>10.4</v>
      </c>
      <c r="AB56">
        <v>27.1</v>
      </c>
      <c r="AC56">
        <v>72.612200000000001</v>
      </c>
      <c r="AD56">
        <v>94.887299999999996</v>
      </c>
      <c r="AE56">
        <v>12</v>
      </c>
      <c r="AF56">
        <v>79.234200000000001</v>
      </c>
      <c r="AG56">
        <v>14.1</v>
      </c>
      <c r="AH56">
        <v>0.82</v>
      </c>
      <c r="AI56">
        <v>12.4</v>
      </c>
      <c r="AJ56">
        <v>11.2</v>
      </c>
      <c r="AK56">
        <v>13.7</v>
      </c>
      <c r="AL56">
        <v>53.549100000000003</v>
      </c>
      <c r="AM56">
        <v>5.6</v>
      </c>
      <c r="AN56">
        <v>-15184</v>
      </c>
      <c r="AO56">
        <v>0</v>
      </c>
      <c r="AP56">
        <v>99.574600000000004</v>
      </c>
      <c r="AQ56">
        <v>85.889399999999995</v>
      </c>
      <c r="AR56">
        <v>92.789100000000005</v>
      </c>
      <c r="AS56">
        <v>49.798999999999999</v>
      </c>
      <c r="AT56">
        <v>61.122799999999998</v>
      </c>
      <c r="AU56">
        <v>25.3339</v>
      </c>
      <c r="AV56" s="19">
        <v>57.487900000000003</v>
      </c>
      <c r="AW56">
        <v>5.8</v>
      </c>
      <c r="AY56">
        <v>4</v>
      </c>
      <c r="AZ56">
        <v>4</v>
      </c>
      <c r="BA56">
        <v>57.831200000000003</v>
      </c>
      <c r="BB56">
        <v>22.083300000000001</v>
      </c>
      <c r="BC56">
        <v>3.6334</v>
      </c>
      <c r="BD56" s="19">
        <v>6.8029999999999999</v>
      </c>
      <c r="BE56" s="19">
        <v>69.607799999999997</v>
      </c>
      <c r="BF56">
        <v>10.0321</v>
      </c>
      <c r="BG56">
        <v>10</v>
      </c>
      <c r="BH56" s="20">
        <v>0.44219999999999998</v>
      </c>
      <c r="BI56" s="20">
        <v>1348.0872999999999</v>
      </c>
      <c r="BJ56" s="19">
        <v>51.196199999999997</v>
      </c>
      <c r="BK56">
        <v>0.98619999999999997</v>
      </c>
      <c r="BL56">
        <v>0.96899999999999997</v>
      </c>
      <c r="BM56">
        <v>0.96199999999999997</v>
      </c>
      <c r="BN56">
        <v>8</v>
      </c>
      <c r="BO56">
        <v>22.244</v>
      </c>
      <c r="BP56">
        <v>13.3</v>
      </c>
      <c r="BQ56" s="19">
        <v>91.5715</v>
      </c>
      <c r="BR56">
        <v>73.773200000000003</v>
      </c>
      <c r="BS56" s="20">
        <v>8.9510000000000005</v>
      </c>
      <c r="BT56" s="20">
        <v>8.9510000000000005</v>
      </c>
      <c r="BU56" s="20">
        <v>19.577999999999999</v>
      </c>
      <c r="BV56" s="20">
        <v>19.513999999999999</v>
      </c>
      <c r="BW56" s="19">
        <v>65.865399999999994</v>
      </c>
      <c r="BX56">
        <v>33.51</v>
      </c>
      <c r="BY56" s="5">
        <v>4252947</v>
      </c>
      <c r="BZ56" s="6">
        <v>17355363</v>
      </c>
      <c r="CA56" s="7">
        <f t="shared" si="0"/>
        <v>4.080785159090861</v>
      </c>
      <c r="CB56">
        <v>7601022</v>
      </c>
      <c r="CC56" s="8">
        <f t="shared" si="1"/>
        <v>2.283293351867683</v>
      </c>
      <c r="CD56" s="8">
        <f t="shared" si="2"/>
        <v>0.55952304834797217</v>
      </c>
      <c r="CE56">
        <v>110996</v>
      </c>
      <c r="CF56" s="8">
        <f t="shared" si="3"/>
        <v>38.316218602472162</v>
      </c>
      <c r="CG56" s="8">
        <f t="shared" si="4"/>
        <v>156.36025622544958</v>
      </c>
      <c r="CH56">
        <v>87.935730000000007</v>
      </c>
    </row>
    <row r="57" spans="1:86" ht="15.5" x14ac:dyDescent="0.35">
      <c r="A57" t="s">
        <v>88</v>
      </c>
      <c r="B57">
        <v>2007</v>
      </c>
      <c r="C57" s="2">
        <v>44.775100000000002</v>
      </c>
      <c r="D57">
        <v>56646.46</v>
      </c>
      <c r="E57">
        <v>0.37380000000000002</v>
      </c>
      <c r="F57">
        <v>7.6387</v>
      </c>
      <c r="G57">
        <v>68000</v>
      </c>
      <c r="H57">
        <v>9</v>
      </c>
      <c r="I57" s="19">
        <v>81.78</v>
      </c>
      <c r="J57" s="19">
        <v>86.64</v>
      </c>
      <c r="K57" s="19">
        <v>5.1950000000000003</v>
      </c>
      <c r="L57" s="19">
        <v>50.9709</v>
      </c>
      <c r="M57" s="19">
        <v>-10616000000</v>
      </c>
      <c r="N57" s="19">
        <v>72.990099999999998</v>
      </c>
      <c r="O57">
        <v>36.408000000000001</v>
      </c>
      <c r="P57">
        <v>8.2916000000000007</v>
      </c>
      <c r="Q57" s="19">
        <v>5815.4740000000002</v>
      </c>
      <c r="R57" s="19">
        <v>6054.2325000000001</v>
      </c>
      <c r="S57" s="19">
        <v>7.4414999999999996</v>
      </c>
      <c r="T57" s="19">
        <v>20433.4719</v>
      </c>
      <c r="U57" s="19">
        <v>12822.3262</v>
      </c>
      <c r="V57">
        <v>36.1</v>
      </c>
      <c r="W57" s="19">
        <v>51.941699999999997</v>
      </c>
      <c r="X57">
        <v>95</v>
      </c>
      <c r="Y57">
        <v>95</v>
      </c>
      <c r="Z57">
        <v>96</v>
      </c>
      <c r="AA57">
        <v>9.9</v>
      </c>
      <c r="AB57">
        <v>33.6</v>
      </c>
      <c r="AC57">
        <v>72.663399999999996</v>
      </c>
      <c r="AD57">
        <v>95.483000000000004</v>
      </c>
      <c r="AE57">
        <v>11</v>
      </c>
      <c r="AF57">
        <v>79.461600000000004</v>
      </c>
      <c r="AG57">
        <v>14.3</v>
      </c>
      <c r="AH57">
        <v>0.95</v>
      </c>
      <c r="AI57">
        <v>11.8</v>
      </c>
      <c r="AJ57">
        <v>10.6</v>
      </c>
      <c r="AK57">
        <v>13</v>
      </c>
      <c r="AL57">
        <v>53.687100000000001</v>
      </c>
      <c r="AM57">
        <v>5.3</v>
      </c>
      <c r="AN57">
        <v>-16366</v>
      </c>
      <c r="AO57">
        <v>0</v>
      </c>
      <c r="AP57">
        <v>99.537400000000005</v>
      </c>
      <c r="AQ57">
        <v>85.9</v>
      </c>
      <c r="AR57">
        <v>93.3108</v>
      </c>
      <c r="AS57">
        <v>49.607399999999998</v>
      </c>
      <c r="AT57">
        <v>61.972499999999997</v>
      </c>
      <c r="AU57">
        <v>24.668800000000001</v>
      </c>
      <c r="AV57" s="19">
        <v>56.038600000000002</v>
      </c>
      <c r="AW57">
        <v>1.8</v>
      </c>
      <c r="AY57">
        <v>4</v>
      </c>
      <c r="AZ57">
        <v>4</v>
      </c>
      <c r="BA57">
        <v>58.420999999999999</v>
      </c>
      <c r="BB57">
        <v>21.666699999999999</v>
      </c>
      <c r="BC57">
        <v>3.4321000000000002</v>
      </c>
      <c r="BD57" s="19">
        <v>6.6539999999999999</v>
      </c>
      <c r="BE57" s="19">
        <v>70.873800000000003</v>
      </c>
      <c r="BF57">
        <v>7.5776000000000003</v>
      </c>
      <c r="BG57">
        <v>8.8000000000000007</v>
      </c>
      <c r="BH57" s="20">
        <v>0.43</v>
      </c>
      <c r="BI57" s="20">
        <v>1471.4789000000001</v>
      </c>
      <c r="BJ57" s="19">
        <v>52.631599999999999</v>
      </c>
      <c r="BK57">
        <v>0.9879</v>
      </c>
      <c r="BL57">
        <v>0.96899999999999997</v>
      </c>
      <c r="BM57">
        <v>0.96120000000000005</v>
      </c>
      <c r="BN57">
        <v>8</v>
      </c>
      <c r="BO57">
        <v>19.146000000000001</v>
      </c>
      <c r="BP57">
        <v>12.37</v>
      </c>
      <c r="BQ57" s="19">
        <v>93.823800000000006</v>
      </c>
      <c r="BR57">
        <v>79.84</v>
      </c>
      <c r="BS57" s="20">
        <v>6.8780000000000001</v>
      </c>
      <c r="BT57" s="20">
        <v>6.8780000000000001</v>
      </c>
      <c r="BU57" s="20">
        <v>15.183</v>
      </c>
      <c r="BV57" s="20">
        <v>15.117000000000001</v>
      </c>
      <c r="BW57" s="19">
        <v>68.269199999999998</v>
      </c>
      <c r="BX57">
        <v>32.840000000000003</v>
      </c>
      <c r="BY57" s="5">
        <v>4764255</v>
      </c>
      <c r="BZ57" s="6">
        <v>17976658</v>
      </c>
      <c r="CA57" s="7">
        <f t="shared" si="0"/>
        <v>3.7732358994218402</v>
      </c>
      <c r="CB57">
        <v>7545338</v>
      </c>
      <c r="CC57" s="8">
        <f t="shared" si="1"/>
        <v>2.3824854499559862</v>
      </c>
      <c r="CD57" s="8">
        <f t="shared" si="2"/>
        <v>0.63141704188732173</v>
      </c>
      <c r="CE57">
        <v>110996</v>
      </c>
      <c r="CF57" s="8">
        <f t="shared" si="3"/>
        <v>42.922762982449818</v>
      </c>
      <c r="CG57" s="8">
        <f t="shared" si="4"/>
        <v>161.95771018775451</v>
      </c>
      <c r="CH57">
        <v>92.0441</v>
      </c>
    </row>
    <row r="58" spans="1:86" ht="15.5" x14ac:dyDescent="0.35">
      <c r="A58" t="s">
        <v>88</v>
      </c>
      <c r="B58">
        <v>2008</v>
      </c>
      <c r="C58" s="2">
        <v>45.037300000000002</v>
      </c>
      <c r="D58">
        <v>56009.88</v>
      </c>
      <c r="E58">
        <v>0.33339999999999997</v>
      </c>
      <c r="F58">
        <v>7.282</v>
      </c>
      <c r="G58">
        <v>66100</v>
      </c>
      <c r="H58">
        <v>9</v>
      </c>
      <c r="I58" s="19">
        <v>91.552999999999997</v>
      </c>
      <c r="J58" s="19">
        <v>92.87</v>
      </c>
      <c r="K58" s="19">
        <v>4.5810000000000004</v>
      </c>
      <c r="L58" s="19">
        <v>48.543700000000001</v>
      </c>
      <c r="M58" s="19">
        <v>-12026000000</v>
      </c>
      <c r="N58" s="19">
        <v>88.140699999999995</v>
      </c>
      <c r="O58">
        <v>36.228000000000002</v>
      </c>
      <c r="P58">
        <v>11.1942</v>
      </c>
      <c r="Q58" s="19">
        <v>7161.75</v>
      </c>
      <c r="R58" s="19">
        <v>6470.5897000000004</v>
      </c>
      <c r="S58" s="19">
        <v>6.8771000000000004</v>
      </c>
      <c r="T58" s="19">
        <v>21838.707699999999</v>
      </c>
      <c r="U58" s="19">
        <v>14346.876399999999</v>
      </c>
      <c r="V58">
        <v>33.6</v>
      </c>
      <c r="W58" s="19">
        <v>50.9709</v>
      </c>
      <c r="X58">
        <v>95</v>
      </c>
      <c r="Y58">
        <v>96</v>
      </c>
      <c r="Z58">
        <v>96</v>
      </c>
      <c r="AA58">
        <v>9.6</v>
      </c>
      <c r="AB58">
        <v>39.700000000000003</v>
      </c>
      <c r="AC58">
        <v>72.963399999999993</v>
      </c>
      <c r="AD58">
        <v>95.602500000000006</v>
      </c>
      <c r="AE58">
        <v>10</v>
      </c>
      <c r="AF58">
        <v>79.590199999999996</v>
      </c>
      <c r="AG58">
        <v>14.5</v>
      </c>
      <c r="AH58">
        <v>0.91</v>
      </c>
      <c r="AI58">
        <v>11.4</v>
      </c>
      <c r="AJ58">
        <v>10.199999999999999</v>
      </c>
      <c r="AK58">
        <v>12.6</v>
      </c>
      <c r="AL58">
        <v>53.679600000000001</v>
      </c>
      <c r="AM58">
        <v>5.2</v>
      </c>
      <c r="AN58">
        <v>-17595</v>
      </c>
      <c r="AO58">
        <v>0</v>
      </c>
      <c r="AP58">
        <v>99.500799999999998</v>
      </c>
      <c r="AQ58">
        <v>85.910600000000002</v>
      </c>
      <c r="AR58">
        <v>93.832700000000003</v>
      </c>
      <c r="AS58">
        <v>49.463500000000003</v>
      </c>
      <c r="AT58">
        <v>62.834699999999998</v>
      </c>
      <c r="AU58">
        <v>23.875</v>
      </c>
      <c r="AV58" s="19">
        <v>56.25</v>
      </c>
      <c r="AW58">
        <v>1.3</v>
      </c>
      <c r="AY58">
        <v>4</v>
      </c>
      <c r="AZ58">
        <v>4</v>
      </c>
      <c r="BA58">
        <v>59.040199999999999</v>
      </c>
      <c r="BB58">
        <v>21.666699999999999</v>
      </c>
      <c r="BC58">
        <v>3.4805999999999999</v>
      </c>
      <c r="BD58" s="19">
        <v>6.13</v>
      </c>
      <c r="BE58" s="19">
        <v>73.301000000000002</v>
      </c>
      <c r="BF58">
        <v>7.5819999999999999</v>
      </c>
      <c r="BG58">
        <v>9.9</v>
      </c>
      <c r="BH58" s="20">
        <v>0.44729999999999998</v>
      </c>
      <c r="BI58" s="20">
        <v>1505.751</v>
      </c>
      <c r="BJ58" s="19">
        <v>51.923099999999998</v>
      </c>
      <c r="BK58">
        <v>0.995</v>
      </c>
      <c r="BL58">
        <v>0.97709999999999997</v>
      </c>
      <c r="BM58">
        <v>0.96919999999999995</v>
      </c>
      <c r="BN58">
        <v>8</v>
      </c>
      <c r="BO58">
        <v>16.792000000000002</v>
      </c>
      <c r="BP58">
        <v>13.06</v>
      </c>
      <c r="BQ58" s="19">
        <v>94.039500000000004</v>
      </c>
      <c r="BR58">
        <v>83.3309</v>
      </c>
      <c r="BS58" s="20">
        <v>5.609</v>
      </c>
      <c r="BT58" s="20">
        <v>5.609</v>
      </c>
      <c r="BU58" s="20">
        <v>12.804</v>
      </c>
      <c r="BV58" s="20">
        <v>12.728</v>
      </c>
      <c r="BW58" s="19">
        <v>65.865399999999994</v>
      </c>
      <c r="BX58">
        <v>34.08</v>
      </c>
      <c r="BY58" s="5">
        <v>4971863</v>
      </c>
      <c r="BZ58" s="6">
        <v>18182923</v>
      </c>
      <c r="CA58" s="7">
        <f t="shared" si="0"/>
        <v>3.6571649299266693</v>
      </c>
      <c r="CB58">
        <v>7492561</v>
      </c>
      <c r="CC58" s="8">
        <f t="shared" si="1"/>
        <v>2.4267967921782687</v>
      </c>
      <c r="CD58" s="8">
        <f t="shared" si="2"/>
        <v>0.6635732428471387</v>
      </c>
      <c r="CE58">
        <v>110996</v>
      </c>
      <c r="CF58" s="8">
        <f t="shared" si="3"/>
        <v>44.793172726945116</v>
      </c>
      <c r="CG58" s="8">
        <f t="shared" si="4"/>
        <v>163.81602039713144</v>
      </c>
      <c r="CH58">
        <v>99.435059999999993</v>
      </c>
    </row>
    <row r="59" spans="1:86" ht="15.5" x14ac:dyDescent="0.35">
      <c r="A59" t="s">
        <v>88</v>
      </c>
      <c r="B59">
        <v>2009</v>
      </c>
      <c r="C59" s="2">
        <v>45.512</v>
      </c>
      <c r="D59">
        <v>50755.85</v>
      </c>
      <c r="E59">
        <v>0.29420000000000002</v>
      </c>
      <c r="F59">
        <v>6.2508999999999997</v>
      </c>
      <c r="G59">
        <v>57200</v>
      </c>
      <c r="H59">
        <v>9</v>
      </c>
      <c r="I59" s="19">
        <v>93.813000000000002</v>
      </c>
      <c r="J59" s="19">
        <v>94.39</v>
      </c>
      <c r="K59" s="19">
        <v>3.16</v>
      </c>
      <c r="L59" s="19">
        <v>50.717700000000001</v>
      </c>
      <c r="M59" s="19">
        <v>-4326000000</v>
      </c>
      <c r="N59" s="19">
        <v>64.319199999999995</v>
      </c>
      <c r="O59">
        <v>36.417999999999999</v>
      </c>
      <c r="P59">
        <v>13.3284</v>
      </c>
      <c r="Q59" s="19">
        <v>6878.0609999999997</v>
      </c>
      <c r="R59" s="19">
        <v>6294.4333999999999</v>
      </c>
      <c r="S59" s="19">
        <v>-2.7223999999999999</v>
      </c>
      <c r="T59" s="19">
        <v>21244.1675</v>
      </c>
      <c r="U59" s="19">
        <v>14180.6842</v>
      </c>
      <c r="V59">
        <v>33.799999999999997</v>
      </c>
      <c r="W59" s="19">
        <v>57.8947</v>
      </c>
      <c r="X59">
        <v>94</v>
      </c>
      <c r="Y59">
        <v>96</v>
      </c>
      <c r="Z59">
        <v>96</v>
      </c>
      <c r="AA59">
        <v>9.3000000000000007</v>
      </c>
      <c r="AB59">
        <v>45</v>
      </c>
      <c r="AC59">
        <v>73.412199999999999</v>
      </c>
      <c r="AD59">
        <v>97.328400000000002</v>
      </c>
      <c r="AE59">
        <v>9</v>
      </c>
      <c r="AF59">
        <v>79.857399999999998</v>
      </c>
      <c r="AG59">
        <v>12.4</v>
      </c>
      <c r="AH59">
        <v>0.74</v>
      </c>
      <c r="AI59">
        <v>11.2</v>
      </c>
      <c r="AJ59">
        <v>10</v>
      </c>
      <c r="AK59">
        <v>12.3</v>
      </c>
      <c r="AL59">
        <v>54.003799999999998</v>
      </c>
      <c r="AM59">
        <v>5.2</v>
      </c>
      <c r="AN59">
        <v>-19060</v>
      </c>
      <c r="AO59">
        <v>0</v>
      </c>
      <c r="AP59">
        <v>99.465000000000003</v>
      </c>
      <c r="AQ59">
        <v>85.921000000000006</v>
      </c>
      <c r="AR59">
        <v>94.354900000000001</v>
      </c>
      <c r="AS59">
        <v>49.367400000000004</v>
      </c>
      <c r="AT59">
        <v>63.709499999999998</v>
      </c>
      <c r="AU59">
        <v>23.209900000000001</v>
      </c>
      <c r="AV59" s="19">
        <v>55.924199999999999</v>
      </c>
      <c r="AW59">
        <v>1.3</v>
      </c>
      <c r="AY59">
        <v>4</v>
      </c>
      <c r="AZ59">
        <v>4</v>
      </c>
      <c r="BA59">
        <v>59.688400000000001</v>
      </c>
      <c r="BB59">
        <v>20.833300000000001</v>
      </c>
      <c r="BC59">
        <v>3.5488</v>
      </c>
      <c r="BD59" s="19">
        <v>-3.347</v>
      </c>
      <c r="BE59" s="19">
        <v>73.205699999999993</v>
      </c>
      <c r="BF59">
        <v>10.0107</v>
      </c>
      <c r="BG59">
        <v>11.6</v>
      </c>
      <c r="BH59" s="20">
        <v>0.49340000000000001</v>
      </c>
      <c r="BI59" s="20">
        <v>1593.4312</v>
      </c>
      <c r="BJ59" s="19">
        <v>54.028399999999998</v>
      </c>
      <c r="BK59">
        <v>0.99870000000000003</v>
      </c>
      <c r="BL59">
        <v>0.97660000000000002</v>
      </c>
      <c r="BM59">
        <v>0.96640000000000004</v>
      </c>
      <c r="BN59">
        <v>8</v>
      </c>
      <c r="BO59">
        <v>19.808</v>
      </c>
      <c r="BP59">
        <v>12.3</v>
      </c>
      <c r="BQ59" s="19">
        <v>95.527699999999996</v>
      </c>
      <c r="BR59">
        <v>79.129400000000004</v>
      </c>
      <c r="BS59" s="20">
        <v>6.8170000000000002</v>
      </c>
      <c r="BT59" s="20">
        <v>6.8170000000000002</v>
      </c>
      <c r="BU59" s="20">
        <v>16.263000000000002</v>
      </c>
      <c r="BV59" s="20">
        <v>16.157</v>
      </c>
      <c r="BW59" s="19">
        <v>64.928899999999999</v>
      </c>
      <c r="BX59">
        <v>34.130000000000003</v>
      </c>
      <c r="BY59" s="5">
        <v>4340663</v>
      </c>
      <c r="BZ59" s="6">
        <v>15277000</v>
      </c>
      <c r="CA59" s="7">
        <f t="shared" si="0"/>
        <v>3.5195084253258084</v>
      </c>
      <c r="CB59">
        <v>7444443</v>
      </c>
      <c r="CC59" s="8">
        <f t="shared" si="1"/>
        <v>2.0521347265336036</v>
      </c>
      <c r="CD59" s="8">
        <f t="shared" si="2"/>
        <v>0.58307424746216741</v>
      </c>
      <c r="CE59">
        <v>110996</v>
      </c>
      <c r="CF59" s="8">
        <f t="shared" si="3"/>
        <v>39.106481314641968</v>
      </c>
      <c r="CG59" s="8">
        <f t="shared" si="4"/>
        <v>137.6355904717287</v>
      </c>
      <c r="CH59">
        <v>102.90799</v>
      </c>
    </row>
    <row r="60" spans="1:86" ht="15.5" x14ac:dyDescent="0.35">
      <c r="A60" t="s">
        <v>88</v>
      </c>
      <c r="B60">
        <v>2010</v>
      </c>
      <c r="C60" s="2">
        <v>46.207599999999999</v>
      </c>
      <c r="D60">
        <v>48824.69</v>
      </c>
      <c r="E60">
        <v>0.30819999999999997</v>
      </c>
      <c r="F60">
        <v>6.6942000000000004</v>
      </c>
      <c r="G60">
        <v>59900</v>
      </c>
      <c r="H60">
        <v>9</v>
      </c>
      <c r="I60" s="19">
        <v>96.664000000000001</v>
      </c>
      <c r="J60" s="19">
        <v>98.59</v>
      </c>
      <c r="K60" s="19">
        <v>4.1509999999999998</v>
      </c>
      <c r="L60" s="19">
        <v>51.904800000000002</v>
      </c>
      <c r="M60" s="19">
        <v>-874000000</v>
      </c>
      <c r="N60" s="19">
        <v>81.3125</v>
      </c>
      <c r="O60">
        <v>38.585999999999999</v>
      </c>
      <c r="P60">
        <v>15.1221</v>
      </c>
      <c r="Q60" s="19">
        <v>6754.23</v>
      </c>
      <c r="R60" s="19">
        <v>6434.5524999999998</v>
      </c>
      <c r="S60" s="19">
        <v>2.2261000000000002</v>
      </c>
      <c r="T60" s="19">
        <v>21717.079399999999</v>
      </c>
      <c r="U60" s="19">
        <v>14955.954400000001</v>
      </c>
      <c r="V60">
        <v>35.700000000000003</v>
      </c>
      <c r="W60" s="19">
        <v>54.545499999999997</v>
      </c>
      <c r="X60">
        <v>94</v>
      </c>
      <c r="Y60">
        <v>95</v>
      </c>
      <c r="Z60">
        <v>97</v>
      </c>
      <c r="AA60">
        <v>9.1</v>
      </c>
      <c r="AB60">
        <v>46.2</v>
      </c>
      <c r="AC60">
        <v>73.512200000000007</v>
      </c>
      <c r="AD60">
        <v>95.886300000000006</v>
      </c>
      <c r="AE60">
        <v>9</v>
      </c>
      <c r="AF60">
        <v>82.793700000000001</v>
      </c>
      <c r="AG60">
        <v>10.8</v>
      </c>
      <c r="AH60">
        <v>0.81</v>
      </c>
      <c r="AI60">
        <v>10.8</v>
      </c>
      <c r="AJ60">
        <v>9.6999999999999993</v>
      </c>
      <c r="AK60">
        <v>12</v>
      </c>
      <c r="AL60">
        <v>53.968200000000003</v>
      </c>
      <c r="AM60">
        <v>5.0999999999999996</v>
      </c>
      <c r="AN60">
        <v>-21668</v>
      </c>
      <c r="AO60">
        <v>0</v>
      </c>
      <c r="AP60">
        <v>99.4298</v>
      </c>
      <c r="AQ60">
        <v>85.931399999999996</v>
      </c>
      <c r="AR60">
        <v>94.877300000000005</v>
      </c>
      <c r="AS60">
        <v>50.123800000000003</v>
      </c>
      <c r="AT60">
        <v>64.596999999999994</v>
      </c>
      <c r="AU60">
        <v>22.931100000000001</v>
      </c>
      <c r="AV60" s="19">
        <v>57.819899999999997</v>
      </c>
      <c r="AW60">
        <v>2</v>
      </c>
      <c r="AY60">
        <v>4</v>
      </c>
      <c r="AZ60">
        <v>4</v>
      </c>
      <c r="BA60">
        <v>60.588200000000001</v>
      </c>
      <c r="BB60">
        <v>20.833300000000001</v>
      </c>
      <c r="BC60">
        <v>3.9190999999999998</v>
      </c>
      <c r="BD60" s="19">
        <v>1.5549999999999999</v>
      </c>
      <c r="BE60" s="19">
        <v>73.684200000000004</v>
      </c>
      <c r="BF60">
        <v>13.770200000000001</v>
      </c>
      <c r="BG60">
        <v>14.3</v>
      </c>
      <c r="BH60" s="20">
        <v>0.56299999999999994</v>
      </c>
      <c r="BI60" s="20">
        <v>1470.6931999999999</v>
      </c>
      <c r="BJ60" s="19">
        <v>51.658799999999999</v>
      </c>
      <c r="BK60">
        <v>0.99690000000000001</v>
      </c>
      <c r="BL60">
        <v>0.97030000000000005</v>
      </c>
      <c r="BM60">
        <v>0.95760000000000001</v>
      </c>
      <c r="BN60">
        <v>8</v>
      </c>
      <c r="BO60">
        <v>21.145</v>
      </c>
      <c r="BP60">
        <v>12.4</v>
      </c>
      <c r="BQ60" s="19">
        <v>96.328100000000006</v>
      </c>
      <c r="BR60">
        <v>70.159700000000001</v>
      </c>
      <c r="BS60" s="20">
        <v>10.279</v>
      </c>
      <c r="BT60" s="20">
        <v>10.279</v>
      </c>
      <c r="BU60" s="20">
        <v>21.95</v>
      </c>
      <c r="BV60" s="20">
        <v>21.919</v>
      </c>
      <c r="BW60" s="19">
        <v>64.454999999999998</v>
      </c>
      <c r="BX60">
        <v>31.32</v>
      </c>
      <c r="BY60" s="5">
        <v>4344510</v>
      </c>
      <c r="BZ60" s="6">
        <v>16139116</v>
      </c>
      <c r="CA60" s="7">
        <f t="shared" si="0"/>
        <v>3.7148299808263765</v>
      </c>
      <c r="CB60">
        <v>7395599</v>
      </c>
      <c r="CC60" s="8">
        <f t="shared" si="1"/>
        <v>2.1822594762101084</v>
      </c>
      <c r="CD60" s="8">
        <f t="shared" si="2"/>
        <v>0.58744531714063997</v>
      </c>
      <c r="CE60">
        <v>110996</v>
      </c>
      <c r="CF60" s="8">
        <f t="shared" si="3"/>
        <v>39.141140221269232</v>
      </c>
      <c r="CG60" s="8">
        <f t="shared" si="4"/>
        <v>145.40268117770009</v>
      </c>
      <c r="CH60">
        <v>103.20157</v>
      </c>
    </row>
    <row r="61" spans="1:86" ht="15.5" x14ac:dyDescent="0.35">
      <c r="A61" t="s">
        <v>88</v>
      </c>
      <c r="B61">
        <v>2011</v>
      </c>
      <c r="C61" s="2">
        <v>47.133400000000002</v>
      </c>
      <c r="D61">
        <v>50159.24</v>
      </c>
      <c r="E61">
        <v>0.33410000000000001</v>
      </c>
      <c r="F61">
        <v>7.4550999999999998</v>
      </c>
      <c r="G61">
        <v>65200</v>
      </c>
      <c r="H61">
        <v>11</v>
      </c>
      <c r="I61" s="19">
        <v>99.938000000000002</v>
      </c>
      <c r="J61" s="19">
        <v>100.6</v>
      </c>
      <c r="K61" s="19">
        <v>4.6689999999999996</v>
      </c>
      <c r="L61" s="19">
        <v>50.237000000000002</v>
      </c>
      <c r="M61" s="19">
        <v>190000000</v>
      </c>
      <c r="N61" s="19">
        <v>111.1836</v>
      </c>
      <c r="O61">
        <v>38.042999999999999</v>
      </c>
      <c r="P61">
        <v>17.029699999999998</v>
      </c>
      <c r="Q61" s="19">
        <v>7872.2250000000004</v>
      </c>
      <c r="R61" s="19">
        <v>6611.3038999999999</v>
      </c>
      <c r="S61" s="19">
        <v>2.7469000000000001</v>
      </c>
      <c r="T61" s="19">
        <v>22313.628100000002</v>
      </c>
      <c r="U61" s="19">
        <v>15747.39</v>
      </c>
      <c r="V61">
        <v>34.299999999999997</v>
      </c>
      <c r="W61" s="19">
        <v>54.028399999999998</v>
      </c>
      <c r="X61">
        <v>95</v>
      </c>
      <c r="Y61">
        <v>96</v>
      </c>
      <c r="Z61">
        <v>95</v>
      </c>
      <c r="AA61">
        <v>8.6999999999999993</v>
      </c>
      <c r="AB61">
        <v>48</v>
      </c>
      <c r="AC61">
        <v>74.163399999999996</v>
      </c>
      <c r="AD61">
        <v>97.607900000000001</v>
      </c>
      <c r="AE61">
        <v>8</v>
      </c>
      <c r="AF61">
        <v>83.055099999999996</v>
      </c>
      <c r="AG61">
        <v>9.1999999999999993</v>
      </c>
      <c r="AH61">
        <v>0.71</v>
      </c>
      <c r="AI61">
        <v>10.4</v>
      </c>
      <c r="AJ61">
        <v>9.3000000000000007</v>
      </c>
      <c r="AK61">
        <v>11.5</v>
      </c>
      <c r="AL61">
        <v>54.360100000000003</v>
      </c>
      <c r="AM61">
        <v>4.9000000000000004</v>
      </c>
      <c r="AN61">
        <v>-23360</v>
      </c>
      <c r="AO61">
        <v>0</v>
      </c>
      <c r="AP61">
        <v>99.395300000000006</v>
      </c>
      <c r="AQ61">
        <v>85.941699999999997</v>
      </c>
      <c r="AR61">
        <v>95.4</v>
      </c>
      <c r="AS61">
        <v>51.138500000000001</v>
      </c>
      <c r="AT61">
        <v>65.497100000000003</v>
      </c>
      <c r="AU61">
        <v>26.191400000000002</v>
      </c>
      <c r="AV61" s="19">
        <v>55.924199999999999</v>
      </c>
      <c r="AW61">
        <v>2.5</v>
      </c>
      <c r="AY61">
        <v>4</v>
      </c>
      <c r="AZ61">
        <v>4</v>
      </c>
      <c r="BA61">
        <v>61.568300000000001</v>
      </c>
      <c r="BB61">
        <v>20.833300000000001</v>
      </c>
      <c r="BC61">
        <v>3.8452000000000002</v>
      </c>
      <c r="BD61" s="19">
        <v>2.09</v>
      </c>
      <c r="BE61" s="19">
        <v>69.194299999999998</v>
      </c>
      <c r="BF61">
        <v>9.27</v>
      </c>
      <c r="BG61">
        <v>13.2</v>
      </c>
      <c r="BH61" s="20">
        <v>0.52949999999999997</v>
      </c>
      <c r="BI61" s="20">
        <v>1606.2057</v>
      </c>
      <c r="BJ61" s="19">
        <v>51.173699999999997</v>
      </c>
      <c r="BK61">
        <v>0.99509999999999998</v>
      </c>
      <c r="BL61">
        <v>0.96630000000000005</v>
      </c>
      <c r="BM61">
        <v>0.9526</v>
      </c>
      <c r="BN61">
        <v>8</v>
      </c>
      <c r="BO61">
        <v>22.4</v>
      </c>
      <c r="BP61">
        <v>11.07</v>
      </c>
      <c r="BQ61" s="19">
        <v>95.4251</v>
      </c>
      <c r="BR61">
        <v>66.486500000000007</v>
      </c>
      <c r="BS61" s="20">
        <v>11.26</v>
      </c>
      <c r="BT61" s="20">
        <v>11.26</v>
      </c>
      <c r="BU61" s="20">
        <v>25.056000000000001</v>
      </c>
      <c r="BV61" s="20">
        <v>25.027000000000001</v>
      </c>
      <c r="BW61" s="19">
        <v>61.502299999999998</v>
      </c>
      <c r="BX61">
        <v>30.5</v>
      </c>
      <c r="BY61" s="5">
        <v>4936967</v>
      </c>
      <c r="BZ61" s="6">
        <v>18656061</v>
      </c>
      <c r="CA61" s="7">
        <f t="shared" si="0"/>
        <v>3.7788506587141457</v>
      </c>
      <c r="CB61">
        <v>7348328</v>
      </c>
      <c r="CC61" s="8">
        <f t="shared" si="1"/>
        <v>2.5388171295565467</v>
      </c>
      <c r="CD61" s="8">
        <f t="shared" si="2"/>
        <v>0.67184902470330665</v>
      </c>
      <c r="CE61">
        <v>110996</v>
      </c>
      <c r="CF61" s="8">
        <f t="shared" si="3"/>
        <v>44.478783019207903</v>
      </c>
      <c r="CG61" s="8">
        <f t="shared" si="4"/>
        <v>168.07867851093732</v>
      </c>
      <c r="CH61">
        <v>103.59674</v>
      </c>
    </row>
    <row r="62" spans="1:86" ht="15.5" x14ac:dyDescent="0.35">
      <c r="A62" s="9" t="s">
        <v>88</v>
      </c>
      <c r="B62" s="9">
        <v>2012</v>
      </c>
      <c r="C62" s="10">
        <v>48.1663</v>
      </c>
      <c r="D62" s="9">
        <v>47142.6</v>
      </c>
      <c r="E62" s="9">
        <v>0.30220000000000002</v>
      </c>
      <c r="F62" s="9">
        <v>6.8322000000000003</v>
      </c>
      <c r="G62" s="9">
        <v>60300</v>
      </c>
      <c r="H62" s="9">
        <v>11</v>
      </c>
      <c r="I62" s="21">
        <v>102.327</v>
      </c>
      <c r="J62" s="21">
        <v>103.38</v>
      </c>
      <c r="K62" s="21">
        <v>3.8420000000000001</v>
      </c>
      <c r="L62" s="21">
        <v>48.815199999999997</v>
      </c>
      <c r="M62" s="21">
        <v>-460000000</v>
      </c>
      <c r="N62" s="21">
        <v>105.18300000000001</v>
      </c>
      <c r="O62" s="9">
        <v>36.804000000000002</v>
      </c>
      <c r="P62" s="9">
        <v>18.200700000000001</v>
      </c>
      <c r="Q62" s="21">
        <v>7453.7259999999997</v>
      </c>
      <c r="R62" s="21">
        <v>6699.5029999999997</v>
      </c>
      <c r="S62" s="21">
        <v>1.3341000000000001</v>
      </c>
      <c r="T62" s="21">
        <v>22611.3066</v>
      </c>
      <c r="U62" s="21">
        <v>16327.2534</v>
      </c>
      <c r="V62" s="9">
        <v>36</v>
      </c>
      <c r="W62" s="21">
        <v>55.450200000000002</v>
      </c>
      <c r="X62" s="9">
        <v>95</v>
      </c>
      <c r="Y62" s="9">
        <v>95</v>
      </c>
      <c r="Z62" s="9">
        <v>94</v>
      </c>
      <c r="AA62" s="9">
        <v>8.3000000000000007</v>
      </c>
      <c r="AB62" s="9">
        <v>51.9</v>
      </c>
      <c r="AC62" s="9">
        <v>74.314599999999999</v>
      </c>
      <c r="AD62" s="9">
        <v>97.723799999999997</v>
      </c>
      <c r="AE62" s="9">
        <v>7</v>
      </c>
      <c r="AF62" s="9">
        <v>83.233199999999997</v>
      </c>
      <c r="AG62" s="9">
        <v>8.5</v>
      </c>
      <c r="AH62" s="9">
        <v>0.54</v>
      </c>
      <c r="AI62" s="9">
        <v>9.9</v>
      </c>
      <c r="AJ62" s="9">
        <v>8.8000000000000007</v>
      </c>
      <c r="AK62" s="9">
        <v>10.9</v>
      </c>
      <c r="AL62" s="9">
        <v>54.792499999999997</v>
      </c>
      <c r="AM62" s="9">
        <v>4.7</v>
      </c>
      <c r="AN62" s="9">
        <v>-26334</v>
      </c>
      <c r="AO62" s="9">
        <v>0</v>
      </c>
      <c r="AP62" s="9">
        <v>99.361599999999996</v>
      </c>
      <c r="AQ62" s="9">
        <v>85.951999999999998</v>
      </c>
      <c r="AR62" s="9">
        <v>95.922899999999998</v>
      </c>
      <c r="AS62" s="9">
        <v>52.203600000000002</v>
      </c>
      <c r="AT62" s="9">
        <v>66.409899999999993</v>
      </c>
      <c r="AU62" s="9">
        <v>23.086400000000001</v>
      </c>
      <c r="AV62" s="21">
        <v>58.767800000000001</v>
      </c>
      <c r="AW62" s="9">
        <v>2.2999999999999998</v>
      </c>
      <c r="AX62" s="9"/>
      <c r="AY62" s="9">
        <v>4</v>
      </c>
      <c r="AZ62" s="9">
        <v>4</v>
      </c>
      <c r="BA62" s="9">
        <v>62.570700000000002</v>
      </c>
      <c r="BB62" s="9">
        <v>22.916699999999999</v>
      </c>
      <c r="BC62" s="9">
        <v>3.8298999999999999</v>
      </c>
      <c r="BD62" s="21">
        <v>0.749</v>
      </c>
      <c r="BE62" s="21">
        <v>69.194299999999998</v>
      </c>
      <c r="BF62" s="9">
        <v>12.773899999999999</v>
      </c>
      <c r="BG62" s="9">
        <v>15.6</v>
      </c>
      <c r="BH62" s="22">
        <v>0.60040000000000004</v>
      </c>
      <c r="BI62" s="22">
        <v>1537.4066</v>
      </c>
      <c r="BJ62" s="21">
        <v>51.6432</v>
      </c>
      <c r="BK62" s="9">
        <v>0.99160000000000004</v>
      </c>
      <c r="BL62" s="9">
        <v>0.96960000000000002</v>
      </c>
      <c r="BM62" s="9">
        <v>0.9587</v>
      </c>
      <c r="BN62" s="9">
        <v>8</v>
      </c>
      <c r="BO62" s="9">
        <v>21.591999999999999</v>
      </c>
      <c r="BP62" s="9">
        <v>12.63</v>
      </c>
      <c r="BQ62" s="21">
        <v>95.274100000000004</v>
      </c>
      <c r="BR62" s="9">
        <v>62.817500000000003</v>
      </c>
      <c r="BS62" s="22">
        <v>12.27</v>
      </c>
      <c r="BT62" s="22">
        <v>12.27</v>
      </c>
      <c r="BU62" s="22">
        <v>28.11</v>
      </c>
      <c r="BV62" s="22">
        <v>28.094000000000001</v>
      </c>
      <c r="BW62" s="21">
        <v>61.502299999999998</v>
      </c>
      <c r="BX62" s="9">
        <v>31.28</v>
      </c>
      <c r="BY62" s="14">
        <v>5494014</v>
      </c>
      <c r="BZ62" s="6">
        <v>20252038</v>
      </c>
      <c r="CA62" s="7">
        <f t="shared" si="0"/>
        <v>3.6862006540209036</v>
      </c>
      <c r="CB62">
        <v>7305888</v>
      </c>
      <c r="CC62" s="8">
        <f t="shared" si="1"/>
        <v>2.7720159411148924</v>
      </c>
      <c r="CD62" s="8">
        <f t="shared" si="2"/>
        <v>0.75199811439759279</v>
      </c>
      <c r="CE62">
        <v>110996</v>
      </c>
      <c r="CF62" s="8">
        <f t="shared" si="3"/>
        <v>49.49740531190313</v>
      </c>
      <c r="CG62" s="8">
        <f t="shared" si="4"/>
        <v>182.45736783307507</v>
      </c>
      <c r="CH62" s="9">
        <v>103.85289</v>
      </c>
    </row>
    <row r="63" spans="1:86" ht="15.5" x14ac:dyDescent="0.35">
      <c r="A63" t="s">
        <v>88</v>
      </c>
      <c r="B63">
        <v>2013</v>
      </c>
      <c r="C63" s="2">
        <v>49.308700000000002</v>
      </c>
      <c r="D63">
        <v>42814.75</v>
      </c>
      <c r="E63">
        <v>0.27050000000000002</v>
      </c>
      <c r="F63">
        <v>6.1184000000000003</v>
      </c>
      <c r="G63">
        <v>54800</v>
      </c>
      <c r="H63">
        <v>11</v>
      </c>
      <c r="I63" s="19">
        <v>102.721</v>
      </c>
      <c r="J63" s="19">
        <v>102.5</v>
      </c>
      <c r="K63" s="19">
        <v>3.1909999999999998</v>
      </c>
      <c r="L63" s="19">
        <v>45.971600000000002</v>
      </c>
      <c r="M63" s="19">
        <v>711000000</v>
      </c>
      <c r="N63" s="19">
        <v>116.5904</v>
      </c>
      <c r="O63">
        <v>37.456000000000003</v>
      </c>
      <c r="P63">
        <v>19.568200000000001</v>
      </c>
      <c r="Q63" s="19">
        <v>7703.8689999999997</v>
      </c>
      <c r="R63" s="19">
        <v>6700.5360000000001</v>
      </c>
      <c r="S63" s="19">
        <v>1.54E-2</v>
      </c>
      <c r="T63" s="19">
        <v>22614.793000000001</v>
      </c>
      <c r="U63" s="19">
        <v>16649.414499999999</v>
      </c>
      <c r="V63">
        <v>36.6</v>
      </c>
      <c r="W63" s="19">
        <v>54.976300000000002</v>
      </c>
      <c r="X63">
        <v>95</v>
      </c>
      <c r="Y63">
        <v>95</v>
      </c>
      <c r="Z63">
        <v>95</v>
      </c>
      <c r="AA63">
        <v>7.8</v>
      </c>
      <c r="AB63">
        <v>53.1</v>
      </c>
      <c r="AC63">
        <v>74.861000000000004</v>
      </c>
      <c r="AD63">
        <v>98.092799999999997</v>
      </c>
      <c r="AE63">
        <v>7</v>
      </c>
      <c r="AF63">
        <v>83.527199999999993</v>
      </c>
      <c r="AG63">
        <v>8.5</v>
      </c>
      <c r="AH63">
        <v>0.63</v>
      </c>
      <c r="AI63">
        <v>9.3000000000000007</v>
      </c>
      <c r="AJ63">
        <v>8.3000000000000007</v>
      </c>
      <c r="AK63">
        <v>10.199999999999999</v>
      </c>
      <c r="AL63">
        <v>54.994500000000002</v>
      </c>
      <c r="AM63">
        <v>4.5</v>
      </c>
      <c r="AN63">
        <v>-1324</v>
      </c>
      <c r="AO63">
        <v>0</v>
      </c>
      <c r="AP63">
        <v>99.328500000000005</v>
      </c>
      <c r="AQ63">
        <v>85.962400000000002</v>
      </c>
      <c r="AR63">
        <v>96.446200000000005</v>
      </c>
      <c r="AS63">
        <v>53.319499999999998</v>
      </c>
      <c r="AT63">
        <v>67.335599999999999</v>
      </c>
      <c r="AU63">
        <v>21.490100000000002</v>
      </c>
      <c r="AV63" s="19">
        <v>53.080599999999997</v>
      </c>
      <c r="AW63">
        <v>1.8</v>
      </c>
      <c r="AY63">
        <v>4</v>
      </c>
      <c r="AZ63">
        <v>4</v>
      </c>
      <c r="BA63">
        <v>63.595100000000002</v>
      </c>
      <c r="BB63">
        <v>24.583300000000001</v>
      </c>
      <c r="BC63">
        <v>4.0395000000000003</v>
      </c>
      <c r="BD63" s="19">
        <v>-0.54300000000000004</v>
      </c>
      <c r="BE63" s="19">
        <v>67.772499999999994</v>
      </c>
      <c r="BF63">
        <v>17.5078</v>
      </c>
      <c r="BG63">
        <v>18.2</v>
      </c>
      <c r="BH63" s="20">
        <v>0.63419999999999999</v>
      </c>
      <c r="BI63" s="20">
        <v>1685.2035000000001</v>
      </c>
      <c r="BJ63" s="19">
        <v>50.7042</v>
      </c>
      <c r="BK63">
        <v>0.99139999999999995</v>
      </c>
      <c r="BL63">
        <v>0.96689999999999998</v>
      </c>
      <c r="BM63">
        <v>0.95520000000000005</v>
      </c>
      <c r="BN63">
        <v>8</v>
      </c>
      <c r="BO63">
        <v>20.954000000000001</v>
      </c>
      <c r="BP63">
        <v>10.58</v>
      </c>
      <c r="BQ63" s="19">
        <v>95.582700000000003</v>
      </c>
      <c r="BR63">
        <v>61.734400000000001</v>
      </c>
      <c r="BS63" s="20">
        <v>12.941000000000001</v>
      </c>
      <c r="BT63" s="20">
        <v>12.941000000000001</v>
      </c>
      <c r="BU63" s="20">
        <v>28.373999999999999</v>
      </c>
      <c r="BV63" s="20">
        <v>28.361000000000001</v>
      </c>
      <c r="BW63" s="19">
        <v>58.216000000000001</v>
      </c>
      <c r="BX63">
        <v>31.14</v>
      </c>
      <c r="BY63" s="5">
        <v>5847289</v>
      </c>
      <c r="BZ63" s="6">
        <v>21617474</v>
      </c>
      <c r="CA63" s="7">
        <f t="shared" si="0"/>
        <v>3.6970079638615432</v>
      </c>
      <c r="CB63">
        <v>7265115</v>
      </c>
      <c r="CC63" s="8">
        <f t="shared" si="1"/>
        <v>2.9755171115667132</v>
      </c>
      <c r="CD63" s="8">
        <f t="shared" si="2"/>
        <v>0.80484465834332974</v>
      </c>
      <c r="CE63">
        <v>110996</v>
      </c>
      <c r="CF63" s="8">
        <f t="shared" si="3"/>
        <v>52.680177664059968</v>
      </c>
      <c r="CG63" s="8">
        <f t="shared" si="4"/>
        <v>194.7590363616707</v>
      </c>
      <c r="CH63">
        <v>102.88592</v>
      </c>
    </row>
    <row r="64" spans="1:86" ht="15.5" x14ac:dyDescent="0.35">
      <c r="A64" t="s">
        <v>88</v>
      </c>
      <c r="B64">
        <v>2014</v>
      </c>
      <c r="C64" s="2">
        <v>50.557899999999997</v>
      </c>
      <c r="D64">
        <v>43462.98</v>
      </c>
      <c r="E64">
        <v>0.2853</v>
      </c>
      <c r="F64">
        <v>6.5496999999999996</v>
      </c>
      <c r="G64">
        <v>57800</v>
      </c>
      <c r="H64">
        <v>11</v>
      </c>
      <c r="I64" s="19">
        <v>101.077</v>
      </c>
      <c r="J64" s="19">
        <v>100.5</v>
      </c>
      <c r="K64" s="19">
        <v>2.8130000000000002</v>
      </c>
      <c r="L64" s="19">
        <v>47.596200000000003</v>
      </c>
      <c r="M64" s="19">
        <v>1207000000</v>
      </c>
      <c r="N64" s="19">
        <v>115.2711</v>
      </c>
      <c r="O64">
        <v>34.268999999999998</v>
      </c>
      <c r="P64">
        <v>20.501100000000001</v>
      </c>
      <c r="Q64" s="19">
        <v>7925.4449999999997</v>
      </c>
      <c r="R64" s="19">
        <v>6802.7103999999999</v>
      </c>
      <c r="S64" s="19">
        <v>1.5248999999999999</v>
      </c>
      <c r="T64" s="19">
        <v>22959.638800000001</v>
      </c>
      <c r="U64" s="19">
        <v>17616.323100000001</v>
      </c>
      <c r="V64">
        <v>37.4</v>
      </c>
      <c r="W64" s="19">
        <v>49.038499999999999</v>
      </c>
      <c r="X64">
        <v>88</v>
      </c>
      <c r="Y64">
        <v>95</v>
      </c>
      <c r="Z64">
        <v>93</v>
      </c>
      <c r="AA64">
        <v>7.3</v>
      </c>
      <c r="AB64">
        <v>55.5</v>
      </c>
      <c r="AC64">
        <v>74.465900000000005</v>
      </c>
      <c r="AD64">
        <v>95.551900000000003</v>
      </c>
      <c r="AE64">
        <v>7</v>
      </c>
      <c r="AF64">
        <v>83.455200000000005</v>
      </c>
      <c r="AG64">
        <v>9.4</v>
      </c>
      <c r="AH64">
        <v>0.61</v>
      </c>
      <c r="AI64">
        <v>8.6999999999999993</v>
      </c>
      <c r="AJ64">
        <v>7.8</v>
      </c>
      <c r="AK64">
        <v>9.5</v>
      </c>
      <c r="AL64">
        <v>55.567399999999999</v>
      </c>
      <c r="AM64">
        <v>4.3</v>
      </c>
      <c r="AN64">
        <v>-2180</v>
      </c>
      <c r="AO64">
        <v>0</v>
      </c>
      <c r="AP64">
        <v>99.296099999999996</v>
      </c>
      <c r="AQ64">
        <v>85.972700000000003</v>
      </c>
      <c r="AR64">
        <v>96.923400000000001</v>
      </c>
      <c r="AS64">
        <v>54.486400000000003</v>
      </c>
      <c r="AT64">
        <v>68.409599999999998</v>
      </c>
      <c r="AU64">
        <v>21.9922</v>
      </c>
      <c r="AV64" s="19">
        <v>49.523800000000001</v>
      </c>
      <c r="AW64">
        <v>1.7</v>
      </c>
      <c r="AY64">
        <v>4</v>
      </c>
      <c r="AZ64">
        <v>4</v>
      </c>
      <c r="BA64">
        <v>64.741</v>
      </c>
      <c r="BB64">
        <v>20</v>
      </c>
      <c r="BC64">
        <v>4.4744999999999999</v>
      </c>
      <c r="BD64" s="19">
        <v>0.94899999999999995</v>
      </c>
      <c r="BE64" s="19">
        <v>70.192300000000003</v>
      </c>
      <c r="BF64">
        <v>16.740100000000002</v>
      </c>
      <c r="BG64">
        <v>17.100000000000001</v>
      </c>
      <c r="BH64" s="20">
        <v>0.79010000000000002</v>
      </c>
      <c r="BI64" s="20">
        <v>1822.0309</v>
      </c>
      <c r="BJ64" s="19">
        <v>54.326900000000002</v>
      </c>
      <c r="BK64">
        <v>0.99250000000000005</v>
      </c>
      <c r="BL64">
        <v>0.97460000000000002</v>
      </c>
      <c r="BM64">
        <v>0.96579999999999999</v>
      </c>
      <c r="BN64">
        <v>8</v>
      </c>
      <c r="BO64">
        <v>20.193999999999999</v>
      </c>
      <c r="BP64">
        <v>10.57</v>
      </c>
      <c r="BQ64" s="19">
        <v>96.032899999999998</v>
      </c>
      <c r="BR64">
        <v>67.238299999999995</v>
      </c>
      <c r="BS64" s="20">
        <v>11.423999999999999</v>
      </c>
      <c r="BT64" s="20">
        <v>11.423999999999999</v>
      </c>
      <c r="BU64" s="20">
        <v>23.774000000000001</v>
      </c>
      <c r="BV64" s="20">
        <v>23.774999999999999</v>
      </c>
      <c r="BW64" s="19">
        <v>59.605899999999998</v>
      </c>
      <c r="BX64">
        <v>27.73</v>
      </c>
      <c r="BY64" s="5">
        <v>5945908</v>
      </c>
      <c r="BZ64" s="6">
        <v>21698391</v>
      </c>
      <c r="CA64" s="7">
        <f t="shared" si="0"/>
        <v>3.6492981391572155</v>
      </c>
      <c r="CB64">
        <v>7223938</v>
      </c>
      <c r="CC64" s="8">
        <f t="shared" si="1"/>
        <v>3.0036790182861481</v>
      </c>
      <c r="CD64" s="8">
        <f t="shared" si="2"/>
        <v>0.82308402979095341</v>
      </c>
      <c r="CE64">
        <v>110996</v>
      </c>
      <c r="CF64" s="8">
        <f t="shared" si="3"/>
        <v>53.568669141230316</v>
      </c>
      <c r="CG64" s="8">
        <f t="shared" si="4"/>
        <v>195.48804461422034</v>
      </c>
      <c r="CH64">
        <v>101.15129</v>
      </c>
    </row>
    <row r="65" spans="1:86" ht="15.5" x14ac:dyDescent="0.35">
      <c r="A65" t="s">
        <v>88</v>
      </c>
      <c r="B65">
        <v>2015</v>
      </c>
      <c r="C65" s="2">
        <v>51.784500000000001</v>
      </c>
      <c r="D65">
        <v>46097.06</v>
      </c>
      <c r="E65">
        <v>0.29070000000000001</v>
      </c>
      <c r="F65">
        <v>6.9454000000000002</v>
      </c>
      <c r="G65">
        <v>60900</v>
      </c>
      <c r="H65">
        <v>11</v>
      </c>
      <c r="I65" s="19">
        <v>99.998000000000005</v>
      </c>
      <c r="J65" s="19">
        <v>99.6</v>
      </c>
      <c r="K65" s="19">
        <v>2.79</v>
      </c>
      <c r="L65" s="19">
        <v>45.238100000000003</v>
      </c>
      <c r="M65" s="19">
        <v>9000000</v>
      </c>
      <c r="N65" s="19">
        <v>100</v>
      </c>
      <c r="O65">
        <v>37.353999999999999</v>
      </c>
      <c r="P65">
        <v>22.494399999999999</v>
      </c>
      <c r="Q65" s="19">
        <v>7096.3389999999999</v>
      </c>
      <c r="R65" s="19">
        <v>7078.8603000000003</v>
      </c>
      <c r="S65" s="19">
        <v>4.0594000000000001</v>
      </c>
      <c r="T65" s="19">
        <v>23891.6649</v>
      </c>
      <c r="U65" s="19">
        <v>18391.012299999999</v>
      </c>
      <c r="V65">
        <v>38.6</v>
      </c>
      <c r="W65" s="19">
        <v>52.381</v>
      </c>
      <c r="X65">
        <v>91</v>
      </c>
      <c r="Y65">
        <v>92</v>
      </c>
      <c r="Z65">
        <v>92</v>
      </c>
      <c r="AA65">
        <v>6.8</v>
      </c>
      <c r="AB65">
        <v>56.7</v>
      </c>
      <c r="AC65">
        <v>74.614599999999996</v>
      </c>
      <c r="AD65">
        <v>98.372699999999995</v>
      </c>
      <c r="AE65">
        <v>7</v>
      </c>
      <c r="AF65">
        <v>85.063100000000006</v>
      </c>
      <c r="AG65">
        <v>10.1</v>
      </c>
      <c r="AH65">
        <v>0.77</v>
      </c>
      <c r="AI65">
        <v>8.1999999999999993</v>
      </c>
      <c r="AJ65">
        <v>7.3</v>
      </c>
      <c r="AK65">
        <v>8.9</v>
      </c>
      <c r="AL65">
        <v>55.534999999999997</v>
      </c>
      <c r="AM65">
        <v>4.0999999999999996</v>
      </c>
      <c r="AN65">
        <v>-4227</v>
      </c>
      <c r="AO65">
        <v>0</v>
      </c>
      <c r="AP65">
        <v>99.264499999999998</v>
      </c>
      <c r="AQ65">
        <v>85.983099999999993</v>
      </c>
      <c r="AR65">
        <v>96.762100000000004</v>
      </c>
      <c r="AS65">
        <v>55.704599999999999</v>
      </c>
      <c r="AT65">
        <v>69.564899999999994</v>
      </c>
      <c r="AU65">
        <v>20.793700000000001</v>
      </c>
      <c r="AV65" s="19">
        <v>46.666699999999999</v>
      </c>
      <c r="AW65">
        <v>3.4</v>
      </c>
      <c r="AX65">
        <v>22.9</v>
      </c>
      <c r="AY65">
        <v>4</v>
      </c>
      <c r="AZ65">
        <v>4</v>
      </c>
      <c r="BA65">
        <v>65.959800000000001</v>
      </c>
      <c r="BB65">
        <v>20.416699999999999</v>
      </c>
      <c r="BC65">
        <v>4.1327999999999996</v>
      </c>
      <c r="BD65" s="19">
        <v>3.3980000000000001</v>
      </c>
      <c r="BE65" s="19">
        <v>70.476200000000006</v>
      </c>
      <c r="BF65">
        <v>18.794</v>
      </c>
      <c r="BG65">
        <v>17.899999999999999</v>
      </c>
      <c r="BH65" s="20">
        <v>0.94950000000000001</v>
      </c>
      <c r="BI65" s="20">
        <v>1976.759</v>
      </c>
      <c r="BJ65" s="19">
        <v>51.428600000000003</v>
      </c>
      <c r="BK65">
        <v>0.9899</v>
      </c>
      <c r="BL65">
        <v>0.97550000000000003</v>
      </c>
      <c r="BM65">
        <v>0.96809999999999996</v>
      </c>
      <c r="BN65">
        <v>8</v>
      </c>
      <c r="BO65">
        <v>18.474</v>
      </c>
      <c r="BP65">
        <v>9.9499999999999993</v>
      </c>
      <c r="BQ65" s="19">
        <v>100</v>
      </c>
      <c r="BR65">
        <v>71.855599999999995</v>
      </c>
      <c r="BS65" s="20">
        <v>9.1430000000000007</v>
      </c>
      <c r="BT65" s="20">
        <v>9.1430000000000007</v>
      </c>
      <c r="BU65" s="20">
        <v>21.652999999999999</v>
      </c>
      <c r="BV65" s="20">
        <v>21.646000000000001</v>
      </c>
      <c r="BW65" s="19">
        <v>61.0837</v>
      </c>
      <c r="BX65">
        <v>29.14</v>
      </c>
      <c r="BY65" s="5">
        <v>6279036</v>
      </c>
      <c r="BZ65" s="6">
        <v>21397816</v>
      </c>
      <c r="CA65" s="7">
        <f t="shared" si="0"/>
        <v>3.4078186524173457</v>
      </c>
      <c r="CB65">
        <v>7177991</v>
      </c>
      <c r="CC65" s="8">
        <f t="shared" si="1"/>
        <v>2.9810313219952489</v>
      </c>
      <c r="CD65" s="8">
        <f t="shared" si="2"/>
        <v>0.87476231162730633</v>
      </c>
      <c r="CE65">
        <v>110996</v>
      </c>
      <c r="CF65" s="8">
        <f t="shared" si="3"/>
        <v>56.569930447944067</v>
      </c>
      <c r="CG65" s="8">
        <f t="shared" si="4"/>
        <v>192.78006414645571</v>
      </c>
      <c r="CH65">
        <v>100</v>
      </c>
    </row>
    <row r="66" spans="1:86" ht="15.5" x14ac:dyDescent="0.35">
      <c r="A66" t="s">
        <v>88</v>
      </c>
      <c r="B66">
        <v>2016</v>
      </c>
      <c r="C66" s="2">
        <v>52.907499999999999</v>
      </c>
      <c r="D66">
        <v>45537.88</v>
      </c>
      <c r="E66">
        <v>0.26669999999999999</v>
      </c>
      <c r="F66">
        <v>6.6111000000000004</v>
      </c>
      <c r="G66">
        <v>60900</v>
      </c>
      <c r="H66">
        <v>11</v>
      </c>
      <c r="I66" s="19">
        <v>98.676000000000002</v>
      </c>
      <c r="J66" s="19">
        <v>99.1</v>
      </c>
      <c r="K66" s="19">
        <v>2.9319999999999999</v>
      </c>
      <c r="L66" s="19">
        <v>47.619</v>
      </c>
      <c r="M66" s="19">
        <v>1633000000</v>
      </c>
      <c r="N66" s="19">
        <v>104.7351</v>
      </c>
      <c r="O66">
        <v>38.576000000000001</v>
      </c>
      <c r="P66">
        <v>23.817699999999999</v>
      </c>
      <c r="Q66" s="19">
        <v>7593.7060000000001</v>
      </c>
      <c r="R66" s="19">
        <v>7344.4435000000003</v>
      </c>
      <c r="S66" s="19">
        <v>3.7517999999999998</v>
      </c>
      <c r="T66" s="19">
        <v>24788.027399999999</v>
      </c>
      <c r="U66" s="19">
        <v>20065.740399999999</v>
      </c>
      <c r="V66">
        <v>40.6</v>
      </c>
      <c r="W66" s="19">
        <v>56.1905</v>
      </c>
      <c r="X66">
        <v>92</v>
      </c>
      <c r="Y66">
        <v>91</v>
      </c>
      <c r="Z66">
        <v>92</v>
      </c>
      <c r="AA66">
        <v>6.4</v>
      </c>
      <c r="AB66">
        <v>59.8</v>
      </c>
      <c r="AC66">
        <v>74.812200000000004</v>
      </c>
      <c r="AD66">
        <v>101.6092</v>
      </c>
      <c r="AE66">
        <v>7</v>
      </c>
      <c r="AF66">
        <v>83.145300000000006</v>
      </c>
      <c r="AG66">
        <v>10.199999999999999</v>
      </c>
      <c r="AH66">
        <v>0.41</v>
      </c>
      <c r="AI66">
        <v>7.7</v>
      </c>
      <c r="AJ66">
        <v>7</v>
      </c>
      <c r="AK66">
        <v>8.4</v>
      </c>
      <c r="AL66">
        <v>55.375799999999998</v>
      </c>
      <c r="AM66">
        <v>3.9</v>
      </c>
      <c r="AN66">
        <v>-9482</v>
      </c>
      <c r="AO66">
        <v>0</v>
      </c>
      <c r="AP66">
        <v>99.233500000000006</v>
      </c>
      <c r="AQ66">
        <v>85.993499999999997</v>
      </c>
      <c r="AR66">
        <v>96.601600000000005</v>
      </c>
      <c r="AS66">
        <v>56.974299999999999</v>
      </c>
      <c r="AT66">
        <v>70.733500000000006</v>
      </c>
      <c r="AU66">
        <v>19.979199999999999</v>
      </c>
      <c r="AV66" s="19">
        <v>49.047600000000003</v>
      </c>
      <c r="AW66">
        <v>2</v>
      </c>
      <c r="AX66">
        <v>23.4</v>
      </c>
      <c r="AY66">
        <v>4</v>
      </c>
      <c r="AZ66">
        <v>4</v>
      </c>
      <c r="BA66">
        <v>67.201300000000003</v>
      </c>
      <c r="BB66">
        <v>20.416699999999999</v>
      </c>
      <c r="BC66">
        <v>4.1128</v>
      </c>
      <c r="BD66" s="19">
        <v>3.0270000000000001</v>
      </c>
      <c r="BE66" s="19">
        <v>74.285700000000006</v>
      </c>
      <c r="BF66">
        <v>17.080300000000001</v>
      </c>
      <c r="BG66">
        <v>17.7</v>
      </c>
      <c r="BH66" s="20">
        <v>0.77010000000000001</v>
      </c>
      <c r="BI66" s="20">
        <v>2236.855</v>
      </c>
      <c r="BJ66" s="19">
        <v>49.523800000000001</v>
      </c>
      <c r="BK66">
        <v>0.98939999999999995</v>
      </c>
      <c r="BL66">
        <v>0.97619999999999996</v>
      </c>
      <c r="BM66">
        <v>0.96930000000000005</v>
      </c>
      <c r="BN66">
        <v>8</v>
      </c>
      <c r="BO66">
        <v>18.198</v>
      </c>
      <c r="BP66">
        <v>9.7100000000000009</v>
      </c>
      <c r="BQ66" s="19">
        <v>101.839</v>
      </c>
      <c r="BR66">
        <v>77.298299999999998</v>
      </c>
      <c r="BS66" s="20">
        <v>7.5750000000000002</v>
      </c>
      <c r="BT66" s="20">
        <v>7.5750000000000002</v>
      </c>
      <c r="BU66" s="20">
        <v>17.224</v>
      </c>
      <c r="BV66" s="20">
        <v>17.222000000000001</v>
      </c>
      <c r="BW66" s="19">
        <v>58.620699999999999</v>
      </c>
      <c r="BX66">
        <v>26.79</v>
      </c>
      <c r="BY66" s="5">
        <v>7196397</v>
      </c>
      <c r="BZ66" s="6">
        <v>25185996</v>
      </c>
      <c r="CA66" s="7">
        <f t="shared" si="0"/>
        <v>3.4998063614333672</v>
      </c>
      <c r="CB66">
        <v>7127822</v>
      </c>
      <c r="CC66" s="8">
        <f t="shared" si="1"/>
        <v>3.5334771266734775</v>
      </c>
      <c r="CD66" s="8">
        <f t="shared" si="2"/>
        <v>1.0096207509110076</v>
      </c>
      <c r="CE66">
        <v>110996</v>
      </c>
      <c r="CF66" s="8">
        <f t="shared" si="3"/>
        <v>64.834741792497027</v>
      </c>
      <c r="CG66" s="8">
        <f t="shared" si="4"/>
        <v>226.90904176727091</v>
      </c>
      <c r="CH66">
        <v>98.716359999999995</v>
      </c>
    </row>
    <row r="67" spans="1:86" ht="15.5" x14ac:dyDescent="0.35">
      <c r="A67" t="s">
        <v>88</v>
      </c>
      <c r="B67">
        <v>2017</v>
      </c>
      <c r="C67" s="2">
        <v>53.943600000000004</v>
      </c>
      <c r="D67">
        <v>46904.65</v>
      </c>
      <c r="E67">
        <v>0.27150000000000002</v>
      </c>
      <c r="F67">
        <v>6.9644000000000004</v>
      </c>
      <c r="G67">
        <v>60900</v>
      </c>
      <c r="H67">
        <v>11</v>
      </c>
      <c r="I67" s="19">
        <v>99.847999999999999</v>
      </c>
      <c r="J67" s="19">
        <v>100.88</v>
      </c>
      <c r="K67" s="19">
        <v>3.3260000000000001</v>
      </c>
      <c r="L67" s="19">
        <v>49.523800000000001</v>
      </c>
      <c r="M67" s="19">
        <v>1872000000</v>
      </c>
      <c r="N67" s="19">
        <v>123.9118</v>
      </c>
      <c r="O67">
        <v>41.776000000000003</v>
      </c>
      <c r="P67">
        <v>25.392499999999998</v>
      </c>
      <c r="Q67" s="19">
        <v>8409.6650000000009</v>
      </c>
      <c r="R67" s="19">
        <v>7601.4385000000002</v>
      </c>
      <c r="S67" s="19">
        <v>3.4992000000000001</v>
      </c>
      <c r="T67" s="19">
        <v>25655.4038</v>
      </c>
      <c r="U67" s="19">
        <v>21457.976500000001</v>
      </c>
      <c r="V67">
        <v>40.4</v>
      </c>
      <c r="W67" s="19">
        <v>57.142899999999997</v>
      </c>
      <c r="X67">
        <v>92</v>
      </c>
      <c r="Y67">
        <v>92</v>
      </c>
      <c r="Z67">
        <v>94</v>
      </c>
      <c r="AA67">
        <v>6.1</v>
      </c>
      <c r="AB67">
        <v>63.4</v>
      </c>
      <c r="AC67">
        <v>74.814599999999999</v>
      </c>
      <c r="AD67">
        <v>98.155500000000004</v>
      </c>
      <c r="AE67">
        <v>7</v>
      </c>
      <c r="AF67">
        <v>83.1494</v>
      </c>
      <c r="AG67">
        <v>9.9</v>
      </c>
      <c r="AH67">
        <v>0.77</v>
      </c>
      <c r="AI67">
        <v>7.3</v>
      </c>
      <c r="AJ67">
        <v>6.6</v>
      </c>
      <c r="AK67">
        <v>8</v>
      </c>
      <c r="AL67">
        <v>55.226599999999998</v>
      </c>
      <c r="AM67">
        <v>3.7</v>
      </c>
      <c r="AN67">
        <v>-6109</v>
      </c>
      <c r="AO67">
        <v>0</v>
      </c>
      <c r="AP67">
        <v>99.203299999999999</v>
      </c>
      <c r="AQ67">
        <v>86.003900000000002</v>
      </c>
      <c r="AR67">
        <v>96.441800000000001</v>
      </c>
      <c r="AS67">
        <v>58.295699999999997</v>
      </c>
      <c r="AT67">
        <v>71.915400000000005</v>
      </c>
      <c r="AU67">
        <v>20.033799999999999</v>
      </c>
      <c r="AV67" s="19">
        <v>59.047600000000003</v>
      </c>
      <c r="AW67">
        <v>1.4</v>
      </c>
      <c r="AX67">
        <v>22</v>
      </c>
      <c r="AY67">
        <v>4</v>
      </c>
      <c r="AZ67">
        <v>4</v>
      </c>
      <c r="BA67">
        <v>68.465400000000002</v>
      </c>
      <c r="BB67">
        <v>23.75</v>
      </c>
      <c r="BC67">
        <v>4.1180000000000003</v>
      </c>
      <c r="BD67" s="19">
        <v>2.746</v>
      </c>
      <c r="BE67" s="19">
        <v>73.333299999999994</v>
      </c>
      <c r="BF67">
        <v>14.8995</v>
      </c>
      <c r="BG67">
        <v>17.100000000000001</v>
      </c>
      <c r="BH67" s="20">
        <v>0.74039999999999995</v>
      </c>
      <c r="BI67" s="20">
        <v>2125.4602</v>
      </c>
      <c r="BJ67" s="19">
        <v>50.952399999999997</v>
      </c>
      <c r="BK67">
        <v>0.99390000000000001</v>
      </c>
      <c r="BL67">
        <v>0.98050000000000004</v>
      </c>
      <c r="BM67">
        <v>0.97350000000000003</v>
      </c>
      <c r="BN67">
        <v>8</v>
      </c>
      <c r="BO67">
        <v>15.848000000000001</v>
      </c>
      <c r="BP67">
        <v>10.35</v>
      </c>
      <c r="BQ67" s="19">
        <v>99.832599999999999</v>
      </c>
      <c r="BR67">
        <v>82.431899999999999</v>
      </c>
      <c r="BS67" s="20">
        <v>6.1639999999999997</v>
      </c>
      <c r="BT67" s="20">
        <v>6.1639999999999997</v>
      </c>
      <c r="BU67" s="20">
        <v>12.927</v>
      </c>
      <c r="BV67" s="20">
        <v>12.926</v>
      </c>
      <c r="BW67" s="19">
        <v>60.591099999999997</v>
      </c>
      <c r="BX67">
        <v>26.79</v>
      </c>
      <c r="BY67" s="5">
        <v>7461646</v>
      </c>
      <c r="BZ67" s="6">
        <v>26054096</v>
      </c>
      <c r="CA67" s="7">
        <f t="shared" ref="CA67:CA130" si="5">BZ67/BY67</f>
        <v>3.491735737664317</v>
      </c>
      <c r="CB67">
        <v>7075947</v>
      </c>
      <c r="CC67" s="8">
        <f t="shared" ref="CC67:CC130" si="6">BZ67/CB67</f>
        <v>3.6820648882757316</v>
      </c>
      <c r="CD67" s="8">
        <f t="shared" ref="CD67:CD130" si="7">BY67/CB67</f>
        <v>1.0545084636727777</v>
      </c>
      <c r="CE67">
        <v>110996</v>
      </c>
      <c r="CF67" s="8">
        <f t="shared" ref="CF67:CF130" si="8">BY67/CE67</f>
        <v>67.224458539046452</v>
      </c>
      <c r="CG67" s="8">
        <f t="shared" ref="CG67:CG130" si="9">BZ67/CE67</f>
        <v>234.73004432592165</v>
      </c>
      <c r="CH67">
        <v>98.358170000000001</v>
      </c>
    </row>
    <row r="68" spans="1:86" ht="15.5" x14ac:dyDescent="0.35">
      <c r="A68" t="s">
        <v>88</v>
      </c>
      <c r="B68">
        <v>2018</v>
      </c>
      <c r="C68" s="2">
        <v>54.971499999999999</v>
      </c>
      <c r="D68">
        <v>45396.14</v>
      </c>
      <c r="E68">
        <v>0.24829999999999999</v>
      </c>
      <c r="F68">
        <v>6.5811999999999999</v>
      </c>
      <c r="G68">
        <v>60900</v>
      </c>
      <c r="H68">
        <v>11</v>
      </c>
      <c r="I68" s="19">
        <v>102.476</v>
      </c>
      <c r="J68" s="19">
        <v>103.21</v>
      </c>
      <c r="K68" s="19">
        <v>3.5790000000000002</v>
      </c>
      <c r="L68" s="19">
        <v>49.047600000000003</v>
      </c>
      <c r="M68" s="19">
        <v>435000000</v>
      </c>
      <c r="N68" s="19">
        <v>132.50380000000001</v>
      </c>
      <c r="O68">
        <v>39.616999999999997</v>
      </c>
      <c r="P68">
        <v>27.103400000000001</v>
      </c>
      <c r="Q68" s="19">
        <v>9473.8889999999992</v>
      </c>
      <c r="R68" s="19">
        <v>7851.7259999999997</v>
      </c>
      <c r="S68" s="19">
        <v>3.2926000000000002</v>
      </c>
      <c r="T68" s="19">
        <v>26500.1423</v>
      </c>
      <c r="U68" s="19">
        <v>22977.688200000001</v>
      </c>
      <c r="V68">
        <v>41.3</v>
      </c>
      <c r="W68" s="19">
        <v>57.142899999999997</v>
      </c>
      <c r="X68">
        <v>92</v>
      </c>
      <c r="Y68">
        <v>85</v>
      </c>
      <c r="Z68">
        <v>93</v>
      </c>
      <c r="AA68">
        <v>5.8</v>
      </c>
      <c r="AB68">
        <v>64.8</v>
      </c>
      <c r="AC68">
        <v>74.963399999999993</v>
      </c>
      <c r="AD68">
        <v>99.894199999999998</v>
      </c>
      <c r="AE68">
        <v>7</v>
      </c>
      <c r="AF68">
        <v>83.381100000000004</v>
      </c>
      <c r="AG68">
        <v>8.9</v>
      </c>
      <c r="AH68">
        <v>0.45</v>
      </c>
      <c r="AI68">
        <v>7</v>
      </c>
      <c r="AJ68">
        <v>6.3</v>
      </c>
      <c r="AK68">
        <v>7.6</v>
      </c>
      <c r="AL68">
        <v>56.328800000000001</v>
      </c>
      <c r="AM68">
        <v>3.4</v>
      </c>
      <c r="AN68">
        <v>-3873</v>
      </c>
      <c r="AO68">
        <v>0</v>
      </c>
      <c r="AP68">
        <v>99.173699999999997</v>
      </c>
      <c r="AQ68">
        <v>86.014300000000006</v>
      </c>
      <c r="AR68">
        <v>96.282799999999995</v>
      </c>
      <c r="AS68">
        <v>58.920499999999997</v>
      </c>
      <c r="AT68">
        <v>72.960800000000006</v>
      </c>
      <c r="AU68">
        <v>19.716000000000001</v>
      </c>
      <c r="AV68" s="19">
        <v>61.792499999999997</v>
      </c>
      <c r="AW68">
        <v>0.9</v>
      </c>
      <c r="AX68">
        <v>22.6</v>
      </c>
      <c r="AY68">
        <v>4</v>
      </c>
      <c r="AZ68">
        <v>4</v>
      </c>
      <c r="BA68">
        <v>69.451899999999995</v>
      </c>
      <c r="BB68">
        <v>23.75</v>
      </c>
      <c r="BC68">
        <v>4.2259000000000002</v>
      </c>
      <c r="BD68" s="19">
        <v>2.5489999999999999</v>
      </c>
      <c r="BE68" s="19">
        <v>72.381</v>
      </c>
      <c r="BF68">
        <v>20.6175</v>
      </c>
      <c r="BG68">
        <v>19.600000000000001</v>
      </c>
      <c r="BH68" s="20">
        <v>0.75409999999999999</v>
      </c>
      <c r="BI68" s="20">
        <v>2343.4872999999998</v>
      </c>
      <c r="BJ68" s="19">
        <v>50.952399999999997</v>
      </c>
      <c r="BK68">
        <v>0.99439999999999995</v>
      </c>
      <c r="BL68">
        <v>0.9768</v>
      </c>
      <c r="BM68">
        <v>0.96779999999999999</v>
      </c>
      <c r="BN68">
        <v>8</v>
      </c>
      <c r="BO68">
        <v>13.843999999999999</v>
      </c>
      <c r="BP68">
        <v>9.73</v>
      </c>
      <c r="BQ68" s="19">
        <v>99.014700000000005</v>
      </c>
      <c r="BR68">
        <v>83.868499999999997</v>
      </c>
      <c r="BS68" s="20">
        <v>5.2110000000000003</v>
      </c>
      <c r="BT68" s="20">
        <v>5.2110000000000003</v>
      </c>
      <c r="BU68" s="20">
        <v>12.676</v>
      </c>
      <c r="BV68" s="20">
        <v>12.678000000000001</v>
      </c>
      <c r="BW68" s="19">
        <v>58.737900000000003</v>
      </c>
      <c r="BX68">
        <v>25.66</v>
      </c>
      <c r="BY68" s="5">
        <v>7799680</v>
      </c>
      <c r="BZ68" s="6">
        <v>26845013</v>
      </c>
      <c r="CA68" s="7">
        <f t="shared" si="5"/>
        <v>3.4418095357758265</v>
      </c>
      <c r="CB68">
        <v>7025037</v>
      </c>
      <c r="CC68" s="8">
        <f t="shared" si="6"/>
        <v>3.8213340371018685</v>
      </c>
      <c r="CD68" s="8">
        <f t="shared" si="7"/>
        <v>1.1102688854165466</v>
      </c>
      <c r="CE68">
        <v>110996</v>
      </c>
      <c r="CF68" s="8">
        <f t="shared" si="8"/>
        <v>70.269919636743666</v>
      </c>
      <c r="CG68" s="8">
        <f t="shared" si="9"/>
        <v>241.85567948394538</v>
      </c>
      <c r="CH68">
        <v>99.35933</v>
      </c>
    </row>
    <row r="69" spans="1:86" ht="15.5" x14ac:dyDescent="0.35">
      <c r="A69" t="s">
        <v>88</v>
      </c>
      <c r="B69">
        <v>2019</v>
      </c>
      <c r="C69" s="2">
        <v>55.924700000000001</v>
      </c>
      <c r="D69">
        <v>45128.03</v>
      </c>
      <c r="E69">
        <v>0.23069999999999999</v>
      </c>
      <c r="F69">
        <v>6.3897000000000004</v>
      </c>
      <c r="G69">
        <v>60900</v>
      </c>
      <c r="H69">
        <v>11</v>
      </c>
      <c r="I69" s="19">
        <v>104.994</v>
      </c>
      <c r="J69" s="19">
        <v>106.41</v>
      </c>
      <c r="K69" s="19">
        <v>3.831</v>
      </c>
      <c r="L69" s="19">
        <v>49.523800000000001</v>
      </c>
      <c r="M69" s="19">
        <v>1141000000</v>
      </c>
      <c r="N69" s="19">
        <v>131.41040000000001</v>
      </c>
      <c r="O69">
        <v>39.353999999999999</v>
      </c>
      <c r="P69">
        <v>28.883700000000001</v>
      </c>
      <c r="Q69" s="19">
        <v>9874.0730000000003</v>
      </c>
      <c r="R69" s="19">
        <v>8206.7813000000006</v>
      </c>
      <c r="S69" s="19">
        <v>4.5220000000000002</v>
      </c>
      <c r="T69" s="19">
        <v>27698.479599999999</v>
      </c>
      <c r="U69" s="19">
        <v>25434.840800000002</v>
      </c>
      <c r="V69">
        <v>40.299999999999997</v>
      </c>
      <c r="W69" s="19">
        <v>60</v>
      </c>
      <c r="X69">
        <v>93</v>
      </c>
      <c r="Y69">
        <v>93</v>
      </c>
      <c r="Z69">
        <v>95</v>
      </c>
      <c r="AA69">
        <v>5.5</v>
      </c>
      <c r="AB69">
        <v>67.900000000000006</v>
      </c>
      <c r="AC69">
        <v>75.112200000000001</v>
      </c>
      <c r="AD69">
        <v>98.680599999999998</v>
      </c>
      <c r="AE69">
        <v>6</v>
      </c>
      <c r="AF69">
        <v>83.381100000000004</v>
      </c>
      <c r="AG69">
        <v>9.1999999999999993</v>
      </c>
      <c r="AH69">
        <v>0.53</v>
      </c>
      <c r="AI69">
        <v>6.7</v>
      </c>
      <c r="AJ69">
        <v>6.1</v>
      </c>
      <c r="AK69">
        <v>7.3</v>
      </c>
      <c r="AL69">
        <v>56.409399999999998</v>
      </c>
      <c r="AM69">
        <v>3.2</v>
      </c>
      <c r="AN69">
        <v>-2156</v>
      </c>
      <c r="AO69">
        <v>0</v>
      </c>
      <c r="AP69">
        <v>99.144900000000007</v>
      </c>
      <c r="AQ69">
        <v>86.024699999999996</v>
      </c>
      <c r="AR69">
        <v>96.124600000000001</v>
      </c>
      <c r="AS69">
        <v>59.547199999999997</v>
      </c>
      <c r="AT69">
        <v>74.009600000000006</v>
      </c>
      <c r="AU69">
        <v>17.538</v>
      </c>
      <c r="AV69" s="19">
        <v>66.037700000000001</v>
      </c>
      <c r="AW69">
        <v>0.9</v>
      </c>
      <c r="AX69">
        <v>23.8</v>
      </c>
      <c r="AY69">
        <v>4</v>
      </c>
      <c r="AZ69">
        <v>4</v>
      </c>
      <c r="BA69">
        <v>70.444199999999995</v>
      </c>
      <c r="BB69">
        <v>25.833300000000001</v>
      </c>
      <c r="BC69">
        <v>4.1955</v>
      </c>
      <c r="BD69" s="19">
        <v>3.7890000000000001</v>
      </c>
      <c r="BE69" s="19">
        <v>70.476200000000006</v>
      </c>
      <c r="BF69">
        <v>17.928100000000001</v>
      </c>
      <c r="BG69">
        <v>19.3</v>
      </c>
      <c r="BH69" s="20">
        <v>0.8327</v>
      </c>
      <c r="BI69" s="20">
        <v>2420.0895999999998</v>
      </c>
      <c r="BJ69" s="19">
        <v>52.381</v>
      </c>
      <c r="BK69">
        <v>0.9929</v>
      </c>
      <c r="BL69">
        <v>0.98550000000000004</v>
      </c>
      <c r="BM69">
        <v>0.98170000000000002</v>
      </c>
      <c r="BN69">
        <v>8</v>
      </c>
      <c r="BO69">
        <v>13.598000000000001</v>
      </c>
      <c r="BP69">
        <v>9.02</v>
      </c>
      <c r="BQ69" s="19">
        <v>99.102599999999995</v>
      </c>
      <c r="BR69">
        <v>87.594700000000003</v>
      </c>
      <c r="BS69" s="20">
        <v>4.2300000000000004</v>
      </c>
      <c r="BT69" s="20">
        <v>4.2300000000000004</v>
      </c>
      <c r="BU69" s="20">
        <v>8.8979999999999997</v>
      </c>
      <c r="BV69" s="20">
        <v>8.8979999999999997</v>
      </c>
      <c r="BW69" s="19">
        <v>58.454099999999997</v>
      </c>
      <c r="BX69">
        <v>24.91</v>
      </c>
      <c r="BY69" s="5">
        <v>8187634</v>
      </c>
      <c r="BZ69" s="6">
        <v>27154791</v>
      </c>
      <c r="CA69" s="7">
        <f t="shared" si="5"/>
        <v>3.3165614144452475</v>
      </c>
      <c r="CB69">
        <v>6975761</v>
      </c>
      <c r="CC69" s="8">
        <f t="shared" si="6"/>
        <v>3.892735287232461</v>
      </c>
      <c r="CD69" s="8">
        <f t="shared" si="7"/>
        <v>1.1737262787529561</v>
      </c>
      <c r="CE69">
        <v>110996</v>
      </c>
      <c r="CF69" s="8">
        <f t="shared" si="8"/>
        <v>73.7651266712314</v>
      </c>
      <c r="CG69" s="8">
        <f t="shared" si="9"/>
        <v>244.64657284947205</v>
      </c>
      <c r="CH69">
        <v>100.53373999999999</v>
      </c>
    </row>
    <row r="70" spans="1:86" ht="15.5" x14ac:dyDescent="0.35">
      <c r="A70" t="s">
        <v>88</v>
      </c>
      <c r="B70">
        <v>2020</v>
      </c>
      <c r="C70" s="2">
        <v>56.539900000000003</v>
      </c>
      <c r="D70">
        <v>45149.07</v>
      </c>
      <c r="E70">
        <v>0.2112</v>
      </c>
      <c r="F70">
        <v>5.6951999999999998</v>
      </c>
      <c r="G70">
        <v>60900</v>
      </c>
      <c r="H70">
        <v>11</v>
      </c>
      <c r="I70" s="19">
        <v>106.274</v>
      </c>
      <c r="J70" s="19">
        <v>106.43</v>
      </c>
      <c r="K70" s="19">
        <v>2.9140000000000001</v>
      </c>
      <c r="L70" s="19">
        <v>43.8095</v>
      </c>
      <c r="M70" s="19">
        <v>313000000</v>
      </c>
      <c r="N70" s="19">
        <v>125.94759999999999</v>
      </c>
      <c r="O70">
        <v>42.12</v>
      </c>
      <c r="P70">
        <v>30.504300000000001</v>
      </c>
      <c r="Q70" s="19">
        <v>10215.861999999999</v>
      </c>
      <c r="R70" s="19">
        <v>7990.6925000000001</v>
      </c>
      <c r="S70" s="19">
        <v>-2.6331000000000002</v>
      </c>
      <c r="T70" s="19">
        <v>26969.164499999999</v>
      </c>
      <c r="U70" s="19">
        <v>25863.219499999999</v>
      </c>
      <c r="V70">
        <v>40.5</v>
      </c>
      <c r="W70" s="19">
        <v>43.8095</v>
      </c>
      <c r="X70">
        <v>91</v>
      </c>
      <c r="Y70">
        <v>91</v>
      </c>
      <c r="Z70">
        <v>88</v>
      </c>
      <c r="AA70">
        <v>5.4</v>
      </c>
      <c r="AB70">
        <v>70.2</v>
      </c>
      <c r="AC70">
        <v>73.356099999999998</v>
      </c>
      <c r="AD70">
        <v>100.1069</v>
      </c>
      <c r="AE70">
        <v>9</v>
      </c>
      <c r="AF70">
        <v>83.381100000000004</v>
      </c>
      <c r="AH70">
        <v>0.77</v>
      </c>
      <c r="AI70">
        <v>6.5</v>
      </c>
      <c r="AJ70">
        <v>5.9</v>
      </c>
      <c r="AK70">
        <v>7</v>
      </c>
      <c r="AL70">
        <v>56.067500000000003</v>
      </c>
      <c r="AM70">
        <v>3</v>
      </c>
      <c r="AN70">
        <v>30167</v>
      </c>
      <c r="AO70">
        <v>0</v>
      </c>
      <c r="AP70">
        <v>99.116699999999994</v>
      </c>
      <c r="AQ70">
        <v>86.0351</v>
      </c>
      <c r="AR70">
        <v>95.967100000000002</v>
      </c>
      <c r="AS70">
        <v>60.175899999999999</v>
      </c>
      <c r="AT70">
        <v>75.061800000000005</v>
      </c>
      <c r="AU70">
        <v>17.147400000000001</v>
      </c>
      <c r="AV70" s="19">
        <v>58.490600000000001</v>
      </c>
      <c r="AW70">
        <v>0.2</v>
      </c>
      <c r="AX70">
        <v>22.1</v>
      </c>
      <c r="AY70">
        <v>4</v>
      </c>
      <c r="AZ70">
        <v>4</v>
      </c>
      <c r="BA70">
        <v>71.442499999999995</v>
      </c>
      <c r="BB70">
        <v>26.666699999999999</v>
      </c>
      <c r="BC70">
        <v>5.0758000000000001</v>
      </c>
      <c r="BD70" s="19">
        <v>-3.2160000000000002</v>
      </c>
      <c r="BE70" s="19">
        <v>65.714299999999994</v>
      </c>
      <c r="BF70">
        <v>19.545200000000001</v>
      </c>
      <c r="BG70">
        <v>21.1</v>
      </c>
      <c r="BH70" s="20">
        <v>0.84970000000000001</v>
      </c>
      <c r="BI70" s="20">
        <v>2401.1691999999998</v>
      </c>
      <c r="BJ70" s="19">
        <v>49.047600000000003</v>
      </c>
      <c r="BK70">
        <v>0.99460000000000004</v>
      </c>
      <c r="BL70">
        <v>0.98370000000000002</v>
      </c>
      <c r="BM70">
        <v>0.97809999999999997</v>
      </c>
      <c r="BN70">
        <v>8</v>
      </c>
      <c r="BO70">
        <v>14.776999999999999</v>
      </c>
      <c r="BP70">
        <v>10.029999999999999</v>
      </c>
      <c r="BQ70" s="19">
        <v>103.09520000000001</v>
      </c>
      <c r="BR70">
        <v>87.594700000000003</v>
      </c>
      <c r="BS70" s="20">
        <v>5.125</v>
      </c>
      <c r="BT70" s="20">
        <v>5.125</v>
      </c>
      <c r="BU70" s="20">
        <v>14.214</v>
      </c>
      <c r="BV70" s="20">
        <v>14.215999999999999</v>
      </c>
      <c r="BW70" s="19">
        <v>56.038600000000002</v>
      </c>
      <c r="BX70">
        <v>25.46</v>
      </c>
      <c r="BY70" s="5">
        <v>4023763</v>
      </c>
      <c r="BZ70" s="6">
        <v>11968483</v>
      </c>
      <c r="CA70" s="7">
        <f t="shared" si="5"/>
        <v>2.9744502844725198</v>
      </c>
      <c r="CB70">
        <v>6934015</v>
      </c>
      <c r="CC70" s="8">
        <f t="shared" si="6"/>
        <v>1.7260538086519859</v>
      </c>
      <c r="CD70" s="8">
        <f t="shared" si="7"/>
        <v>0.58029337980953311</v>
      </c>
      <c r="CE70">
        <v>110996</v>
      </c>
      <c r="CF70" s="8">
        <f t="shared" si="8"/>
        <v>36.251423474719807</v>
      </c>
      <c r="CG70" s="8">
        <f t="shared" si="9"/>
        <v>107.82805686691412</v>
      </c>
      <c r="CH70">
        <v>101.56692</v>
      </c>
    </row>
    <row r="71" spans="1:86" ht="15.5" x14ac:dyDescent="0.35">
      <c r="A71" t="s">
        <v>88</v>
      </c>
      <c r="B71">
        <v>2021</v>
      </c>
      <c r="C71" s="2">
        <v>56.706600000000002</v>
      </c>
      <c r="D71">
        <v>45078.32</v>
      </c>
      <c r="E71">
        <v>0.22720000000000001</v>
      </c>
      <c r="F71">
        <v>6.6570999999999998</v>
      </c>
      <c r="G71">
        <v>60900</v>
      </c>
      <c r="H71">
        <v>11</v>
      </c>
      <c r="I71" s="19">
        <v>109.295</v>
      </c>
      <c r="J71" s="19">
        <v>113.44</v>
      </c>
      <c r="K71" s="19">
        <v>6.2510000000000003</v>
      </c>
      <c r="L71" s="19">
        <v>48.095199999999998</v>
      </c>
      <c r="M71" s="19">
        <v>-909000000</v>
      </c>
      <c r="N71" s="19">
        <v>161.67160000000001</v>
      </c>
      <c r="O71">
        <v>38.024999999999999</v>
      </c>
      <c r="P71">
        <v>32.768799999999999</v>
      </c>
      <c r="Q71" s="19">
        <v>12352.357</v>
      </c>
      <c r="R71" s="19">
        <v>8682.8822</v>
      </c>
      <c r="S71" s="19">
        <v>8.6623999999999999</v>
      </c>
      <c r="T71" s="19">
        <v>29305.3547</v>
      </c>
      <c r="U71" s="19">
        <v>29305.3547</v>
      </c>
      <c r="V71">
        <v>39</v>
      </c>
      <c r="W71" s="19">
        <v>45.238100000000003</v>
      </c>
      <c r="X71">
        <v>89</v>
      </c>
      <c r="Y71">
        <v>89</v>
      </c>
      <c r="Z71">
        <v>89</v>
      </c>
      <c r="AA71">
        <v>5.2</v>
      </c>
      <c r="AB71">
        <v>75.3</v>
      </c>
      <c r="AC71">
        <v>71.212199999999996</v>
      </c>
      <c r="AD71">
        <v>97.468900000000005</v>
      </c>
      <c r="AE71">
        <v>9</v>
      </c>
      <c r="AH71">
        <v>0.73</v>
      </c>
      <c r="AI71">
        <v>6.3</v>
      </c>
      <c r="AJ71">
        <v>5.8</v>
      </c>
      <c r="AK71">
        <v>6.8</v>
      </c>
      <c r="AL71">
        <v>56.194699999999997</v>
      </c>
      <c r="AM71">
        <v>2.8</v>
      </c>
      <c r="AN71">
        <v>11756</v>
      </c>
      <c r="AO71">
        <v>0</v>
      </c>
      <c r="AP71">
        <v>99.089299999999994</v>
      </c>
      <c r="AQ71">
        <v>86.045500000000004</v>
      </c>
      <c r="AR71">
        <v>95.810299999999998</v>
      </c>
      <c r="AS71">
        <v>60.806600000000003</v>
      </c>
      <c r="AT71">
        <v>76.117400000000004</v>
      </c>
      <c r="AV71" s="19">
        <v>58.018900000000002</v>
      </c>
      <c r="AW71">
        <v>0.7</v>
      </c>
      <c r="AX71">
        <v>22.9</v>
      </c>
      <c r="AY71">
        <v>4</v>
      </c>
      <c r="AZ71">
        <v>4</v>
      </c>
      <c r="BA71">
        <v>72.446600000000004</v>
      </c>
      <c r="BB71">
        <v>23.75</v>
      </c>
      <c r="BC71">
        <v>5.5495999999999999</v>
      </c>
      <c r="BD71" s="19">
        <v>7.7809999999999997</v>
      </c>
      <c r="BE71" s="19">
        <v>66.666700000000006</v>
      </c>
      <c r="BF71">
        <v>22.191800000000001</v>
      </c>
      <c r="BG71">
        <v>20.399999999999999</v>
      </c>
      <c r="BH71" s="20">
        <v>0.77280000000000004</v>
      </c>
      <c r="BI71" s="20">
        <v>2346.6958</v>
      </c>
      <c r="BJ71" s="19">
        <v>52.381</v>
      </c>
      <c r="BN71">
        <v>8</v>
      </c>
      <c r="BO71">
        <v>13.766999999999999</v>
      </c>
      <c r="BP71">
        <v>9.51</v>
      </c>
      <c r="BQ71" s="19">
        <v>102.17700000000001</v>
      </c>
      <c r="BS71" s="20">
        <v>5.2670000000000003</v>
      </c>
      <c r="BT71" s="20">
        <v>5.2670000000000003</v>
      </c>
      <c r="BU71" s="20">
        <v>15.823</v>
      </c>
      <c r="BV71" s="20">
        <v>15.829000000000001</v>
      </c>
      <c r="BW71" s="19">
        <v>56.521700000000003</v>
      </c>
      <c r="BX71">
        <v>27.4</v>
      </c>
      <c r="BY71" s="5">
        <v>5647634</v>
      </c>
      <c r="BZ71" s="6">
        <v>17620268</v>
      </c>
      <c r="CA71" s="7">
        <f t="shared" si="5"/>
        <v>3.1199380129803029</v>
      </c>
      <c r="CB71">
        <v>6877743</v>
      </c>
      <c r="CC71" s="8">
        <f t="shared" si="6"/>
        <v>2.5619259108693071</v>
      </c>
      <c r="CD71" s="8">
        <f t="shared" si="7"/>
        <v>0.82114641387443521</v>
      </c>
      <c r="CE71">
        <v>110996</v>
      </c>
      <c r="CF71" s="8">
        <f t="shared" si="8"/>
        <v>50.881419150239651</v>
      </c>
      <c r="CG71" s="8">
        <f t="shared" si="9"/>
        <v>158.74687376121662</v>
      </c>
      <c r="CH71">
        <v>101.66762</v>
      </c>
    </row>
    <row r="72" spans="1:86" ht="15.5" x14ac:dyDescent="0.35">
      <c r="A72" t="s">
        <v>88</v>
      </c>
      <c r="B72">
        <v>2022</v>
      </c>
      <c r="C72" s="2">
        <v>56.829599999999999</v>
      </c>
      <c r="E72">
        <v>0.23880000000000001</v>
      </c>
      <c r="F72">
        <v>7.5366</v>
      </c>
      <c r="H72">
        <v>11</v>
      </c>
      <c r="I72" s="19">
        <v>123.524</v>
      </c>
      <c r="J72" s="19">
        <v>129.69</v>
      </c>
      <c r="K72" s="19">
        <v>8.7970000000000006</v>
      </c>
      <c r="L72" s="19">
        <v>50</v>
      </c>
      <c r="M72" s="19">
        <v>-2353000000</v>
      </c>
      <c r="N72" s="19"/>
      <c r="O72">
        <v>40.393000000000001</v>
      </c>
      <c r="P72">
        <v>34.966799999999999</v>
      </c>
      <c r="Q72" s="19">
        <v>14069.944</v>
      </c>
      <c r="R72" s="19">
        <v>9352.3264999999992</v>
      </c>
      <c r="S72" s="19">
        <v>7.7099000000000002</v>
      </c>
      <c r="T72" s="19">
        <v>31564.7775</v>
      </c>
      <c r="U72" s="19">
        <v>34855.890700000004</v>
      </c>
      <c r="W72" s="19">
        <v>42.452800000000003</v>
      </c>
      <c r="X72">
        <v>91</v>
      </c>
      <c r="Y72">
        <v>91</v>
      </c>
      <c r="Z72">
        <v>91</v>
      </c>
      <c r="AA72">
        <v>5.0999999999999996</v>
      </c>
      <c r="AB72">
        <v>79.099999999999994</v>
      </c>
      <c r="AC72">
        <v>74.161000000000001</v>
      </c>
      <c r="AD72">
        <v>96.027500000000003</v>
      </c>
      <c r="AE72">
        <v>10</v>
      </c>
      <c r="AI72">
        <v>6.2</v>
      </c>
      <c r="AJ72">
        <v>5.7</v>
      </c>
      <c r="AK72">
        <v>6.7</v>
      </c>
      <c r="AL72">
        <v>54.9876</v>
      </c>
      <c r="AM72">
        <v>2.7</v>
      </c>
      <c r="AN72">
        <v>26498</v>
      </c>
      <c r="AO72">
        <v>0</v>
      </c>
      <c r="AP72">
        <v>99.0625</v>
      </c>
      <c r="AQ72">
        <v>86.055899999999994</v>
      </c>
      <c r="AR72">
        <v>95.654300000000006</v>
      </c>
      <c r="AS72">
        <v>61.439300000000003</v>
      </c>
      <c r="AT72">
        <v>77.176400000000001</v>
      </c>
      <c r="AV72" s="19">
        <v>54.716999999999999</v>
      </c>
      <c r="AX72">
        <v>20.6</v>
      </c>
      <c r="AY72">
        <v>4</v>
      </c>
      <c r="AZ72">
        <v>4</v>
      </c>
      <c r="BA72">
        <v>73.456599999999995</v>
      </c>
      <c r="BB72">
        <v>24.166699999999999</v>
      </c>
      <c r="BC72">
        <v>4.7934999999999999</v>
      </c>
      <c r="BD72" s="19">
        <v>4.0389999999999997</v>
      </c>
      <c r="BE72" s="19">
        <v>61.792499999999997</v>
      </c>
      <c r="BG72" s="23">
        <v>19.044</v>
      </c>
      <c r="BH72" s="20">
        <v>0.75419999999999998</v>
      </c>
      <c r="BI72" s="20">
        <v>2557.1979999999999</v>
      </c>
      <c r="BJ72" s="19">
        <v>50</v>
      </c>
      <c r="BN72">
        <v>8</v>
      </c>
      <c r="BO72">
        <v>12.827999999999999</v>
      </c>
      <c r="BQ72" s="19"/>
      <c r="BS72" s="20">
        <v>4.2679999999999998</v>
      </c>
      <c r="BT72" s="20">
        <v>4.2679999999999998</v>
      </c>
      <c r="BU72" s="20">
        <v>10.742000000000001</v>
      </c>
      <c r="BV72" s="20">
        <v>10.747999999999999</v>
      </c>
      <c r="BW72" s="19">
        <v>57.487900000000003</v>
      </c>
      <c r="BX72">
        <v>26.95</v>
      </c>
      <c r="BY72" s="5">
        <v>7621234</v>
      </c>
      <c r="BZ72" s="6">
        <v>24173291</v>
      </c>
      <c r="CA72" s="7">
        <f t="shared" si="5"/>
        <v>3.1718342462651061</v>
      </c>
      <c r="CB72">
        <v>6643324</v>
      </c>
      <c r="CC72" s="8">
        <f t="shared" si="6"/>
        <v>3.6387343143281887</v>
      </c>
      <c r="CD72" s="8">
        <f t="shared" si="7"/>
        <v>1.1472019127773987</v>
      </c>
      <c r="CE72">
        <v>110996</v>
      </c>
      <c r="CF72" s="8">
        <f t="shared" si="8"/>
        <v>68.662240080723635</v>
      </c>
      <c r="CG72" s="8">
        <f t="shared" si="9"/>
        <v>217.7852445133158</v>
      </c>
      <c r="CH72">
        <v>105.15606</v>
      </c>
    </row>
    <row r="73" spans="1:86" ht="15.5" x14ac:dyDescent="0.35">
      <c r="A73" t="s">
        <v>88</v>
      </c>
      <c r="B73">
        <v>2023</v>
      </c>
      <c r="C73" s="26">
        <v>57.1601</v>
      </c>
      <c r="E73">
        <v>0.1862</v>
      </c>
      <c r="F73">
        <v>6.1726999999999999</v>
      </c>
      <c r="H73">
        <v>11</v>
      </c>
      <c r="I73" s="19">
        <v>134.14599999999999</v>
      </c>
      <c r="J73" s="19">
        <v>136.16</v>
      </c>
      <c r="K73" s="19">
        <v>6.0270000000000001</v>
      </c>
      <c r="L73" s="19">
        <v>50</v>
      </c>
      <c r="M73" s="19">
        <v>907000000</v>
      </c>
      <c r="N73" s="19"/>
      <c r="P73">
        <v>36.080300000000001</v>
      </c>
      <c r="Q73" s="19">
        <v>15892.404</v>
      </c>
      <c r="R73" s="19">
        <v>9819.5735000000004</v>
      </c>
      <c r="S73" s="19">
        <v>4.9961000000000002</v>
      </c>
      <c r="T73" s="19">
        <v>33141.769899999999</v>
      </c>
      <c r="U73" s="19">
        <v>37507.773399999998</v>
      </c>
      <c r="W73" s="19">
        <v>53.301900000000003</v>
      </c>
      <c r="X73">
        <v>92</v>
      </c>
      <c r="Y73">
        <v>92</v>
      </c>
      <c r="Z73">
        <v>92</v>
      </c>
      <c r="AA73">
        <v>5</v>
      </c>
      <c r="AB73">
        <v>80.400000000000006</v>
      </c>
      <c r="AC73">
        <v>75.707300000000004</v>
      </c>
      <c r="AE73">
        <v>6</v>
      </c>
      <c r="AI73">
        <v>6.1</v>
      </c>
      <c r="AJ73">
        <v>5.6</v>
      </c>
      <c r="AK73">
        <v>6.6</v>
      </c>
      <c r="AL73" s="24">
        <v>54.9876</v>
      </c>
      <c r="AM73">
        <v>2.6</v>
      </c>
      <c r="AN73">
        <v>5173</v>
      </c>
      <c r="AV73" s="19">
        <v>55.450200000000002</v>
      </c>
      <c r="AY73">
        <v>4</v>
      </c>
      <c r="AZ73" s="25">
        <v>4</v>
      </c>
      <c r="BB73">
        <v>24.166699999999999</v>
      </c>
      <c r="BD73" s="19">
        <v>1.887</v>
      </c>
      <c r="BE73" s="19">
        <v>65.566000000000003</v>
      </c>
      <c r="BG73" s="23">
        <v>22.548999999999999</v>
      </c>
      <c r="BH73" s="20"/>
      <c r="BI73" s="20"/>
      <c r="BJ73" s="19">
        <v>53.773600000000002</v>
      </c>
      <c r="BN73">
        <v>8</v>
      </c>
      <c r="BO73">
        <v>11.442</v>
      </c>
      <c r="BQ73" s="19"/>
      <c r="BS73" s="20">
        <v>4.319</v>
      </c>
      <c r="BT73" s="20">
        <v>4.319</v>
      </c>
      <c r="BU73" s="20">
        <v>12.048</v>
      </c>
      <c r="BV73" s="20">
        <v>12.092000000000001</v>
      </c>
      <c r="BW73" s="19">
        <v>60.2941</v>
      </c>
      <c r="BX73">
        <v>26.63</v>
      </c>
      <c r="BY73" s="5">
        <v>8640448</v>
      </c>
      <c r="BZ73" s="6">
        <v>26865046</v>
      </c>
      <c r="CA73" s="7">
        <f t="shared" si="5"/>
        <v>3.1092191053056508</v>
      </c>
      <c r="CB73">
        <v>6446596</v>
      </c>
      <c r="CC73" s="8">
        <f t="shared" si="6"/>
        <v>4.1673227234962456</v>
      </c>
      <c r="CD73" s="8">
        <f t="shared" si="7"/>
        <v>1.3403116931788497</v>
      </c>
      <c r="CE73">
        <v>110996</v>
      </c>
      <c r="CF73" s="8">
        <f t="shared" si="8"/>
        <v>77.844679087534686</v>
      </c>
      <c r="CG73" s="8">
        <f t="shared" si="9"/>
        <v>242.03616346535011</v>
      </c>
      <c r="CH73">
        <v>107.43598</v>
      </c>
    </row>
    <row r="74" spans="1:86" ht="15.5" x14ac:dyDescent="0.35">
      <c r="A74" t="s">
        <v>89</v>
      </c>
      <c r="B74">
        <v>2000</v>
      </c>
      <c r="C74" s="2">
        <v>48.883000000000003</v>
      </c>
      <c r="D74">
        <v>29781.19</v>
      </c>
      <c r="E74">
        <v>0.20349999999999999</v>
      </c>
      <c r="F74">
        <v>4.3360000000000003</v>
      </c>
      <c r="G74">
        <v>26100</v>
      </c>
      <c r="H74">
        <v>8</v>
      </c>
      <c r="I74" s="19">
        <v>69.322000000000003</v>
      </c>
      <c r="J74" s="19">
        <v>70.94</v>
      </c>
      <c r="K74" s="19">
        <v>4.9669999999999996</v>
      </c>
      <c r="L74" s="19">
        <v>57.446800000000003</v>
      </c>
      <c r="M74" s="19">
        <v>-312000000</v>
      </c>
      <c r="N74" s="19">
        <v>34.286999999999999</v>
      </c>
      <c r="Q74" s="19">
        <v>5054.8</v>
      </c>
      <c r="R74" s="19">
        <v>8879.9650000000001</v>
      </c>
      <c r="S74" s="19">
        <v>3.9658000000000002</v>
      </c>
      <c r="T74" s="19">
        <v>21303.804700000001</v>
      </c>
      <c r="U74" s="19">
        <v>10672.233200000001</v>
      </c>
      <c r="W74" s="19">
        <v>63.934399999999997</v>
      </c>
      <c r="X74">
        <v>93</v>
      </c>
      <c r="Z74">
        <v>93</v>
      </c>
      <c r="AA74">
        <v>7.2</v>
      </c>
      <c r="AB74">
        <v>6.64</v>
      </c>
      <c r="AC74">
        <v>72.8078</v>
      </c>
      <c r="AE74">
        <v>8</v>
      </c>
      <c r="AF74">
        <v>83.003900000000002</v>
      </c>
      <c r="AG74">
        <v>15.2</v>
      </c>
      <c r="AH74">
        <v>0.56000000000000005</v>
      </c>
      <c r="AI74">
        <v>8.3000000000000007</v>
      </c>
      <c r="AJ74">
        <v>7.5</v>
      </c>
      <c r="AK74">
        <v>9.1</v>
      </c>
      <c r="AL74">
        <v>52.245699999999999</v>
      </c>
      <c r="AM74">
        <v>5.5</v>
      </c>
      <c r="AN74">
        <v>-47629</v>
      </c>
      <c r="AO74">
        <v>0</v>
      </c>
      <c r="AP74">
        <v>98.6494</v>
      </c>
      <c r="AQ74">
        <v>98.467399999999998</v>
      </c>
      <c r="AR74">
        <v>85.116399999999999</v>
      </c>
      <c r="AT74">
        <v>89.104500000000002</v>
      </c>
      <c r="AU74">
        <v>22.607299999999999</v>
      </c>
      <c r="AV74" s="19">
        <v>58.201099999999997</v>
      </c>
      <c r="AZ74">
        <v>4</v>
      </c>
      <c r="BA74">
        <v>78.796999999999997</v>
      </c>
      <c r="BB74">
        <v>20.529800000000002</v>
      </c>
      <c r="BC74">
        <v>6.5068999999999999</v>
      </c>
      <c r="BD74" s="19">
        <v>3.7490000000000001</v>
      </c>
      <c r="BE74" s="19">
        <v>50.543500000000002</v>
      </c>
      <c r="BF74">
        <v>57.372599999999998</v>
      </c>
      <c r="BG74">
        <v>26.8</v>
      </c>
      <c r="BH74" s="20">
        <v>1.0425</v>
      </c>
      <c r="BI74" s="20">
        <v>1554.7175</v>
      </c>
      <c r="BJ74" s="19">
        <v>50.746299999999998</v>
      </c>
      <c r="BK74">
        <v>0.9899</v>
      </c>
      <c r="BL74">
        <v>1.0107999999999999</v>
      </c>
      <c r="BM74">
        <v>1.0213000000000001</v>
      </c>
      <c r="BN74">
        <v>8</v>
      </c>
      <c r="BP74">
        <v>20.49</v>
      </c>
      <c r="BQ74" s="19">
        <v>99.805099999999996</v>
      </c>
      <c r="BR74">
        <v>48.248100000000001</v>
      </c>
      <c r="BS74" s="20">
        <v>16.064</v>
      </c>
      <c r="BT74" s="20">
        <v>16.064</v>
      </c>
      <c r="BU74" s="20">
        <v>41.82</v>
      </c>
      <c r="BV74" s="20"/>
      <c r="BW74" s="19">
        <v>65.174099999999996</v>
      </c>
      <c r="BX74">
        <v>33.76</v>
      </c>
      <c r="BY74" s="6">
        <v>5921998</v>
      </c>
      <c r="BZ74" s="5">
        <v>30857685</v>
      </c>
      <c r="CA74" s="7">
        <f t="shared" si="5"/>
        <v>5.210688183278684</v>
      </c>
      <c r="CB74">
        <v>4468302</v>
      </c>
      <c r="CC74" s="8">
        <f t="shared" si="6"/>
        <v>6.9059085531819466</v>
      </c>
      <c r="CD74" s="8">
        <f t="shared" si="7"/>
        <v>1.3253352168228558</v>
      </c>
      <c r="CE74">
        <v>56594</v>
      </c>
      <c r="CF74" s="8">
        <f t="shared" si="8"/>
        <v>104.64003251228046</v>
      </c>
      <c r="CG74" s="8">
        <f t="shared" si="9"/>
        <v>545.24658090963703</v>
      </c>
      <c r="CH74">
        <v>91.872919999999993</v>
      </c>
    </row>
    <row r="75" spans="1:86" ht="15.5" x14ac:dyDescent="0.35">
      <c r="A75" t="s">
        <v>89</v>
      </c>
      <c r="B75">
        <v>2001</v>
      </c>
      <c r="C75" s="2">
        <v>49.356499999999997</v>
      </c>
      <c r="D75">
        <v>31624.1</v>
      </c>
      <c r="E75">
        <v>0.20930000000000001</v>
      </c>
      <c r="F75">
        <v>4.7771999999999997</v>
      </c>
      <c r="G75">
        <v>27300</v>
      </c>
      <c r="H75">
        <v>8</v>
      </c>
      <c r="I75" s="19">
        <v>72.275000000000006</v>
      </c>
      <c r="J75" s="19">
        <v>72.64</v>
      </c>
      <c r="K75" s="19">
        <v>3.9790000000000001</v>
      </c>
      <c r="L75" s="19"/>
      <c r="M75" s="19">
        <v>-502000000</v>
      </c>
      <c r="N75" s="19">
        <v>36.100499999999997</v>
      </c>
      <c r="Q75" s="19">
        <v>5364.4409999999998</v>
      </c>
      <c r="R75" s="19">
        <v>9515.4091000000008</v>
      </c>
      <c r="S75" s="19">
        <v>7.1558999999999999</v>
      </c>
      <c r="T75" s="19">
        <v>22828.290099999998</v>
      </c>
      <c r="U75" s="19">
        <v>11654.259</v>
      </c>
      <c r="W75" s="19"/>
      <c r="X75">
        <v>94</v>
      </c>
      <c r="Z75">
        <v>94</v>
      </c>
      <c r="AA75">
        <v>6.9</v>
      </c>
      <c r="AB75">
        <v>11.6</v>
      </c>
      <c r="AC75">
        <v>74.512900000000002</v>
      </c>
      <c r="AD75">
        <v>101.72709999999999</v>
      </c>
      <c r="AE75">
        <v>7</v>
      </c>
      <c r="AF75">
        <v>83.529799999999994</v>
      </c>
      <c r="AG75">
        <v>15.1</v>
      </c>
      <c r="AH75">
        <v>0.62</v>
      </c>
      <c r="AI75">
        <v>8</v>
      </c>
      <c r="AJ75">
        <v>7.2</v>
      </c>
      <c r="AK75">
        <v>8.8000000000000007</v>
      </c>
      <c r="AL75">
        <v>53.067900000000002</v>
      </c>
      <c r="AM75">
        <v>5.3</v>
      </c>
      <c r="AN75">
        <v>19298</v>
      </c>
      <c r="AO75">
        <v>0</v>
      </c>
      <c r="AP75">
        <v>98.655600000000007</v>
      </c>
      <c r="AQ75">
        <v>98.468699999999998</v>
      </c>
      <c r="AR75">
        <v>85.168899999999994</v>
      </c>
      <c r="AT75">
        <v>89.104500000000002</v>
      </c>
      <c r="AU75">
        <v>22.922699999999999</v>
      </c>
      <c r="AV75" s="19"/>
      <c r="AZ75">
        <v>4</v>
      </c>
      <c r="BA75">
        <v>78.844399999999993</v>
      </c>
      <c r="BB75">
        <v>20.529800000000002</v>
      </c>
      <c r="BC75">
        <v>5.8948</v>
      </c>
      <c r="BD75" s="19">
        <v>3.1080000000000001</v>
      </c>
      <c r="BE75" s="19"/>
      <c r="BF75">
        <v>56.354900000000001</v>
      </c>
      <c r="BG75">
        <v>26.9</v>
      </c>
      <c r="BH75" s="20">
        <v>0.91759999999999997</v>
      </c>
      <c r="BI75" s="20">
        <v>1549.1918000000001</v>
      </c>
      <c r="BJ75" s="19"/>
      <c r="BK75">
        <v>0.99009999999999998</v>
      </c>
      <c r="BL75">
        <v>1.0092000000000001</v>
      </c>
      <c r="BM75">
        <v>1.0187999999999999</v>
      </c>
      <c r="BN75">
        <v>8</v>
      </c>
      <c r="BP75">
        <v>19.57</v>
      </c>
      <c r="BQ75" s="19">
        <v>98.587999999999994</v>
      </c>
      <c r="BR75">
        <v>49.292900000000003</v>
      </c>
      <c r="BS75" s="20">
        <v>15.821999999999999</v>
      </c>
      <c r="BT75" s="20">
        <v>15.821999999999999</v>
      </c>
      <c r="BU75" s="20">
        <v>39.677</v>
      </c>
      <c r="BV75" s="20"/>
      <c r="BW75" s="19"/>
      <c r="BX75">
        <v>32.24</v>
      </c>
      <c r="BY75" s="6">
        <v>6464933</v>
      </c>
      <c r="BZ75" s="5">
        <v>33913895</v>
      </c>
      <c r="CA75" s="7">
        <f t="shared" si="5"/>
        <v>5.2458231198993088</v>
      </c>
      <c r="CB75">
        <v>4299642</v>
      </c>
      <c r="CC75" s="8">
        <f t="shared" si="6"/>
        <v>7.887609014890077</v>
      </c>
      <c r="CD75" s="8">
        <f t="shared" si="7"/>
        <v>1.5035979739708563</v>
      </c>
      <c r="CE75">
        <v>56594</v>
      </c>
      <c r="CF75" s="8">
        <f t="shared" si="8"/>
        <v>114.23354065802029</v>
      </c>
      <c r="CG75" s="8">
        <f t="shared" si="9"/>
        <v>599.24894865180056</v>
      </c>
      <c r="CH75">
        <v>95.478099999999998</v>
      </c>
    </row>
    <row r="76" spans="1:86" ht="15.5" x14ac:dyDescent="0.35">
      <c r="A76" t="s">
        <v>89</v>
      </c>
      <c r="B76">
        <v>2002</v>
      </c>
      <c r="C76" s="2">
        <v>49.6449</v>
      </c>
      <c r="D76">
        <v>32754.25</v>
      </c>
      <c r="E76">
        <v>0.2056</v>
      </c>
      <c r="F76">
        <v>4.9640000000000004</v>
      </c>
      <c r="G76">
        <v>28500</v>
      </c>
      <c r="H76">
        <v>8</v>
      </c>
      <c r="I76" s="19">
        <v>74.106999999999999</v>
      </c>
      <c r="J76" s="19">
        <v>74.709999999999994</v>
      </c>
      <c r="K76" s="19">
        <v>4.1139999999999999</v>
      </c>
      <c r="L76" s="19">
        <v>62.433900000000001</v>
      </c>
      <c r="M76" s="19">
        <v>-1708000000</v>
      </c>
      <c r="N76" s="19">
        <v>37.938600000000001</v>
      </c>
      <c r="O76">
        <v>26.75</v>
      </c>
      <c r="Q76" s="19">
        <v>6215.4669999999996</v>
      </c>
      <c r="R76" s="19">
        <v>10061.694299999999</v>
      </c>
      <c r="S76" s="19">
        <v>5.7411000000000003</v>
      </c>
      <c r="T76" s="19">
        <v>24138.875700000001</v>
      </c>
      <c r="U76" s="19">
        <v>12774.6522</v>
      </c>
      <c r="W76" s="19">
        <v>63.783799999999999</v>
      </c>
      <c r="X76">
        <v>95</v>
      </c>
      <c r="Z76">
        <v>95</v>
      </c>
      <c r="AA76">
        <v>6.6</v>
      </c>
      <c r="AB76">
        <v>17.8</v>
      </c>
      <c r="AC76">
        <v>74.717299999999994</v>
      </c>
      <c r="AD76">
        <v>103.3691</v>
      </c>
      <c r="AE76">
        <v>7</v>
      </c>
      <c r="AF76">
        <v>83.659400000000005</v>
      </c>
      <c r="AG76">
        <v>14.7</v>
      </c>
      <c r="AH76">
        <v>0.51</v>
      </c>
      <c r="AI76">
        <v>7.7</v>
      </c>
      <c r="AJ76">
        <v>7</v>
      </c>
      <c r="AK76">
        <v>8.4</v>
      </c>
      <c r="AL76">
        <v>53.473599999999998</v>
      </c>
      <c r="AM76">
        <v>5</v>
      </c>
      <c r="AN76">
        <v>10306</v>
      </c>
      <c r="AO76">
        <v>0</v>
      </c>
      <c r="AP76">
        <v>98.660499999999999</v>
      </c>
      <c r="AQ76">
        <v>98.278499999999994</v>
      </c>
      <c r="AR76">
        <v>85.2102</v>
      </c>
      <c r="AT76">
        <v>89.025000000000006</v>
      </c>
      <c r="AU76">
        <v>23.470500000000001</v>
      </c>
      <c r="AV76" s="19">
        <v>68.783100000000005</v>
      </c>
      <c r="AZ76">
        <v>4</v>
      </c>
      <c r="BA76">
        <v>78.732200000000006</v>
      </c>
      <c r="BB76">
        <v>20.529800000000002</v>
      </c>
      <c r="BC76">
        <v>4.8536000000000001</v>
      </c>
      <c r="BD76" s="19">
        <v>5.8040000000000003</v>
      </c>
      <c r="BE76" s="19">
        <v>62.162199999999999</v>
      </c>
      <c r="BF76">
        <v>46.338900000000002</v>
      </c>
      <c r="BG76">
        <v>24.6</v>
      </c>
      <c r="BH76" s="20">
        <v>0.94089999999999996</v>
      </c>
      <c r="BI76" s="20">
        <v>1990.8424</v>
      </c>
      <c r="BJ76" s="19">
        <v>48.258699999999997</v>
      </c>
      <c r="BK76">
        <v>0.99160000000000004</v>
      </c>
      <c r="BL76">
        <v>1.0094000000000001</v>
      </c>
      <c r="BM76">
        <v>1.0183</v>
      </c>
      <c r="BN76">
        <v>8</v>
      </c>
      <c r="BO76">
        <v>20.366</v>
      </c>
      <c r="BP76">
        <v>19.37</v>
      </c>
      <c r="BQ76" s="19">
        <v>97.256799999999998</v>
      </c>
      <c r="BR76">
        <v>52.884700000000002</v>
      </c>
      <c r="BS76" s="20">
        <v>15.053000000000001</v>
      </c>
      <c r="BT76" s="20">
        <v>15.053000000000001</v>
      </c>
      <c r="BU76" s="20">
        <v>36.533000000000001</v>
      </c>
      <c r="BV76" s="20">
        <v>36.305999999999997</v>
      </c>
      <c r="BW76" s="19">
        <v>65.174099999999996</v>
      </c>
      <c r="BX76">
        <v>34.56</v>
      </c>
      <c r="BY76" s="6">
        <v>6772646</v>
      </c>
      <c r="BZ76" s="5">
        <v>34346675</v>
      </c>
      <c r="CA76" s="7">
        <f t="shared" si="5"/>
        <v>5.0713819975235674</v>
      </c>
      <c r="CB76">
        <v>4302174</v>
      </c>
      <c r="CC76" s="8">
        <f t="shared" si="6"/>
        <v>7.9835624965424454</v>
      </c>
      <c r="CD76" s="8">
        <f t="shared" si="7"/>
        <v>1.5742380480194431</v>
      </c>
      <c r="CE76">
        <v>56594</v>
      </c>
      <c r="CF76" s="8">
        <f t="shared" si="8"/>
        <v>119.67074248153514</v>
      </c>
      <c r="CG76" s="8">
        <f t="shared" si="9"/>
        <v>606.89604905113617</v>
      </c>
      <c r="CH76">
        <v>96.418629999999993</v>
      </c>
    </row>
    <row r="77" spans="1:86" ht="15.5" x14ac:dyDescent="0.35">
      <c r="A77" t="s">
        <v>89</v>
      </c>
      <c r="B77">
        <v>2003</v>
      </c>
      <c r="C77" s="2">
        <v>49.7926</v>
      </c>
      <c r="D77">
        <v>36166.449999999997</v>
      </c>
      <c r="E77">
        <v>0.20749999999999999</v>
      </c>
      <c r="F77">
        <v>5.2854000000000001</v>
      </c>
      <c r="G77">
        <v>29900</v>
      </c>
      <c r="H77">
        <v>8</v>
      </c>
      <c r="I77" s="19">
        <v>75.884</v>
      </c>
      <c r="J77" s="19">
        <v>76.319999999999993</v>
      </c>
      <c r="K77" s="19">
        <v>3.5779999999999998</v>
      </c>
      <c r="L77" s="19">
        <v>63.492100000000001</v>
      </c>
      <c r="M77" s="19">
        <v>-3150000000</v>
      </c>
      <c r="N77" s="19">
        <v>47.865499999999997</v>
      </c>
      <c r="O77">
        <v>28.260999999999999</v>
      </c>
      <c r="P77">
        <v>7.8899999999999998E-2</v>
      </c>
      <c r="Q77" s="19">
        <v>8189.4639999999999</v>
      </c>
      <c r="R77" s="19">
        <v>10618.943300000001</v>
      </c>
      <c r="S77" s="19">
        <v>5.5382999999999996</v>
      </c>
      <c r="T77" s="19">
        <v>25475.764299999999</v>
      </c>
      <c r="U77" s="19">
        <v>13693.250400000001</v>
      </c>
      <c r="W77" s="19">
        <v>62.7027</v>
      </c>
      <c r="X77">
        <v>94</v>
      </c>
      <c r="Z77">
        <v>94</v>
      </c>
      <c r="AA77">
        <v>6.6</v>
      </c>
      <c r="AB77">
        <v>22.8</v>
      </c>
      <c r="AC77">
        <v>74.613900000000001</v>
      </c>
      <c r="AD77">
        <v>98.908100000000005</v>
      </c>
      <c r="AE77">
        <v>8</v>
      </c>
      <c r="AF77">
        <v>83.730999999999995</v>
      </c>
      <c r="AG77">
        <v>16.5</v>
      </c>
      <c r="AH77">
        <v>0.81</v>
      </c>
      <c r="AI77">
        <v>8.1999999999999993</v>
      </c>
      <c r="AJ77">
        <v>7.5</v>
      </c>
      <c r="AK77">
        <v>8.8000000000000007</v>
      </c>
      <c r="AL77">
        <v>54.293599999999998</v>
      </c>
      <c r="AM77">
        <v>4.8</v>
      </c>
      <c r="AN77">
        <v>12556</v>
      </c>
      <c r="AO77">
        <v>0</v>
      </c>
      <c r="AP77">
        <v>98.665400000000005</v>
      </c>
      <c r="AQ77">
        <v>98.089100000000002</v>
      </c>
      <c r="AR77">
        <v>85.2517</v>
      </c>
      <c r="AT77">
        <v>88.945400000000006</v>
      </c>
      <c r="AU77">
        <v>24.076899999999998</v>
      </c>
      <c r="AV77" s="19">
        <v>64.321600000000004</v>
      </c>
      <c r="AZ77">
        <v>4</v>
      </c>
      <c r="BA77">
        <v>78.620500000000007</v>
      </c>
      <c r="BC77">
        <v>5.1204999999999998</v>
      </c>
      <c r="BD77" s="19">
        <v>5.5679999999999996</v>
      </c>
      <c r="BE77" s="19">
        <v>65.945899999999995</v>
      </c>
      <c r="BF77">
        <v>41.639800000000001</v>
      </c>
      <c r="BG77">
        <v>24.8</v>
      </c>
      <c r="BH77" s="20">
        <v>0.94069999999999998</v>
      </c>
      <c r="BI77" s="20">
        <v>1361.1721</v>
      </c>
      <c r="BJ77" s="19">
        <v>51.2438</v>
      </c>
      <c r="BK77">
        <v>0.99439999999999995</v>
      </c>
      <c r="BL77">
        <v>1.0087999999999999</v>
      </c>
      <c r="BM77">
        <v>1.016</v>
      </c>
      <c r="BN77">
        <v>8</v>
      </c>
      <c r="BO77">
        <v>18.206</v>
      </c>
      <c r="BP77">
        <v>19.64</v>
      </c>
      <c r="BQ77" s="19">
        <v>96.742599999999996</v>
      </c>
      <c r="BR77">
        <v>54.7423</v>
      </c>
      <c r="BS77" s="20">
        <v>13.923999999999999</v>
      </c>
      <c r="BT77" s="20">
        <v>13.923999999999999</v>
      </c>
      <c r="BU77" s="20">
        <v>36.088999999999999</v>
      </c>
      <c r="BV77" s="20">
        <v>35.817999999999998</v>
      </c>
      <c r="BW77" s="19">
        <v>66.666700000000006</v>
      </c>
      <c r="BX77">
        <v>32.94</v>
      </c>
      <c r="BY77" s="6">
        <v>7180065</v>
      </c>
      <c r="BZ77" s="5">
        <v>35245898</v>
      </c>
      <c r="CA77" s="7">
        <f t="shared" si="5"/>
        <v>4.9088550034017802</v>
      </c>
      <c r="CB77">
        <v>4303399</v>
      </c>
      <c r="CC77" s="8">
        <f t="shared" si="6"/>
        <v>8.1902463610741183</v>
      </c>
      <c r="CD77" s="8">
        <f t="shared" si="7"/>
        <v>1.6684636957902346</v>
      </c>
      <c r="CE77">
        <v>56594</v>
      </c>
      <c r="CF77" s="8">
        <f t="shared" si="8"/>
        <v>126.86972117185567</v>
      </c>
      <c r="CG77" s="8">
        <f t="shared" si="9"/>
        <v>622.78506555465242</v>
      </c>
      <c r="CH77">
        <v>94.987359999999995</v>
      </c>
    </row>
    <row r="78" spans="1:86" ht="15.5" x14ac:dyDescent="0.35">
      <c r="A78" t="s">
        <v>89</v>
      </c>
      <c r="B78">
        <v>2004</v>
      </c>
      <c r="C78" s="2">
        <v>49.846800000000002</v>
      </c>
      <c r="D78">
        <v>37033.01</v>
      </c>
      <c r="E78">
        <v>0.19900000000000001</v>
      </c>
      <c r="F78">
        <v>5.2794999999999996</v>
      </c>
      <c r="G78">
        <v>30200</v>
      </c>
      <c r="H78">
        <v>8</v>
      </c>
      <c r="I78" s="19">
        <v>77.510999999999996</v>
      </c>
      <c r="J78" s="19">
        <v>77.81</v>
      </c>
      <c r="K78" s="19">
        <v>4.0730000000000004</v>
      </c>
      <c r="L78" s="19">
        <v>61.0837</v>
      </c>
      <c r="M78" s="19">
        <v>-2493000000</v>
      </c>
      <c r="N78" s="19">
        <v>62.0824</v>
      </c>
      <c r="O78">
        <v>17.510999999999999</v>
      </c>
      <c r="P78">
        <v>0.6079</v>
      </c>
      <c r="Q78" s="19">
        <v>9714.2080000000005</v>
      </c>
      <c r="R78" s="19">
        <v>11058.7184</v>
      </c>
      <c r="S78" s="19">
        <v>4.1414</v>
      </c>
      <c r="T78" s="19">
        <v>26530.822899999999</v>
      </c>
      <c r="U78" s="19">
        <v>14688.1194</v>
      </c>
      <c r="W78" s="19">
        <v>67.661699999999996</v>
      </c>
      <c r="X78">
        <v>96</v>
      </c>
      <c r="Z78">
        <v>96</v>
      </c>
      <c r="AA78">
        <v>6.1</v>
      </c>
      <c r="AB78">
        <v>30.9</v>
      </c>
      <c r="AC78">
        <v>75.520200000000003</v>
      </c>
      <c r="AE78">
        <v>7</v>
      </c>
      <c r="AF78">
        <v>83.948999999999998</v>
      </c>
      <c r="AG78">
        <v>14.3</v>
      </c>
      <c r="AH78">
        <v>0.87</v>
      </c>
      <c r="AI78">
        <v>7.1</v>
      </c>
      <c r="AJ78">
        <v>6.4</v>
      </c>
      <c r="AK78">
        <v>7.7</v>
      </c>
      <c r="AL78">
        <v>54.722200000000001</v>
      </c>
      <c r="AM78">
        <v>4.5</v>
      </c>
      <c r="AN78">
        <v>15445</v>
      </c>
      <c r="AO78">
        <v>0</v>
      </c>
      <c r="AP78">
        <v>98.670299999999997</v>
      </c>
      <c r="AQ78">
        <v>97.900300000000001</v>
      </c>
      <c r="AR78">
        <v>85.292900000000003</v>
      </c>
      <c r="AT78">
        <v>88.865899999999996</v>
      </c>
      <c r="AU78">
        <v>24.568300000000001</v>
      </c>
      <c r="AV78" s="19">
        <v>70.388400000000004</v>
      </c>
      <c r="AZ78">
        <v>4</v>
      </c>
      <c r="BA78">
        <v>78.509</v>
      </c>
      <c r="BB78">
        <v>21.7105</v>
      </c>
      <c r="BC78">
        <v>5.1913</v>
      </c>
      <c r="BD78" s="19">
        <v>4.1719999999999997</v>
      </c>
      <c r="BE78" s="19">
        <v>67.164199999999994</v>
      </c>
      <c r="BF78">
        <v>55.222999999999999</v>
      </c>
      <c r="BG78">
        <v>26.6</v>
      </c>
      <c r="BH78" s="20">
        <v>1.02</v>
      </c>
      <c r="BI78" s="20">
        <v>1657.5648000000001</v>
      </c>
      <c r="BJ78" s="19">
        <v>54.807699999999997</v>
      </c>
      <c r="BN78">
        <v>8</v>
      </c>
      <c r="BO78">
        <v>16.751000000000001</v>
      </c>
      <c r="BP78">
        <v>19.95</v>
      </c>
      <c r="BQ78" s="19">
        <v>97.455600000000004</v>
      </c>
      <c r="BR78">
        <v>57.434600000000003</v>
      </c>
      <c r="BS78" s="20">
        <v>13.664</v>
      </c>
      <c r="BT78" s="20">
        <v>13.664</v>
      </c>
      <c r="BU78" s="20">
        <v>32.826000000000001</v>
      </c>
      <c r="BV78" s="20">
        <v>32.762999999999998</v>
      </c>
      <c r="BW78" s="19">
        <v>69.230800000000002</v>
      </c>
      <c r="BX78">
        <v>33.61</v>
      </c>
      <c r="BY78" s="6">
        <v>7620847</v>
      </c>
      <c r="BZ78" s="5">
        <v>35991471</v>
      </c>
      <c r="CA78" s="7">
        <f t="shared" si="5"/>
        <v>4.7227651991963624</v>
      </c>
      <c r="CB78">
        <v>4304600</v>
      </c>
      <c r="CC78" s="8">
        <f t="shared" si="6"/>
        <v>8.3611650327556575</v>
      </c>
      <c r="CD78" s="8">
        <f t="shared" si="7"/>
        <v>1.770396087905961</v>
      </c>
      <c r="CE78">
        <v>56594</v>
      </c>
      <c r="CF78" s="8">
        <f t="shared" si="8"/>
        <v>134.65821465172988</v>
      </c>
      <c r="CG78" s="8">
        <f t="shared" si="9"/>
        <v>635.95912994310356</v>
      </c>
      <c r="CH78">
        <v>95.926649999999995</v>
      </c>
    </row>
    <row r="79" spans="1:86" ht="15.5" x14ac:dyDescent="0.35">
      <c r="A79" t="s">
        <v>89</v>
      </c>
      <c r="B79">
        <v>2005</v>
      </c>
      <c r="C79" s="2">
        <v>49.961399999999998</v>
      </c>
      <c r="D79">
        <v>37344.76</v>
      </c>
      <c r="E79">
        <v>0.1918</v>
      </c>
      <c r="F79">
        <v>5.3010999999999999</v>
      </c>
      <c r="G79">
        <v>30700</v>
      </c>
      <c r="H79">
        <v>8</v>
      </c>
      <c r="I79" s="19">
        <v>79.832999999999998</v>
      </c>
      <c r="J79" s="19">
        <v>80.91</v>
      </c>
      <c r="K79" s="19">
        <v>3.875</v>
      </c>
      <c r="L79" s="19">
        <v>58.5366</v>
      </c>
      <c r="M79" s="19">
        <v>-3289000000</v>
      </c>
      <c r="N79" s="19">
        <v>67.876099999999994</v>
      </c>
      <c r="O79">
        <v>28.213999999999999</v>
      </c>
      <c r="P79">
        <v>2.6936</v>
      </c>
      <c r="Q79" s="19">
        <v>10448.914000000001</v>
      </c>
      <c r="R79" s="19">
        <v>11522.395</v>
      </c>
      <c r="S79" s="19">
        <v>4.1928999999999998</v>
      </c>
      <c r="T79" s="19">
        <v>27643.223099999999</v>
      </c>
      <c r="U79" s="19">
        <v>15450.879300000001</v>
      </c>
      <c r="W79" s="19">
        <v>67.647099999999995</v>
      </c>
      <c r="X79">
        <v>96</v>
      </c>
      <c r="Z79">
        <v>96</v>
      </c>
      <c r="AA79">
        <v>5.8</v>
      </c>
      <c r="AB79">
        <v>33.1</v>
      </c>
      <c r="AC79">
        <v>75.244600000000005</v>
      </c>
      <c r="AD79">
        <v>100.30629999999999</v>
      </c>
      <c r="AE79">
        <v>7</v>
      </c>
      <c r="AF79">
        <v>85.403800000000004</v>
      </c>
      <c r="AG79">
        <v>14.1</v>
      </c>
      <c r="AH79">
        <v>0.85</v>
      </c>
      <c r="AI79">
        <v>6.7</v>
      </c>
      <c r="AJ79">
        <v>6.1</v>
      </c>
      <c r="AK79">
        <v>7.3</v>
      </c>
      <c r="AL79">
        <v>54.146500000000003</v>
      </c>
      <c r="AM79">
        <v>4.2</v>
      </c>
      <c r="AN79">
        <v>10629</v>
      </c>
      <c r="AO79">
        <v>0</v>
      </c>
      <c r="AP79">
        <v>98.6751</v>
      </c>
      <c r="AQ79">
        <v>97.712100000000007</v>
      </c>
      <c r="AR79">
        <v>85.334199999999996</v>
      </c>
      <c r="AT79">
        <v>88.786199999999994</v>
      </c>
      <c r="AU79">
        <v>24.770600000000002</v>
      </c>
      <c r="AV79" s="19">
        <v>59.223300000000002</v>
      </c>
      <c r="AZ79">
        <v>4</v>
      </c>
      <c r="BA79">
        <v>78.397800000000004</v>
      </c>
      <c r="BB79">
        <v>21.7105</v>
      </c>
      <c r="BC79">
        <v>5.8121999999999998</v>
      </c>
      <c r="BD79" s="19">
        <v>4.3259999999999996</v>
      </c>
      <c r="BE79" s="19">
        <v>64.7059</v>
      </c>
      <c r="BF79">
        <v>54.433199999999999</v>
      </c>
      <c r="BG79">
        <v>26.8</v>
      </c>
      <c r="BH79" s="20">
        <v>0.8478</v>
      </c>
      <c r="BI79" s="20">
        <v>1327.9733000000001</v>
      </c>
      <c r="BJ79" s="19">
        <v>55.023899999999998</v>
      </c>
      <c r="BK79">
        <v>0.99950000000000006</v>
      </c>
      <c r="BL79">
        <v>1.0223</v>
      </c>
      <c r="BM79">
        <v>1.0339</v>
      </c>
      <c r="BN79">
        <v>8</v>
      </c>
      <c r="BO79">
        <v>16.719000000000001</v>
      </c>
      <c r="BP79">
        <v>20.02</v>
      </c>
      <c r="BQ79" s="19">
        <v>97.524100000000004</v>
      </c>
      <c r="BR79">
        <v>59.182600000000001</v>
      </c>
      <c r="BS79" s="20">
        <v>12.598000000000001</v>
      </c>
      <c r="BT79" s="20">
        <v>12.598000000000001</v>
      </c>
      <c r="BU79" s="20">
        <v>32.540999999999997</v>
      </c>
      <c r="BV79" s="20">
        <v>32.262999999999998</v>
      </c>
      <c r="BW79" s="19">
        <v>63.461500000000001</v>
      </c>
      <c r="BX79">
        <v>31.11</v>
      </c>
      <c r="BY79" s="6">
        <v>7975696</v>
      </c>
      <c r="BZ79" s="5">
        <v>37292448</v>
      </c>
      <c r="CA79" s="7">
        <f t="shared" si="5"/>
        <v>4.675760961801954</v>
      </c>
      <c r="CB79">
        <v>4310145</v>
      </c>
      <c r="CC79" s="8">
        <f t="shared" si="6"/>
        <v>8.6522490542661554</v>
      </c>
      <c r="CD79" s="8">
        <f t="shared" si="7"/>
        <v>1.850447258734915</v>
      </c>
      <c r="CE79">
        <v>56594</v>
      </c>
      <c r="CF79" s="8">
        <f t="shared" si="8"/>
        <v>140.92829628582535</v>
      </c>
      <c r="CG79" s="8">
        <f t="shared" si="9"/>
        <v>658.9470261865215</v>
      </c>
      <c r="CH79">
        <v>97.601860000000002</v>
      </c>
    </row>
    <row r="80" spans="1:86" ht="15.5" x14ac:dyDescent="0.35">
      <c r="A80" t="s">
        <v>89</v>
      </c>
      <c r="B80">
        <v>2006</v>
      </c>
      <c r="C80" s="2">
        <v>49.978400000000001</v>
      </c>
      <c r="D80">
        <v>38597.360000000001</v>
      </c>
      <c r="E80">
        <v>0.184</v>
      </c>
      <c r="F80">
        <v>5.3429000000000002</v>
      </c>
      <c r="G80">
        <v>31200</v>
      </c>
      <c r="H80">
        <v>8</v>
      </c>
      <c r="I80" s="19">
        <v>82.457999999999998</v>
      </c>
      <c r="J80" s="19">
        <v>82.62</v>
      </c>
      <c r="K80" s="19">
        <v>3.7789999999999999</v>
      </c>
      <c r="L80" s="19">
        <v>58.0488</v>
      </c>
      <c r="M80" s="19">
        <v>-3932000000</v>
      </c>
      <c r="N80" s="19">
        <v>80.286100000000005</v>
      </c>
      <c r="O80">
        <v>27.471</v>
      </c>
      <c r="P80">
        <v>5.8343999999999996</v>
      </c>
      <c r="Q80" s="19">
        <v>11503.712</v>
      </c>
      <c r="R80" s="19">
        <v>12105.0538</v>
      </c>
      <c r="S80" s="19">
        <v>5.0568</v>
      </c>
      <c r="T80" s="19">
        <v>29041.071899999999</v>
      </c>
      <c r="U80" s="19">
        <v>17634.8125</v>
      </c>
      <c r="W80" s="19">
        <v>69.268299999999996</v>
      </c>
      <c r="X80">
        <v>96</v>
      </c>
      <c r="Z80">
        <v>95</v>
      </c>
      <c r="AA80">
        <v>5.5</v>
      </c>
      <c r="AB80">
        <v>38</v>
      </c>
      <c r="AC80">
        <v>75.836799999999997</v>
      </c>
      <c r="AD80">
        <v>97.9011</v>
      </c>
      <c r="AE80">
        <v>6</v>
      </c>
      <c r="AF80">
        <v>85.643100000000004</v>
      </c>
      <c r="AG80">
        <v>14.5</v>
      </c>
      <c r="AH80">
        <v>0.56999999999999995</v>
      </c>
      <c r="AI80">
        <v>6.4</v>
      </c>
      <c r="AJ80">
        <v>5.9</v>
      </c>
      <c r="AK80">
        <v>7</v>
      </c>
      <c r="AL80">
        <v>53.276699999999998</v>
      </c>
      <c r="AM80">
        <v>4</v>
      </c>
      <c r="AN80">
        <v>10852</v>
      </c>
      <c r="AO80">
        <v>0</v>
      </c>
      <c r="AP80">
        <v>98.68</v>
      </c>
      <c r="AQ80">
        <v>97.524600000000007</v>
      </c>
      <c r="AR80">
        <v>85.375399999999999</v>
      </c>
      <c r="AT80">
        <v>88.706599999999995</v>
      </c>
      <c r="AU80">
        <v>24.4359</v>
      </c>
      <c r="AV80" s="19">
        <v>63.768099999999997</v>
      </c>
      <c r="AZ80">
        <v>4</v>
      </c>
      <c r="BA80">
        <v>78.287000000000006</v>
      </c>
      <c r="BB80">
        <v>21.7105</v>
      </c>
      <c r="BC80">
        <v>5.8432000000000004</v>
      </c>
      <c r="BD80" s="19">
        <v>5.0839999999999996</v>
      </c>
      <c r="BE80" s="19">
        <v>62.254899999999999</v>
      </c>
      <c r="BF80">
        <v>51.896999999999998</v>
      </c>
      <c r="BG80">
        <v>25.5</v>
      </c>
      <c r="BH80" s="20">
        <v>0.73209999999999997</v>
      </c>
      <c r="BI80" s="20">
        <v>1338.9552000000001</v>
      </c>
      <c r="BJ80" s="19">
        <v>52.153100000000002</v>
      </c>
      <c r="BK80">
        <v>0.99690000000000001</v>
      </c>
      <c r="BL80">
        <v>1.0225</v>
      </c>
      <c r="BM80">
        <v>1.0354000000000001</v>
      </c>
      <c r="BN80">
        <v>8</v>
      </c>
      <c r="BO80">
        <v>14.182</v>
      </c>
      <c r="BP80">
        <v>18.22</v>
      </c>
      <c r="BQ80" s="19">
        <v>98.543499999999995</v>
      </c>
      <c r="BR80">
        <v>63.720300000000002</v>
      </c>
      <c r="BS80" s="20">
        <v>11.13</v>
      </c>
      <c r="BT80" s="20">
        <v>11.13</v>
      </c>
      <c r="BU80" s="20">
        <v>29.1</v>
      </c>
      <c r="BV80" s="20">
        <v>28.878</v>
      </c>
      <c r="BW80" s="19">
        <v>60.576900000000002</v>
      </c>
      <c r="BX80">
        <v>32.79</v>
      </c>
      <c r="BY80" s="6">
        <v>8163542</v>
      </c>
      <c r="BZ80" s="5">
        <v>37344622</v>
      </c>
      <c r="CA80" s="7">
        <f t="shared" si="5"/>
        <v>4.5745611402501511</v>
      </c>
      <c r="CB80">
        <v>4311159</v>
      </c>
      <c r="CC80" s="8">
        <f t="shared" si="6"/>
        <v>8.662316096437177</v>
      </c>
      <c r="CD80" s="8">
        <f t="shared" si="7"/>
        <v>1.8935840686924328</v>
      </c>
      <c r="CE80">
        <v>56594</v>
      </c>
      <c r="CF80" s="8">
        <f t="shared" si="8"/>
        <v>144.2474820652366</v>
      </c>
      <c r="CG80" s="8">
        <f t="shared" si="9"/>
        <v>659.86892603456192</v>
      </c>
      <c r="CH80">
        <v>99.59939</v>
      </c>
    </row>
    <row r="81" spans="1:86" ht="15.5" x14ac:dyDescent="0.35">
      <c r="A81" t="s">
        <v>89</v>
      </c>
      <c r="B81">
        <v>2007</v>
      </c>
      <c r="C81" s="2">
        <v>50.015799999999999</v>
      </c>
      <c r="D81">
        <v>40525.53</v>
      </c>
      <c r="E81">
        <v>0.18629999999999999</v>
      </c>
      <c r="F81">
        <v>5.6849999999999996</v>
      </c>
      <c r="G81">
        <v>32700</v>
      </c>
      <c r="H81">
        <v>8</v>
      </c>
      <c r="I81" s="19">
        <v>84.65</v>
      </c>
      <c r="J81" s="19">
        <v>87.09</v>
      </c>
      <c r="K81" s="19">
        <v>5.1950000000000003</v>
      </c>
      <c r="L81" s="19">
        <v>58.252400000000002</v>
      </c>
      <c r="M81" s="19">
        <v>-4709000000</v>
      </c>
      <c r="N81" s="19">
        <v>95.661699999999996</v>
      </c>
      <c r="O81">
        <v>22.72</v>
      </c>
      <c r="P81">
        <v>8.9679000000000002</v>
      </c>
      <c r="Q81" s="19">
        <v>13759.504000000001</v>
      </c>
      <c r="R81" s="19">
        <v>12719.0033</v>
      </c>
      <c r="S81" s="19">
        <v>5.0717999999999996</v>
      </c>
      <c r="T81" s="19">
        <v>30513.99</v>
      </c>
      <c r="U81" s="19">
        <v>19570.795600000001</v>
      </c>
      <c r="W81" s="19">
        <v>67.961200000000005</v>
      </c>
      <c r="X81">
        <v>96</v>
      </c>
      <c r="Y81">
        <v>94</v>
      </c>
      <c r="Z81">
        <v>96</v>
      </c>
      <c r="AA81">
        <v>5.3</v>
      </c>
      <c r="AB81">
        <v>41.4</v>
      </c>
      <c r="AC81">
        <v>75.705600000000004</v>
      </c>
      <c r="AD81">
        <v>100.1829</v>
      </c>
      <c r="AE81">
        <v>6</v>
      </c>
      <c r="AF81">
        <v>85.697599999999994</v>
      </c>
      <c r="AG81">
        <v>14.6</v>
      </c>
      <c r="AH81">
        <v>0.55000000000000004</v>
      </c>
      <c r="AI81">
        <v>6.1</v>
      </c>
      <c r="AJ81">
        <v>5.6</v>
      </c>
      <c r="AK81">
        <v>6.6</v>
      </c>
      <c r="AL81">
        <v>53.789499999999997</v>
      </c>
      <c r="AM81">
        <v>3.9</v>
      </c>
      <c r="AN81">
        <v>8893</v>
      </c>
      <c r="AO81">
        <v>0</v>
      </c>
      <c r="AP81">
        <v>98.684899999999999</v>
      </c>
      <c r="AQ81">
        <v>97.337800000000001</v>
      </c>
      <c r="AR81">
        <v>85.416700000000006</v>
      </c>
      <c r="AT81">
        <v>88.626900000000006</v>
      </c>
      <c r="AU81">
        <v>23.637699999999999</v>
      </c>
      <c r="AV81" s="19">
        <v>67.149799999999999</v>
      </c>
      <c r="AZ81">
        <v>4</v>
      </c>
      <c r="BA81">
        <v>78.176500000000004</v>
      </c>
      <c r="BB81">
        <v>20.914999999999999</v>
      </c>
      <c r="BC81">
        <v>6.3845000000000001</v>
      </c>
      <c r="BD81" s="19">
        <v>5.048</v>
      </c>
      <c r="BE81" s="19">
        <v>64.563100000000006</v>
      </c>
      <c r="BF81">
        <v>38.6081</v>
      </c>
      <c r="BG81">
        <v>22.7</v>
      </c>
      <c r="BH81" s="20">
        <v>0.78300000000000003</v>
      </c>
      <c r="BI81" s="20">
        <v>1419.9677999999999</v>
      </c>
      <c r="BJ81" s="19">
        <v>54.545499999999997</v>
      </c>
      <c r="BK81">
        <v>0.99950000000000006</v>
      </c>
      <c r="BL81">
        <v>1.0242</v>
      </c>
      <c r="BM81">
        <v>1.0365</v>
      </c>
      <c r="BN81">
        <v>8</v>
      </c>
      <c r="BO81">
        <v>12.866</v>
      </c>
      <c r="BP81">
        <v>17.739999999999998</v>
      </c>
      <c r="BQ81" s="19">
        <v>100.4769</v>
      </c>
      <c r="BR81">
        <v>68.2166</v>
      </c>
      <c r="BS81" s="20">
        <v>9.9090000000000007</v>
      </c>
      <c r="BT81" s="20">
        <v>9.9090000000000007</v>
      </c>
      <c r="BU81" s="20">
        <v>25.123000000000001</v>
      </c>
      <c r="BV81" s="20">
        <v>25.18</v>
      </c>
      <c r="BW81" s="19">
        <v>62.980800000000002</v>
      </c>
      <c r="BX81">
        <v>33.47</v>
      </c>
      <c r="BY81" s="6">
        <v>8620730</v>
      </c>
      <c r="BZ81" s="5">
        <v>38318838</v>
      </c>
      <c r="CA81" s="7">
        <f t="shared" si="5"/>
        <v>4.4449644055665818</v>
      </c>
      <c r="CB81">
        <v>4310217</v>
      </c>
      <c r="CC81" s="8">
        <f t="shared" si="6"/>
        <v>8.890234064781426</v>
      </c>
      <c r="CD81" s="8">
        <f t="shared" si="7"/>
        <v>2.0000686740365974</v>
      </c>
      <c r="CE81">
        <v>56594</v>
      </c>
      <c r="CF81" s="8">
        <f t="shared" si="8"/>
        <v>152.32586493267837</v>
      </c>
      <c r="CG81" s="8">
        <f t="shared" si="9"/>
        <v>677.08304767289815</v>
      </c>
      <c r="CH81">
        <v>99.446430000000007</v>
      </c>
    </row>
    <row r="82" spans="1:86" ht="15.5" x14ac:dyDescent="0.35">
      <c r="A82" t="s">
        <v>89</v>
      </c>
      <c r="B82">
        <v>2008</v>
      </c>
      <c r="C82" s="2">
        <v>50.079000000000001</v>
      </c>
      <c r="D82">
        <v>40119.730000000003</v>
      </c>
      <c r="E82">
        <v>0.1739</v>
      </c>
      <c r="F82">
        <v>5.4108999999999998</v>
      </c>
      <c r="G82">
        <v>31400</v>
      </c>
      <c r="H82">
        <v>8</v>
      </c>
      <c r="I82" s="19">
        <v>89.563000000000002</v>
      </c>
      <c r="J82" s="19">
        <v>89.56</v>
      </c>
      <c r="K82" s="19">
        <v>4.5810000000000004</v>
      </c>
      <c r="L82" s="19">
        <v>56.310699999999997</v>
      </c>
      <c r="M82" s="19">
        <v>-7510000000</v>
      </c>
      <c r="N82" s="19">
        <v>109.1812</v>
      </c>
      <c r="O82">
        <v>32.103000000000002</v>
      </c>
      <c r="P82">
        <v>12.2372</v>
      </c>
      <c r="Q82" s="19">
        <v>15886.172</v>
      </c>
      <c r="R82" s="19">
        <v>12970.929099999999</v>
      </c>
      <c r="S82" s="19">
        <v>1.9806999999999999</v>
      </c>
      <c r="T82" s="19">
        <v>31118.3819</v>
      </c>
      <c r="U82" s="19">
        <v>21019.7988</v>
      </c>
      <c r="W82" s="19">
        <v>70.873800000000003</v>
      </c>
      <c r="X82">
        <v>96</v>
      </c>
      <c r="Y82">
        <v>97</v>
      </c>
      <c r="Z82">
        <v>96</v>
      </c>
      <c r="AA82">
        <v>5</v>
      </c>
      <c r="AB82">
        <v>44.2</v>
      </c>
      <c r="AC82">
        <v>75.912199999999999</v>
      </c>
      <c r="AD82">
        <v>95.772999999999996</v>
      </c>
      <c r="AE82">
        <v>6</v>
      </c>
      <c r="AF82">
        <v>85.759</v>
      </c>
      <c r="AG82">
        <v>15.7</v>
      </c>
      <c r="AH82">
        <v>0.52</v>
      </c>
      <c r="AI82">
        <v>5.9</v>
      </c>
      <c r="AJ82">
        <v>5.4</v>
      </c>
      <c r="AK82">
        <v>6.4</v>
      </c>
      <c r="AL82">
        <v>53.7637</v>
      </c>
      <c r="AM82">
        <v>3.8</v>
      </c>
      <c r="AN82">
        <v>6495</v>
      </c>
      <c r="AO82">
        <v>0</v>
      </c>
      <c r="AQ82">
        <v>97.151600000000002</v>
      </c>
      <c r="AT82">
        <v>88.5471</v>
      </c>
      <c r="AU82">
        <v>22.684999999999999</v>
      </c>
      <c r="AV82" s="19">
        <v>66.346199999999996</v>
      </c>
      <c r="AZ82">
        <v>4</v>
      </c>
      <c r="BA82">
        <v>78.066500000000005</v>
      </c>
      <c r="BB82">
        <v>20.914999999999999</v>
      </c>
      <c r="BC82">
        <v>6.3971999999999998</v>
      </c>
      <c r="BD82" s="19">
        <v>1.968</v>
      </c>
      <c r="BE82" s="19">
        <v>64.077699999999993</v>
      </c>
      <c r="BF82">
        <v>46.1648</v>
      </c>
      <c r="BG82">
        <v>24.1</v>
      </c>
      <c r="BH82" s="20">
        <v>0.87570000000000003</v>
      </c>
      <c r="BI82" s="20">
        <v>1551.807</v>
      </c>
      <c r="BJ82" s="19">
        <v>55.769199999999998</v>
      </c>
      <c r="BK82">
        <v>1.0019</v>
      </c>
      <c r="BL82">
        <v>1.0259</v>
      </c>
      <c r="BM82">
        <v>1.0371999999999999</v>
      </c>
      <c r="BN82">
        <v>8</v>
      </c>
      <c r="BO82">
        <v>11.622</v>
      </c>
      <c r="BP82">
        <v>18.18</v>
      </c>
      <c r="BQ82" s="19">
        <v>99.132400000000004</v>
      </c>
      <c r="BR82">
        <v>71.138099999999994</v>
      </c>
      <c r="BS82" s="20">
        <v>8.5299999999999994</v>
      </c>
      <c r="BT82" s="20">
        <v>8.5299999999999994</v>
      </c>
      <c r="BU82" s="20">
        <v>23.678000000000001</v>
      </c>
      <c r="BV82" s="20">
        <v>23.681999999999999</v>
      </c>
      <c r="BW82" s="19">
        <v>60.576900000000002</v>
      </c>
      <c r="BX82">
        <v>34.25</v>
      </c>
      <c r="BY82" s="6">
        <v>8673601</v>
      </c>
      <c r="BZ82" s="5">
        <v>38532072</v>
      </c>
      <c r="CA82" s="7">
        <f t="shared" si="5"/>
        <v>4.4424538320358522</v>
      </c>
      <c r="CB82">
        <v>4309705</v>
      </c>
      <c r="CC82" s="8">
        <f t="shared" si="6"/>
        <v>8.9407678715828585</v>
      </c>
      <c r="CD82" s="8">
        <f t="shared" si="7"/>
        <v>2.0125741785110582</v>
      </c>
      <c r="CE82">
        <v>56594</v>
      </c>
      <c r="CF82" s="8">
        <f t="shared" si="8"/>
        <v>153.26008057391243</v>
      </c>
      <c r="CG82" s="8">
        <f t="shared" si="9"/>
        <v>680.85083224370078</v>
      </c>
      <c r="CH82">
        <v>102.9496</v>
      </c>
    </row>
    <row r="83" spans="1:86" ht="15.5" x14ac:dyDescent="0.35">
      <c r="A83" t="s">
        <v>89</v>
      </c>
      <c r="B83">
        <v>2009</v>
      </c>
      <c r="C83" s="2">
        <v>49.948399999999999</v>
      </c>
      <c r="D83">
        <v>36515.72</v>
      </c>
      <c r="E83">
        <v>0.1734</v>
      </c>
      <c r="F83">
        <v>5.0336999999999996</v>
      </c>
      <c r="G83">
        <v>28800</v>
      </c>
      <c r="H83">
        <v>8</v>
      </c>
      <c r="I83" s="19">
        <v>91.555000000000007</v>
      </c>
      <c r="J83" s="19">
        <v>91.21</v>
      </c>
      <c r="K83" s="19">
        <v>3.16</v>
      </c>
      <c r="L83" s="19">
        <v>55.980899999999998</v>
      </c>
      <c r="M83" s="19">
        <v>-4041000000</v>
      </c>
      <c r="N83" s="19">
        <v>81.034999999999997</v>
      </c>
      <c r="O83">
        <v>37.204000000000001</v>
      </c>
      <c r="P83">
        <v>16.6419</v>
      </c>
      <c r="Q83" s="19">
        <v>14461.183000000001</v>
      </c>
      <c r="R83" s="19">
        <v>12099.7971</v>
      </c>
      <c r="S83" s="19">
        <v>-6.7160000000000002</v>
      </c>
      <c r="T83" s="19">
        <v>29028.460800000001</v>
      </c>
      <c r="U83" s="19">
        <v>20349.488600000001</v>
      </c>
      <c r="V83">
        <v>32.6</v>
      </c>
      <c r="W83" s="19">
        <v>69.856499999999997</v>
      </c>
      <c r="X83">
        <v>96</v>
      </c>
      <c r="Y83">
        <v>97</v>
      </c>
      <c r="Z83">
        <v>95</v>
      </c>
      <c r="AA83">
        <v>4.8</v>
      </c>
      <c r="AB83">
        <v>50.6</v>
      </c>
      <c r="AC83">
        <v>76.168300000000002</v>
      </c>
      <c r="AD83">
        <v>98.791399999999996</v>
      </c>
      <c r="AE83">
        <v>6</v>
      </c>
      <c r="AF83">
        <v>85.912099999999995</v>
      </c>
      <c r="AG83">
        <v>13</v>
      </c>
      <c r="AH83">
        <v>0.55000000000000004</v>
      </c>
      <c r="AI83">
        <v>5.7</v>
      </c>
      <c r="AJ83">
        <v>5.2</v>
      </c>
      <c r="AK83">
        <v>6.1</v>
      </c>
      <c r="AL83">
        <v>53.587499999999999</v>
      </c>
      <c r="AM83">
        <v>3.7</v>
      </c>
      <c r="AN83">
        <v>1358</v>
      </c>
      <c r="AO83">
        <v>0</v>
      </c>
      <c r="AQ83">
        <v>96.966099999999997</v>
      </c>
      <c r="AT83">
        <v>88.467299999999994</v>
      </c>
      <c r="AU83">
        <v>21.886800000000001</v>
      </c>
      <c r="AV83" s="19">
        <v>68.246399999999994</v>
      </c>
      <c r="AW83">
        <v>0.9</v>
      </c>
      <c r="AX83">
        <v>20.6</v>
      </c>
      <c r="AZ83">
        <v>4</v>
      </c>
      <c r="BA83">
        <v>77.956800000000001</v>
      </c>
      <c r="BB83">
        <v>23.529399999999999</v>
      </c>
      <c r="BC83">
        <v>6.6783000000000001</v>
      </c>
      <c r="BD83" s="19">
        <v>-6.8140000000000001</v>
      </c>
      <c r="BE83" s="19">
        <v>65.071799999999996</v>
      </c>
      <c r="BF83">
        <v>56.248899999999999</v>
      </c>
      <c r="BG83">
        <v>27.2</v>
      </c>
      <c r="BH83" s="20">
        <v>0.83299999999999996</v>
      </c>
      <c r="BI83" s="20">
        <v>1606.7610999999999</v>
      </c>
      <c r="BJ83" s="19">
        <v>55.450200000000002</v>
      </c>
      <c r="BK83">
        <v>0.999</v>
      </c>
      <c r="BL83">
        <v>1.0266999999999999</v>
      </c>
      <c r="BM83">
        <v>1.0390999999999999</v>
      </c>
      <c r="BN83">
        <v>8</v>
      </c>
      <c r="BO83">
        <v>13.502000000000001</v>
      </c>
      <c r="BP83">
        <v>18.14</v>
      </c>
      <c r="BQ83" s="19">
        <v>99.415000000000006</v>
      </c>
      <c r="BR83">
        <v>69.073599999999999</v>
      </c>
      <c r="BS83" s="20">
        <v>9.202</v>
      </c>
      <c r="BT83" s="20">
        <v>9.202</v>
      </c>
      <c r="BU83" s="20">
        <v>25.213000000000001</v>
      </c>
      <c r="BV83" s="20">
        <v>25.238</v>
      </c>
      <c r="BW83" s="19">
        <v>61.1374</v>
      </c>
      <c r="BX83">
        <v>36.18</v>
      </c>
      <c r="BY83" s="6">
        <v>8329470</v>
      </c>
      <c r="BZ83" s="5">
        <v>37484621</v>
      </c>
      <c r="CA83" s="7">
        <f t="shared" si="5"/>
        <v>4.5002408316495526</v>
      </c>
      <c r="CB83">
        <v>4305181</v>
      </c>
      <c r="CC83" s="8">
        <f t="shared" si="6"/>
        <v>8.7068629634851593</v>
      </c>
      <c r="CD83" s="8">
        <f t="shared" si="7"/>
        <v>1.9347548918384616</v>
      </c>
      <c r="CE83">
        <v>56594</v>
      </c>
      <c r="CF83" s="8">
        <f t="shared" si="8"/>
        <v>147.17938297346009</v>
      </c>
      <c r="CG83" s="8">
        <f t="shared" si="9"/>
        <v>662.34266883415205</v>
      </c>
      <c r="CH83">
        <v>104.1319</v>
      </c>
    </row>
    <row r="84" spans="1:86" ht="15.5" x14ac:dyDescent="0.35">
      <c r="A84" t="s">
        <v>89</v>
      </c>
      <c r="B84">
        <v>2010</v>
      </c>
      <c r="C84" s="2">
        <v>49.635800000000003</v>
      </c>
      <c r="D84">
        <v>35159.79</v>
      </c>
      <c r="E84">
        <v>0.16980000000000001</v>
      </c>
      <c r="F84">
        <v>4.8746</v>
      </c>
      <c r="G84">
        <v>28200</v>
      </c>
      <c r="H84">
        <v>8</v>
      </c>
      <c r="I84" s="19">
        <v>92.546999999999997</v>
      </c>
      <c r="J84" s="19">
        <v>92.79</v>
      </c>
      <c r="K84" s="19">
        <v>4.1509999999999998</v>
      </c>
      <c r="L84" s="19">
        <v>58.571399999999997</v>
      </c>
      <c r="M84" s="19">
        <v>-1273000000</v>
      </c>
      <c r="N84" s="19">
        <v>91.339699999999993</v>
      </c>
      <c r="O84">
        <v>27.425999999999998</v>
      </c>
      <c r="P84">
        <v>19.48</v>
      </c>
      <c r="Q84" s="19">
        <v>13744.344999999999</v>
      </c>
      <c r="R84" s="19">
        <v>11965.485500000001</v>
      </c>
      <c r="S84" s="19">
        <v>-1.1100000000000001</v>
      </c>
      <c r="T84" s="19">
        <v>28706.235499999999</v>
      </c>
      <c r="U84" s="19">
        <v>20143.801599999999</v>
      </c>
      <c r="V84">
        <v>32.4</v>
      </c>
      <c r="W84" s="19">
        <v>69.378</v>
      </c>
      <c r="X84">
        <v>97</v>
      </c>
      <c r="Y84">
        <v>97</v>
      </c>
      <c r="Z84">
        <v>96</v>
      </c>
      <c r="AA84">
        <v>4.7</v>
      </c>
      <c r="AB84">
        <v>56.6</v>
      </c>
      <c r="AC84">
        <v>76.4756</v>
      </c>
      <c r="AD84">
        <v>97.966800000000006</v>
      </c>
      <c r="AE84">
        <v>6</v>
      </c>
      <c r="AF84">
        <v>87.830100000000002</v>
      </c>
      <c r="AG84">
        <v>10.5</v>
      </c>
      <c r="AH84">
        <v>0.43</v>
      </c>
      <c r="AI84">
        <v>5.5</v>
      </c>
      <c r="AJ84">
        <v>5</v>
      </c>
      <c r="AK84">
        <v>5.9</v>
      </c>
      <c r="AL84">
        <v>54.2956</v>
      </c>
      <c r="AM84">
        <v>3.5</v>
      </c>
      <c r="AN84">
        <v>-3995</v>
      </c>
      <c r="AO84">
        <v>0</v>
      </c>
      <c r="AQ84">
        <v>96.781300000000002</v>
      </c>
      <c r="AT84">
        <v>88.387500000000003</v>
      </c>
      <c r="AU84">
        <v>21.552</v>
      </c>
      <c r="AV84" s="19">
        <v>66.824600000000004</v>
      </c>
      <c r="AW84">
        <v>1.2</v>
      </c>
      <c r="AX84">
        <v>20.9</v>
      </c>
      <c r="AZ84">
        <v>4</v>
      </c>
      <c r="BA84">
        <v>77.847399999999993</v>
      </c>
      <c r="BB84">
        <v>23.529399999999999</v>
      </c>
      <c r="BC84">
        <v>6.6466000000000003</v>
      </c>
      <c r="BD84" s="19">
        <v>-1.3320000000000001</v>
      </c>
      <c r="BE84" s="19">
        <v>66.507199999999997</v>
      </c>
      <c r="BF84">
        <v>63.1098</v>
      </c>
      <c r="BG84">
        <v>29.8</v>
      </c>
      <c r="BH84" s="20">
        <v>0.73050000000000004</v>
      </c>
      <c r="BI84" s="20">
        <v>1649.2493999999999</v>
      </c>
      <c r="BJ84" s="19">
        <v>56.872</v>
      </c>
      <c r="BK84">
        <v>1.0006999999999999</v>
      </c>
      <c r="BL84">
        <v>1.0494000000000001</v>
      </c>
      <c r="BM84">
        <v>1.071</v>
      </c>
      <c r="BN84">
        <v>8</v>
      </c>
      <c r="BO84">
        <v>15.666</v>
      </c>
      <c r="BP84">
        <v>18.03</v>
      </c>
      <c r="BQ84" s="19">
        <v>100.17489999999999</v>
      </c>
      <c r="BR84">
        <v>60.452399999999997</v>
      </c>
      <c r="BS84" s="20">
        <v>11.62</v>
      </c>
      <c r="BT84" s="20">
        <v>11.62</v>
      </c>
      <c r="BU84" s="20">
        <v>32.354999999999997</v>
      </c>
      <c r="BV84" s="20">
        <v>32.372999999999998</v>
      </c>
      <c r="BW84" s="19">
        <v>61.611400000000003</v>
      </c>
      <c r="BX84">
        <v>33.53</v>
      </c>
      <c r="BY84" s="6">
        <v>7919729</v>
      </c>
      <c r="BZ84" s="5">
        <v>37009182</v>
      </c>
      <c r="CA84" s="7">
        <f t="shared" si="5"/>
        <v>4.6730364132409079</v>
      </c>
      <c r="CB84">
        <v>4295427</v>
      </c>
      <c r="CC84" s="8">
        <f t="shared" si="6"/>
        <v>8.6159494737077367</v>
      </c>
      <c r="CD84" s="8">
        <f t="shared" si="7"/>
        <v>1.843758257328084</v>
      </c>
      <c r="CE84">
        <v>56594</v>
      </c>
      <c r="CF84" s="8">
        <f t="shared" si="8"/>
        <v>139.93937519878432</v>
      </c>
      <c r="CG84" s="8">
        <f t="shared" si="9"/>
        <v>653.94179595010075</v>
      </c>
      <c r="CH84">
        <v>103.66806</v>
      </c>
    </row>
    <row r="85" spans="1:86" ht="15.5" x14ac:dyDescent="0.35">
      <c r="A85" t="s">
        <v>89</v>
      </c>
      <c r="B85">
        <v>2011</v>
      </c>
      <c r="C85" s="2">
        <v>49.4544</v>
      </c>
      <c r="D85">
        <v>34549.74</v>
      </c>
      <c r="E85">
        <v>0.16600000000000001</v>
      </c>
      <c r="F85">
        <v>4.7778999999999998</v>
      </c>
      <c r="G85">
        <v>27800</v>
      </c>
      <c r="H85">
        <v>8</v>
      </c>
      <c r="I85" s="19">
        <v>94.591999999999999</v>
      </c>
      <c r="J85" s="19">
        <v>94.77</v>
      </c>
      <c r="K85" s="19">
        <v>4.6689999999999996</v>
      </c>
      <c r="L85" s="19">
        <v>58.293799999999997</v>
      </c>
      <c r="M85" s="19">
        <v>-1083000000</v>
      </c>
      <c r="N85" s="19">
        <v>103.19799999999999</v>
      </c>
      <c r="O85">
        <v>23.571999999999999</v>
      </c>
      <c r="P85">
        <v>20.8566</v>
      </c>
      <c r="Q85" s="19">
        <v>14690.166999999999</v>
      </c>
      <c r="R85" s="19">
        <v>11995.1325</v>
      </c>
      <c r="S85" s="19">
        <v>0.24779999999999999</v>
      </c>
      <c r="T85" s="19">
        <v>28777.361400000002</v>
      </c>
      <c r="U85" s="19">
        <v>21195.715199999999</v>
      </c>
      <c r="V85">
        <v>32.299999999999997</v>
      </c>
      <c r="W85" s="19">
        <v>68.720399999999998</v>
      </c>
      <c r="X85">
        <v>96</v>
      </c>
      <c r="Y85">
        <v>96</v>
      </c>
      <c r="Z85">
        <v>96</v>
      </c>
      <c r="AA85">
        <v>4.5</v>
      </c>
      <c r="AB85">
        <v>57.8</v>
      </c>
      <c r="AC85">
        <v>76.775599999999997</v>
      </c>
      <c r="AD85">
        <v>97.937700000000007</v>
      </c>
      <c r="AE85">
        <v>5</v>
      </c>
      <c r="AF85">
        <v>87.965800000000002</v>
      </c>
      <c r="AG85">
        <v>11.1</v>
      </c>
      <c r="AH85">
        <v>0.44</v>
      </c>
      <c r="AI85">
        <v>5.3</v>
      </c>
      <c r="AJ85">
        <v>4.8</v>
      </c>
      <c r="AK85">
        <v>5.7</v>
      </c>
      <c r="AL85">
        <v>54.311700000000002</v>
      </c>
      <c r="AM85">
        <v>3.4</v>
      </c>
      <c r="AN85">
        <v>-17463</v>
      </c>
      <c r="AO85">
        <v>0</v>
      </c>
      <c r="AQ85">
        <v>96.597099999999998</v>
      </c>
      <c r="AT85">
        <v>88.307599999999994</v>
      </c>
      <c r="AU85">
        <v>23.613600000000002</v>
      </c>
      <c r="AV85" s="19">
        <v>68.246399999999994</v>
      </c>
      <c r="AW85">
        <v>0.6</v>
      </c>
      <c r="AX85">
        <v>20.399999999999999</v>
      </c>
      <c r="AZ85">
        <v>4</v>
      </c>
      <c r="BA85">
        <v>77.738200000000006</v>
      </c>
      <c r="BB85">
        <v>23.841100000000001</v>
      </c>
      <c r="BC85">
        <v>6.2633999999999999</v>
      </c>
      <c r="BD85" s="19">
        <v>-0.1</v>
      </c>
      <c r="BE85" s="19">
        <v>64.928899999999999</v>
      </c>
      <c r="BF85">
        <v>47.638500000000001</v>
      </c>
      <c r="BG85">
        <v>27.2</v>
      </c>
      <c r="BH85" s="20">
        <v>0.73650000000000004</v>
      </c>
      <c r="BI85" s="20">
        <v>1594.2249999999999</v>
      </c>
      <c r="BJ85" s="19">
        <v>58.216000000000001</v>
      </c>
      <c r="BK85">
        <v>0.99690000000000001</v>
      </c>
      <c r="BL85">
        <v>1.0267999999999999</v>
      </c>
      <c r="BM85">
        <v>1.0396000000000001</v>
      </c>
      <c r="BN85">
        <v>8</v>
      </c>
      <c r="BO85">
        <v>16.218</v>
      </c>
      <c r="BP85">
        <v>16.309999999999999</v>
      </c>
      <c r="BQ85" s="19">
        <v>100.4456</v>
      </c>
      <c r="BR85">
        <v>54.453499999999998</v>
      </c>
      <c r="BS85" s="20">
        <v>13.678000000000001</v>
      </c>
      <c r="BT85" s="20">
        <v>13.678000000000001</v>
      </c>
      <c r="BU85" s="20">
        <v>36.665999999999997</v>
      </c>
      <c r="BV85" s="20">
        <v>36.655000000000001</v>
      </c>
      <c r="BW85" s="19">
        <v>64.319299999999998</v>
      </c>
      <c r="BX85">
        <v>35.67</v>
      </c>
      <c r="BY85" s="6">
        <v>8520950</v>
      </c>
      <c r="BZ85" s="5">
        <v>39250790</v>
      </c>
      <c r="CA85" s="7">
        <f t="shared" si="5"/>
        <v>4.6063866118214518</v>
      </c>
      <c r="CB85">
        <v>4280622</v>
      </c>
      <c r="CC85" s="8">
        <f t="shared" si="6"/>
        <v>9.1694127629115574</v>
      </c>
      <c r="CD85" s="8">
        <f t="shared" si="7"/>
        <v>1.9905868819998589</v>
      </c>
      <c r="CE85">
        <v>56594</v>
      </c>
      <c r="CF85" s="8">
        <f t="shared" si="8"/>
        <v>150.5627805067675</v>
      </c>
      <c r="CG85" s="8">
        <f t="shared" si="9"/>
        <v>693.55037636498571</v>
      </c>
      <c r="CH85">
        <v>100.92836</v>
      </c>
    </row>
    <row r="86" spans="1:86" ht="15.5" x14ac:dyDescent="0.35">
      <c r="A86" s="9" t="s">
        <v>89</v>
      </c>
      <c r="B86" s="9">
        <v>2012</v>
      </c>
      <c r="C86" s="10">
        <v>49.6036</v>
      </c>
      <c r="D86" s="9">
        <v>32436.53</v>
      </c>
      <c r="E86" s="9">
        <v>0.156</v>
      </c>
      <c r="F86" s="9">
        <v>4.4093</v>
      </c>
      <c r="G86" s="9">
        <v>26000</v>
      </c>
      <c r="H86" s="9">
        <v>8</v>
      </c>
      <c r="I86" s="21">
        <v>97.763000000000005</v>
      </c>
      <c r="J86" s="21">
        <v>98.94</v>
      </c>
      <c r="K86" s="21">
        <v>3.8420000000000001</v>
      </c>
      <c r="L86" s="21">
        <v>58.293799999999997</v>
      </c>
      <c r="M86" s="21">
        <v>-1015000000</v>
      </c>
      <c r="N86" s="21">
        <v>95.712199999999996</v>
      </c>
      <c r="O86" s="9">
        <v>25.768000000000001</v>
      </c>
      <c r="P86" s="9">
        <v>21.581900000000001</v>
      </c>
      <c r="Q86" s="21">
        <v>13492.197</v>
      </c>
      <c r="R86" s="21">
        <v>11780.532999999999</v>
      </c>
      <c r="S86" s="21">
        <v>-1.7890999999999999</v>
      </c>
      <c r="T86" s="21">
        <v>28262.518599999999</v>
      </c>
      <c r="U86" s="21">
        <v>21620.1672</v>
      </c>
      <c r="V86" s="9">
        <v>32.5</v>
      </c>
      <c r="W86" s="21">
        <v>71.563999999999993</v>
      </c>
      <c r="X86" s="9">
        <v>96</v>
      </c>
      <c r="Y86" s="9">
        <v>96</v>
      </c>
      <c r="Z86" s="9">
        <v>95</v>
      </c>
      <c r="AA86" s="9">
        <v>4.4000000000000004</v>
      </c>
      <c r="AB86" s="9">
        <v>61.9</v>
      </c>
      <c r="AC86" s="9">
        <v>77.168300000000002</v>
      </c>
      <c r="AD86" s="9">
        <v>96.116299999999995</v>
      </c>
      <c r="AE86" s="9">
        <v>5</v>
      </c>
      <c r="AF86" s="9">
        <v>88.080799999999996</v>
      </c>
      <c r="AG86" s="9">
        <v>9.6</v>
      </c>
      <c r="AH86" s="9">
        <v>0.81</v>
      </c>
      <c r="AI86" s="9">
        <v>5.2</v>
      </c>
      <c r="AJ86" s="9">
        <v>4.7</v>
      </c>
      <c r="AK86" s="9">
        <v>5.6</v>
      </c>
      <c r="AL86" s="9">
        <v>54.423900000000003</v>
      </c>
      <c r="AM86" s="9">
        <v>3.3</v>
      </c>
      <c r="AN86" s="9">
        <v>-4794</v>
      </c>
      <c r="AO86" s="9">
        <v>0</v>
      </c>
      <c r="AP86" s="9"/>
      <c r="AQ86" s="9">
        <v>96.414000000000001</v>
      </c>
      <c r="AR86" s="9"/>
      <c r="AS86" s="9"/>
      <c r="AT86" s="9">
        <v>88.227699999999999</v>
      </c>
      <c r="AU86" s="9">
        <v>20.919499999999999</v>
      </c>
      <c r="AV86" s="21">
        <v>65.402799999999999</v>
      </c>
      <c r="AW86" s="9">
        <v>0.8</v>
      </c>
      <c r="AX86" s="9">
        <v>19.5</v>
      </c>
      <c r="AY86" s="9"/>
      <c r="AZ86" s="9">
        <v>4</v>
      </c>
      <c r="BA86" s="9">
        <v>77.633399999999995</v>
      </c>
      <c r="BB86" s="9">
        <v>23.841100000000001</v>
      </c>
      <c r="BC86" s="9">
        <v>6.3251999999999997</v>
      </c>
      <c r="BD86" s="21">
        <v>-2.2519999999999998</v>
      </c>
      <c r="BE86" s="21">
        <v>63.033200000000001</v>
      </c>
      <c r="BF86" s="9">
        <v>50.430999999999997</v>
      </c>
      <c r="BG86" s="9">
        <v>29.4</v>
      </c>
      <c r="BH86" s="22">
        <v>0.73719999999999997</v>
      </c>
      <c r="BI86" s="22">
        <v>1567.4617000000001</v>
      </c>
      <c r="BJ86" s="21">
        <v>59.154899999999998</v>
      </c>
      <c r="BK86" s="9">
        <v>1.0004999999999999</v>
      </c>
      <c r="BL86" s="9">
        <v>1.0266999999999999</v>
      </c>
      <c r="BM86" s="9">
        <v>1.038</v>
      </c>
      <c r="BN86" s="9">
        <v>8</v>
      </c>
      <c r="BO86" s="9">
        <v>16.588999999999999</v>
      </c>
      <c r="BP86" s="9">
        <v>18.260000000000002</v>
      </c>
      <c r="BQ86" s="21">
        <v>99.138300000000001</v>
      </c>
      <c r="BR86" s="9">
        <v>47.327100000000002</v>
      </c>
      <c r="BS86" s="22">
        <v>15.935</v>
      </c>
      <c r="BT86" s="22">
        <v>15.935</v>
      </c>
      <c r="BU86" s="22">
        <v>42.118000000000002</v>
      </c>
      <c r="BV86" s="22">
        <v>42.076000000000001</v>
      </c>
      <c r="BW86" s="21">
        <v>64.788700000000006</v>
      </c>
      <c r="BX86" s="9">
        <v>36.93</v>
      </c>
      <c r="BY86" s="14">
        <v>11543653</v>
      </c>
      <c r="BZ86" s="5">
        <v>62183925</v>
      </c>
      <c r="CA86" s="7">
        <f t="shared" si="5"/>
        <v>5.3868498126199738</v>
      </c>
      <c r="CB86">
        <v>4260368</v>
      </c>
      <c r="CC86" s="8">
        <f t="shared" si="6"/>
        <v>14.59590462607925</v>
      </c>
      <c r="CD86" s="8">
        <f t="shared" si="7"/>
        <v>2.7095436356671536</v>
      </c>
      <c r="CE86">
        <v>56594</v>
      </c>
      <c r="CF86" s="8">
        <f t="shared" si="8"/>
        <v>203.97308902003746</v>
      </c>
      <c r="CG86" s="8">
        <f t="shared" si="9"/>
        <v>1098.772396367106</v>
      </c>
      <c r="CH86" s="9">
        <v>100.59156</v>
      </c>
    </row>
    <row r="87" spans="1:86" ht="15.5" x14ac:dyDescent="0.35">
      <c r="A87" t="s">
        <v>89</v>
      </c>
      <c r="B87">
        <v>2013</v>
      </c>
      <c r="C87" s="2">
        <v>49.894100000000002</v>
      </c>
      <c r="D87">
        <v>31635.83</v>
      </c>
      <c r="E87">
        <v>0.15279999999999999</v>
      </c>
      <c r="F87">
        <v>4.3409000000000004</v>
      </c>
      <c r="G87">
        <v>25100</v>
      </c>
      <c r="H87">
        <v>8</v>
      </c>
      <c r="I87" s="19">
        <v>100.038</v>
      </c>
      <c r="J87" s="19">
        <v>99.39</v>
      </c>
      <c r="K87" s="19">
        <v>3.1909999999999998</v>
      </c>
      <c r="L87" s="19">
        <v>61.1374</v>
      </c>
      <c r="M87" s="19">
        <v>-628000000</v>
      </c>
      <c r="N87" s="19">
        <v>98.003</v>
      </c>
      <c r="O87">
        <v>23.870999999999999</v>
      </c>
      <c r="P87">
        <v>22.504300000000001</v>
      </c>
      <c r="Q87" s="19">
        <v>14063.402</v>
      </c>
      <c r="R87" s="19">
        <v>11839.245800000001</v>
      </c>
      <c r="S87" s="19">
        <v>0.49840000000000001</v>
      </c>
      <c r="T87" s="19">
        <v>28403.375700000001</v>
      </c>
      <c r="U87" s="19">
        <v>22432.258000000002</v>
      </c>
      <c r="V87">
        <v>32</v>
      </c>
      <c r="W87" s="19">
        <v>71.09</v>
      </c>
      <c r="X87">
        <v>96</v>
      </c>
      <c r="Y87">
        <v>96</v>
      </c>
      <c r="Z87">
        <v>94</v>
      </c>
      <c r="AA87">
        <v>4.3</v>
      </c>
      <c r="AB87">
        <v>66.7</v>
      </c>
      <c r="AC87">
        <v>77.570700000000002</v>
      </c>
      <c r="AE87">
        <v>5</v>
      </c>
      <c r="AF87">
        <v>87.537099999999995</v>
      </c>
      <c r="AG87">
        <v>9.1999999999999993</v>
      </c>
      <c r="AH87">
        <v>0.36</v>
      </c>
      <c r="AI87">
        <v>5.0999999999999996</v>
      </c>
      <c r="AJ87">
        <v>4.5999999999999996</v>
      </c>
      <c r="AK87">
        <v>5.5</v>
      </c>
      <c r="AL87">
        <v>54.830399999999997</v>
      </c>
      <c r="AM87">
        <v>3.2</v>
      </c>
      <c r="AN87">
        <v>-6245</v>
      </c>
      <c r="AO87">
        <v>0</v>
      </c>
      <c r="AQ87">
        <v>96.232200000000006</v>
      </c>
      <c r="AT87">
        <v>88.1477</v>
      </c>
      <c r="AU87">
        <v>20.263999999999999</v>
      </c>
      <c r="AV87" s="19">
        <v>66.350700000000003</v>
      </c>
      <c r="AW87">
        <v>0.7</v>
      </c>
      <c r="AX87">
        <v>19.399999999999999</v>
      </c>
      <c r="AY87">
        <v>7</v>
      </c>
      <c r="AZ87">
        <v>4</v>
      </c>
      <c r="BA87">
        <v>77.532799999999995</v>
      </c>
      <c r="BB87">
        <v>23.841100000000001</v>
      </c>
      <c r="BC87">
        <v>5.4442000000000004</v>
      </c>
      <c r="BD87" s="19">
        <v>-0.126</v>
      </c>
      <c r="BE87" s="19">
        <v>63.981000000000002</v>
      </c>
      <c r="BF87">
        <v>66.757499999999993</v>
      </c>
      <c r="BG87">
        <v>32.799999999999997</v>
      </c>
      <c r="BH87" s="20">
        <v>0.79510000000000003</v>
      </c>
      <c r="BI87" s="20">
        <v>1535.6204</v>
      </c>
      <c r="BJ87" s="19">
        <v>58.216000000000001</v>
      </c>
      <c r="BK87">
        <v>1.0029999999999999</v>
      </c>
      <c r="BL87">
        <v>1.024</v>
      </c>
      <c r="BM87">
        <v>1.0329999999999999</v>
      </c>
      <c r="BN87">
        <v>8</v>
      </c>
      <c r="BO87">
        <v>19.634</v>
      </c>
      <c r="BP87">
        <v>16.34</v>
      </c>
      <c r="BQ87" s="19">
        <v>98.3352</v>
      </c>
      <c r="BR87">
        <v>39.505800000000001</v>
      </c>
      <c r="BS87" s="20">
        <v>17.251000000000001</v>
      </c>
      <c r="BT87" s="20">
        <v>17.251000000000001</v>
      </c>
      <c r="BU87" s="20">
        <v>50.087000000000003</v>
      </c>
      <c r="BV87" s="20">
        <v>50.014000000000003</v>
      </c>
      <c r="BW87" s="19">
        <v>64.319299999999998</v>
      </c>
      <c r="BX87">
        <v>37.409999999999997</v>
      </c>
      <c r="BY87" s="6">
        <v>12205708</v>
      </c>
      <c r="BZ87" s="5">
        <v>64418292</v>
      </c>
      <c r="CA87" s="7">
        <f t="shared" si="5"/>
        <v>5.277718588712756</v>
      </c>
      <c r="CB87">
        <v>4233922</v>
      </c>
      <c r="CC87" s="8">
        <f t="shared" si="6"/>
        <v>15.214803673756862</v>
      </c>
      <c r="CD87" s="8">
        <f t="shared" si="7"/>
        <v>2.8828372369637418</v>
      </c>
      <c r="CE87">
        <v>56594</v>
      </c>
      <c r="CF87" s="8">
        <f t="shared" si="8"/>
        <v>215.67141393080539</v>
      </c>
      <c r="CG87" s="8">
        <f t="shared" si="9"/>
        <v>1138.253030356575</v>
      </c>
      <c r="CH87">
        <v>100.79658999999999</v>
      </c>
    </row>
    <row r="88" spans="1:86" ht="15.5" x14ac:dyDescent="0.35">
      <c r="A88" t="s">
        <v>89</v>
      </c>
      <c r="B88">
        <v>2014</v>
      </c>
      <c r="C88" s="2">
        <v>50.405000000000001</v>
      </c>
      <c r="D88">
        <v>30399.47</v>
      </c>
      <c r="E88">
        <v>0.14779999999999999</v>
      </c>
      <c r="F88">
        <v>4.2066999999999997</v>
      </c>
      <c r="G88">
        <v>24300</v>
      </c>
      <c r="H88">
        <v>8</v>
      </c>
      <c r="I88" s="19">
        <v>100.258</v>
      </c>
      <c r="J88" s="19">
        <v>99.29</v>
      </c>
      <c r="K88" s="19">
        <v>2.8130000000000002</v>
      </c>
      <c r="L88" s="19">
        <v>62.019199999999998</v>
      </c>
      <c r="M88" s="19">
        <v>175000000</v>
      </c>
      <c r="N88" s="19">
        <v>107.0425</v>
      </c>
      <c r="O88">
        <v>24.364999999999998</v>
      </c>
      <c r="P88">
        <v>23.331900000000001</v>
      </c>
      <c r="Q88" s="19">
        <v>14190.35</v>
      </c>
      <c r="R88" s="19">
        <v>11863.858399999999</v>
      </c>
      <c r="S88" s="19">
        <v>0.2079</v>
      </c>
      <c r="T88" s="19">
        <v>28462.4234</v>
      </c>
      <c r="U88" s="19">
        <v>22708.188600000001</v>
      </c>
      <c r="V88">
        <v>32.1</v>
      </c>
      <c r="W88" s="19">
        <v>73.076899999999995</v>
      </c>
      <c r="X88">
        <v>95</v>
      </c>
      <c r="Y88">
        <v>95</v>
      </c>
      <c r="Z88">
        <v>94</v>
      </c>
      <c r="AA88">
        <v>4.2</v>
      </c>
      <c r="AB88">
        <v>68.599999999999994</v>
      </c>
      <c r="AC88">
        <v>77.724400000000003</v>
      </c>
      <c r="AE88">
        <v>4</v>
      </c>
      <c r="AF88">
        <v>87.717200000000005</v>
      </c>
      <c r="AG88">
        <v>8.1999999999999993</v>
      </c>
      <c r="AH88">
        <v>0.38</v>
      </c>
      <c r="AI88">
        <v>5</v>
      </c>
      <c r="AJ88">
        <v>4.5</v>
      </c>
      <c r="AK88">
        <v>5.4</v>
      </c>
      <c r="AL88">
        <v>55.155700000000003</v>
      </c>
      <c r="AM88">
        <v>3.2</v>
      </c>
      <c r="AN88">
        <v>-13127</v>
      </c>
      <c r="AO88">
        <v>0</v>
      </c>
      <c r="AQ88">
        <v>96.0518</v>
      </c>
      <c r="AT88">
        <v>88.067700000000002</v>
      </c>
      <c r="AU88">
        <v>19.828900000000001</v>
      </c>
      <c r="AV88" s="19">
        <v>67.142899999999997</v>
      </c>
      <c r="AW88">
        <v>1</v>
      </c>
      <c r="AX88">
        <v>20</v>
      </c>
      <c r="AY88">
        <v>7</v>
      </c>
      <c r="AZ88">
        <v>4</v>
      </c>
      <c r="BA88">
        <v>77.436700000000002</v>
      </c>
      <c r="BB88">
        <v>23.841100000000001</v>
      </c>
      <c r="BC88">
        <v>5.5294999999999996</v>
      </c>
      <c r="BD88" s="19">
        <v>-0.55500000000000005</v>
      </c>
      <c r="BE88" s="19">
        <v>62.5</v>
      </c>
      <c r="BF88">
        <v>74.179299999999998</v>
      </c>
      <c r="BG88">
        <v>33.6</v>
      </c>
      <c r="BH88" s="20">
        <v>0.76900000000000002</v>
      </c>
      <c r="BI88" s="20">
        <v>1445.0427</v>
      </c>
      <c r="BJ88" s="19">
        <v>63.461500000000001</v>
      </c>
      <c r="BK88">
        <v>0.99590000000000001</v>
      </c>
      <c r="BL88">
        <v>1.0232000000000001</v>
      </c>
      <c r="BM88">
        <v>1.0354000000000001</v>
      </c>
      <c r="BN88">
        <v>8</v>
      </c>
      <c r="BO88">
        <v>19.326000000000001</v>
      </c>
      <c r="BP88">
        <v>17.03</v>
      </c>
      <c r="BQ88" s="19">
        <v>99.091200000000001</v>
      </c>
      <c r="BR88">
        <v>42.915300000000002</v>
      </c>
      <c r="BS88" s="20">
        <v>17.29</v>
      </c>
      <c r="BT88" s="20">
        <v>17.29</v>
      </c>
      <c r="BU88" s="20">
        <v>45.600999999999999</v>
      </c>
      <c r="BV88" s="20">
        <v>45.506999999999998</v>
      </c>
      <c r="BW88" s="19">
        <v>64.039400000000001</v>
      </c>
      <c r="BX88">
        <v>35.369999999999997</v>
      </c>
      <c r="BY88" s="6">
        <v>12882822</v>
      </c>
      <c r="BZ88" s="5">
        <v>66124991</v>
      </c>
      <c r="CA88" s="7">
        <f t="shared" si="5"/>
        <v>5.1328032786605293</v>
      </c>
      <c r="CB88">
        <v>4201598</v>
      </c>
      <c r="CC88" s="8">
        <f t="shared" si="6"/>
        <v>15.738057520019764</v>
      </c>
      <c r="CD88" s="8">
        <f t="shared" si="7"/>
        <v>3.0661719659996032</v>
      </c>
      <c r="CE88">
        <v>56594</v>
      </c>
      <c r="CF88" s="8">
        <f t="shared" si="8"/>
        <v>227.63582711948263</v>
      </c>
      <c r="CG88" s="8">
        <f t="shared" si="9"/>
        <v>1168.4099197794819</v>
      </c>
      <c r="CH88">
        <v>100.13742000000001</v>
      </c>
    </row>
    <row r="89" spans="1:86" ht="15.5" x14ac:dyDescent="0.35">
      <c r="A89" t="s">
        <v>89</v>
      </c>
      <c r="B89">
        <v>2015</v>
      </c>
      <c r="C89" s="2">
        <v>51.180100000000003</v>
      </c>
      <c r="D89">
        <v>31109.62</v>
      </c>
      <c r="E89">
        <v>0.14729999999999999</v>
      </c>
      <c r="F89">
        <v>4.3407999999999998</v>
      </c>
      <c r="G89">
        <v>24800</v>
      </c>
      <c r="H89">
        <v>8</v>
      </c>
      <c r="I89" s="19">
        <v>100.001</v>
      </c>
      <c r="J89" s="19">
        <v>98.99</v>
      </c>
      <c r="K89" s="19">
        <v>2.79</v>
      </c>
      <c r="L89" s="19">
        <v>60.952399999999997</v>
      </c>
      <c r="M89" s="19">
        <v>1301000000</v>
      </c>
      <c r="N89" s="19">
        <v>100</v>
      </c>
      <c r="O89">
        <v>26.117999999999999</v>
      </c>
      <c r="P89">
        <v>23.572600000000001</v>
      </c>
      <c r="Q89" s="19">
        <v>12286.053</v>
      </c>
      <c r="R89" s="19">
        <v>12285.3033</v>
      </c>
      <c r="S89" s="19">
        <v>3.5522999999999998</v>
      </c>
      <c r="T89" s="19">
        <v>29473.506099999999</v>
      </c>
      <c r="U89" s="19">
        <v>23759.050299999999</v>
      </c>
      <c r="V89">
        <v>31.1</v>
      </c>
      <c r="W89" s="19">
        <v>70</v>
      </c>
      <c r="X89">
        <v>94</v>
      </c>
      <c r="Y89">
        <v>94</v>
      </c>
      <c r="Z89">
        <v>93</v>
      </c>
      <c r="AA89">
        <v>4.2</v>
      </c>
      <c r="AB89">
        <v>69.8</v>
      </c>
      <c r="AC89">
        <v>77.275599999999997</v>
      </c>
      <c r="AE89">
        <v>4</v>
      </c>
      <c r="AF89">
        <v>88.62</v>
      </c>
      <c r="AG89">
        <v>9.3000000000000007</v>
      </c>
      <c r="AH89">
        <v>0.37</v>
      </c>
      <c r="AI89">
        <v>4.9000000000000004</v>
      </c>
      <c r="AJ89">
        <v>4.4000000000000004</v>
      </c>
      <c r="AK89">
        <v>5.4</v>
      </c>
      <c r="AL89">
        <v>55.327800000000003</v>
      </c>
      <c r="AM89">
        <v>3.1</v>
      </c>
      <c r="AN89">
        <v>-27501</v>
      </c>
      <c r="AO89">
        <v>0</v>
      </c>
      <c r="AQ89">
        <v>96.077600000000004</v>
      </c>
      <c r="AT89">
        <v>88.086799999999997</v>
      </c>
      <c r="AU89">
        <v>20.171900000000001</v>
      </c>
      <c r="AV89" s="19">
        <v>64.761899999999997</v>
      </c>
      <c r="AW89">
        <v>0.6</v>
      </c>
      <c r="AX89">
        <v>19.5</v>
      </c>
      <c r="AY89">
        <v>7</v>
      </c>
      <c r="AZ89">
        <v>4</v>
      </c>
      <c r="BA89">
        <v>77.509900000000002</v>
      </c>
      <c r="BB89">
        <v>15.2318</v>
      </c>
      <c r="BC89">
        <v>5.5309999999999997</v>
      </c>
      <c r="BD89" s="19">
        <v>2.3220000000000001</v>
      </c>
      <c r="BE89" s="19">
        <v>61.904800000000002</v>
      </c>
      <c r="BF89">
        <v>67.305999999999997</v>
      </c>
      <c r="BG89">
        <v>33.1</v>
      </c>
      <c r="BH89" s="20">
        <v>0.82379999999999998</v>
      </c>
      <c r="BI89" s="20">
        <v>1513.8384000000001</v>
      </c>
      <c r="BJ89" s="19">
        <v>60.476199999999999</v>
      </c>
      <c r="BK89">
        <v>1</v>
      </c>
      <c r="BL89">
        <v>1.0319</v>
      </c>
      <c r="BM89">
        <v>1.0467</v>
      </c>
      <c r="BN89">
        <v>8</v>
      </c>
      <c r="BO89">
        <v>18.119</v>
      </c>
      <c r="BP89">
        <v>17.37</v>
      </c>
      <c r="BQ89" s="19">
        <v>100</v>
      </c>
      <c r="BR89">
        <v>46.809699999999999</v>
      </c>
      <c r="BS89" s="20">
        <v>16.175000000000001</v>
      </c>
      <c r="BT89" s="20">
        <v>16.175000000000001</v>
      </c>
      <c r="BU89" s="20">
        <v>42.454999999999998</v>
      </c>
      <c r="BV89" s="20">
        <v>42.328000000000003</v>
      </c>
      <c r="BW89" s="19">
        <v>65.517200000000003</v>
      </c>
      <c r="BX89">
        <v>33.770000000000003</v>
      </c>
      <c r="BY89" s="6">
        <v>14157026</v>
      </c>
      <c r="BZ89" s="5">
        <v>71339000</v>
      </c>
      <c r="CA89" s="7">
        <f t="shared" si="5"/>
        <v>5.0391233299988292</v>
      </c>
      <c r="CB89">
        <v>4151725</v>
      </c>
      <c r="CC89" s="8">
        <f t="shared" si="6"/>
        <v>17.182978159680616</v>
      </c>
      <c r="CD89" s="8">
        <f t="shared" si="7"/>
        <v>3.4099141922935647</v>
      </c>
      <c r="CE89">
        <v>56594</v>
      </c>
      <c r="CF89" s="8">
        <f t="shared" si="8"/>
        <v>250.15065201258085</v>
      </c>
      <c r="CG89" s="8">
        <f t="shared" si="9"/>
        <v>1260.5399865710147</v>
      </c>
      <c r="CH89">
        <v>100</v>
      </c>
    </row>
    <row r="90" spans="1:86" ht="15.5" x14ac:dyDescent="0.35">
      <c r="A90" t="s">
        <v>89</v>
      </c>
      <c r="B90">
        <v>2016</v>
      </c>
      <c r="C90" s="2">
        <v>52.059899999999999</v>
      </c>
      <c r="D90">
        <v>29825.86</v>
      </c>
      <c r="E90">
        <v>0.14430000000000001</v>
      </c>
      <c r="F90">
        <v>4.4493</v>
      </c>
      <c r="G90">
        <v>24800</v>
      </c>
      <c r="H90">
        <v>8</v>
      </c>
      <c r="I90" s="19">
        <v>99.370999999999995</v>
      </c>
      <c r="J90" s="19">
        <v>99.69</v>
      </c>
      <c r="K90" s="19">
        <v>2.9319999999999999</v>
      </c>
      <c r="L90" s="19">
        <v>60.952399999999997</v>
      </c>
      <c r="M90" s="19">
        <v>1102000000</v>
      </c>
      <c r="N90" s="19">
        <v>106.86669999999999</v>
      </c>
      <c r="O90">
        <v>29.501999999999999</v>
      </c>
      <c r="P90">
        <v>25.234100000000002</v>
      </c>
      <c r="Q90" s="19">
        <v>12817.079</v>
      </c>
      <c r="R90" s="19">
        <v>12849.3464</v>
      </c>
      <c r="S90" s="19">
        <v>4.5911999999999997</v>
      </c>
      <c r="T90" s="19">
        <v>30826.6944</v>
      </c>
      <c r="U90" s="19">
        <v>25804.766800000001</v>
      </c>
      <c r="V90">
        <v>30.9</v>
      </c>
      <c r="W90" s="19">
        <v>68.095200000000006</v>
      </c>
      <c r="X90">
        <v>93</v>
      </c>
      <c r="Y90">
        <v>92</v>
      </c>
      <c r="Z90">
        <v>90</v>
      </c>
      <c r="AA90">
        <v>4.0999999999999996</v>
      </c>
      <c r="AB90">
        <v>72.7</v>
      </c>
      <c r="AC90">
        <v>77.921999999999997</v>
      </c>
      <c r="AD90">
        <v>99.997500000000002</v>
      </c>
      <c r="AE90">
        <v>4</v>
      </c>
      <c r="AF90">
        <v>88.965100000000007</v>
      </c>
      <c r="AG90">
        <v>8.1</v>
      </c>
      <c r="AH90">
        <v>0.4</v>
      </c>
      <c r="AI90">
        <v>4.9000000000000004</v>
      </c>
      <c r="AJ90">
        <v>4.4000000000000004</v>
      </c>
      <c r="AK90">
        <v>5.3</v>
      </c>
      <c r="AL90">
        <v>55.664299999999997</v>
      </c>
      <c r="AM90">
        <v>3</v>
      </c>
      <c r="AN90">
        <v>-32144</v>
      </c>
      <c r="AO90">
        <v>0</v>
      </c>
      <c r="AQ90">
        <v>96.103999999999999</v>
      </c>
      <c r="AT90">
        <v>88.105900000000005</v>
      </c>
      <c r="AU90">
        <v>18.177800000000001</v>
      </c>
      <c r="AV90" s="19">
        <v>67.619</v>
      </c>
      <c r="AW90">
        <v>0.6</v>
      </c>
      <c r="AX90">
        <v>20</v>
      </c>
      <c r="AY90">
        <v>7</v>
      </c>
      <c r="AZ90">
        <v>4</v>
      </c>
      <c r="BA90">
        <v>77.587000000000003</v>
      </c>
      <c r="BB90">
        <v>12.582800000000001</v>
      </c>
      <c r="BC90">
        <v>5.5349000000000004</v>
      </c>
      <c r="BD90" s="19">
        <v>3.4609999999999999</v>
      </c>
      <c r="BE90" s="19">
        <v>63.333300000000001</v>
      </c>
      <c r="BF90">
        <v>66.835300000000004</v>
      </c>
      <c r="BG90">
        <v>31.8</v>
      </c>
      <c r="BH90" s="20">
        <v>0.84430000000000005</v>
      </c>
      <c r="BI90" s="20">
        <v>1871.3992000000001</v>
      </c>
      <c r="BJ90" s="19">
        <v>62.381</v>
      </c>
      <c r="BK90">
        <v>1.0041</v>
      </c>
      <c r="BL90">
        <v>1.032</v>
      </c>
      <c r="BM90">
        <v>1.0452999999999999</v>
      </c>
      <c r="BN90">
        <v>8</v>
      </c>
      <c r="BO90">
        <v>16.901</v>
      </c>
      <c r="BP90">
        <v>16.190000000000001</v>
      </c>
      <c r="BQ90" s="19">
        <v>98.997799999999998</v>
      </c>
      <c r="BR90">
        <v>59.2956</v>
      </c>
      <c r="BS90" s="20">
        <v>13.103</v>
      </c>
      <c r="BT90" s="20">
        <v>13.103</v>
      </c>
      <c r="BU90" s="20">
        <v>31.408000000000001</v>
      </c>
      <c r="BV90" s="20">
        <v>31.271000000000001</v>
      </c>
      <c r="BW90" s="19">
        <v>65.024600000000007</v>
      </c>
      <c r="BX90">
        <v>30.38</v>
      </c>
      <c r="BY90" s="6">
        <v>15446591</v>
      </c>
      <c r="BZ90" s="5">
        <v>77824114</v>
      </c>
      <c r="CA90" s="7">
        <f t="shared" si="5"/>
        <v>5.0382711628734134</v>
      </c>
      <c r="CB90">
        <v>4106867</v>
      </c>
      <c r="CC90" s="8">
        <f t="shared" si="6"/>
        <v>18.949752694694034</v>
      </c>
      <c r="CD90" s="8">
        <f t="shared" si="7"/>
        <v>3.7611617322888713</v>
      </c>
      <c r="CE90">
        <v>56594</v>
      </c>
      <c r="CF90" s="8">
        <f t="shared" si="8"/>
        <v>272.93690143831503</v>
      </c>
      <c r="CG90" s="8">
        <f t="shared" si="9"/>
        <v>1375.1301198006856</v>
      </c>
      <c r="CH90">
        <v>100.3522</v>
      </c>
    </row>
    <row r="91" spans="1:86" ht="15.5" x14ac:dyDescent="0.35">
      <c r="A91" t="s">
        <v>89</v>
      </c>
      <c r="B91">
        <v>2017</v>
      </c>
      <c r="C91" s="2">
        <v>53.154000000000003</v>
      </c>
      <c r="D91">
        <v>32238.959999999999</v>
      </c>
      <c r="E91">
        <v>0.14369999999999999</v>
      </c>
      <c r="F91">
        <v>4.6506999999999996</v>
      </c>
      <c r="G91">
        <v>24800</v>
      </c>
      <c r="H91">
        <v>8</v>
      </c>
      <c r="I91" s="19">
        <v>100.66500000000001</v>
      </c>
      <c r="J91" s="19">
        <v>100.95</v>
      </c>
      <c r="K91" s="19">
        <v>3.3260000000000001</v>
      </c>
      <c r="L91" s="19">
        <v>56.666699999999999</v>
      </c>
      <c r="M91" s="19">
        <v>1890000000</v>
      </c>
      <c r="N91" s="19">
        <v>124.3249</v>
      </c>
      <c r="O91">
        <v>27.88</v>
      </c>
      <c r="P91">
        <v>26.865100000000002</v>
      </c>
      <c r="Q91" s="19">
        <v>13899.034</v>
      </c>
      <c r="R91" s="19">
        <v>13485.8817</v>
      </c>
      <c r="S91" s="19">
        <v>4.9538000000000002</v>
      </c>
      <c r="T91" s="19">
        <v>32353.797600000002</v>
      </c>
      <c r="U91" s="19">
        <v>27889.6335</v>
      </c>
      <c r="V91">
        <v>30.4</v>
      </c>
      <c r="W91" s="19">
        <v>70.952399999999997</v>
      </c>
      <c r="X91">
        <v>92</v>
      </c>
      <c r="Y91">
        <v>92</v>
      </c>
      <c r="Z91">
        <v>89</v>
      </c>
      <c r="AA91">
        <v>4.0999999999999996</v>
      </c>
      <c r="AB91">
        <v>67.099999999999994</v>
      </c>
      <c r="AC91">
        <v>77.726799999999997</v>
      </c>
      <c r="AD91">
        <v>98.179900000000004</v>
      </c>
      <c r="AE91">
        <v>4</v>
      </c>
      <c r="AF91">
        <v>88.885099999999994</v>
      </c>
      <c r="AG91">
        <v>8.6999999999999993</v>
      </c>
      <c r="AH91">
        <v>0.33</v>
      </c>
      <c r="AI91">
        <v>4.8</v>
      </c>
      <c r="AJ91">
        <v>4.3</v>
      </c>
      <c r="AK91">
        <v>5.3</v>
      </c>
      <c r="AL91">
        <v>55.377200000000002</v>
      </c>
      <c r="AM91">
        <v>3</v>
      </c>
      <c r="AN91">
        <v>-44557</v>
      </c>
      <c r="AO91">
        <v>0</v>
      </c>
      <c r="AQ91">
        <v>96.131</v>
      </c>
      <c r="AT91">
        <v>88.125</v>
      </c>
      <c r="AU91">
        <v>18.761399999999998</v>
      </c>
      <c r="AV91" s="19">
        <v>70.476200000000006</v>
      </c>
      <c r="AW91">
        <v>0.5</v>
      </c>
      <c r="AX91">
        <v>19.3</v>
      </c>
      <c r="AY91">
        <v>7</v>
      </c>
      <c r="AZ91">
        <v>4</v>
      </c>
      <c r="BA91">
        <v>77.667900000000003</v>
      </c>
      <c r="BB91">
        <v>18.542999999999999</v>
      </c>
      <c r="BC91">
        <v>5.4782000000000002</v>
      </c>
      <c r="BD91" s="19">
        <v>3.2810000000000001</v>
      </c>
      <c r="BE91" s="19">
        <v>64.761899999999997</v>
      </c>
      <c r="BF91">
        <v>61.053199999999997</v>
      </c>
      <c r="BG91">
        <v>29.8</v>
      </c>
      <c r="BH91" s="20">
        <v>0.84150000000000003</v>
      </c>
      <c r="BI91" s="20">
        <v>1900.8610000000001</v>
      </c>
      <c r="BJ91" s="19">
        <v>61.904800000000002</v>
      </c>
      <c r="BK91">
        <v>1.0012000000000001</v>
      </c>
      <c r="BL91">
        <v>1.0329999999999999</v>
      </c>
      <c r="BM91">
        <v>1.0486</v>
      </c>
      <c r="BN91">
        <v>8</v>
      </c>
      <c r="BO91">
        <v>15.353999999999999</v>
      </c>
      <c r="BP91">
        <v>15.48</v>
      </c>
      <c r="BQ91" s="19">
        <v>97.906800000000004</v>
      </c>
      <c r="BR91">
        <v>64.777600000000007</v>
      </c>
      <c r="BS91" s="20">
        <v>11.208</v>
      </c>
      <c r="BT91" s="20">
        <v>11.208</v>
      </c>
      <c r="BU91" s="20">
        <v>27.516999999999999</v>
      </c>
      <c r="BV91" s="20">
        <v>27.353999999999999</v>
      </c>
      <c r="BW91" s="19">
        <v>61.5764</v>
      </c>
      <c r="BX91">
        <v>29.28</v>
      </c>
      <c r="BY91" s="6">
        <v>17409937</v>
      </c>
      <c r="BZ91" s="5">
        <v>86094847</v>
      </c>
      <c r="CA91" s="7">
        <f t="shared" si="5"/>
        <v>4.9451555740839268</v>
      </c>
      <c r="CB91">
        <v>4041407</v>
      </c>
      <c r="CC91" s="8">
        <f t="shared" si="6"/>
        <v>21.303186489259804</v>
      </c>
      <c r="CD91" s="8">
        <f t="shared" si="7"/>
        <v>4.3078900491833663</v>
      </c>
      <c r="CE91">
        <v>56594</v>
      </c>
      <c r="CF91" s="8">
        <f t="shared" si="8"/>
        <v>307.62867088383928</v>
      </c>
      <c r="CG91" s="8">
        <f t="shared" si="9"/>
        <v>1521.2716365692477</v>
      </c>
      <c r="CH91">
        <v>100.87220000000001</v>
      </c>
    </row>
    <row r="92" spans="1:86" ht="15.5" x14ac:dyDescent="0.35">
      <c r="A92" t="s">
        <v>89</v>
      </c>
      <c r="B92">
        <v>2018</v>
      </c>
      <c r="C92" s="2">
        <v>54.404200000000003</v>
      </c>
      <c r="D92">
        <v>28292.67</v>
      </c>
      <c r="E92">
        <v>0.13200000000000001</v>
      </c>
      <c r="F92">
        <v>4.4535999999999998</v>
      </c>
      <c r="G92">
        <v>24800</v>
      </c>
      <c r="H92">
        <v>8</v>
      </c>
      <c r="I92" s="19">
        <v>102.233</v>
      </c>
      <c r="J92" s="19">
        <v>101.86</v>
      </c>
      <c r="K92" s="19">
        <v>3.5790000000000002</v>
      </c>
      <c r="L92" s="19">
        <v>57.142899999999997</v>
      </c>
      <c r="M92" s="19">
        <v>689000000</v>
      </c>
      <c r="N92" s="19">
        <v>134.637</v>
      </c>
      <c r="O92">
        <v>26.094999999999999</v>
      </c>
      <c r="P92">
        <v>28.015599999999999</v>
      </c>
      <c r="Q92" s="19">
        <v>15465.998</v>
      </c>
      <c r="R92" s="19">
        <v>14060.718999999999</v>
      </c>
      <c r="S92" s="19">
        <v>4.2625000000000002</v>
      </c>
      <c r="T92" s="19">
        <v>33732.881999999998</v>
      </c>
      <c r="U92" s="19">
        <v>29789.194299999999</v>
      </c>
      <c r="V92">
        <v>29.7</v>
      </c>
      <c r="W92" s="19">
        <v>70.952399999999997</v>
      </c>
      <c r="X92">
        <v>93</v>
      </c>
      <c r="Y92">
        <v>93</v>
      </c>
      <c r="Z92">
        <v>93</v>
      </c>
      <c r="AA92">
        <v>4</v>
      </c>
      <c r="AB92">
        <v>75.3</v>
      </c>
      <c r="AC92">
        <v>77.919499999999999</v>
      </c>
      <c r="AD92">
        <v>98.639399999999995</v>
      </c>
      <c r="AE92">
        <v>3</v>
      </c>
      <c r="AF92">
        <v>88.965999999999994</v>
      </c>
      <c r="AG92">
        <v>8.4</v>
      </c>
      <c r="AH92">
        <v>0.36</v>
      </c>
      <c r="AI92">
        <v>4.8</v>
      </c>
      <c r="AJ92">
        <v>4.3</v>
      </c>
      <c r="AK92">
        <v>5.2</v>
      </c>
      <c r="AL92">
        <v>55.5244</v>
      </c>
      <c r="AM92">
        <v>3</v>
      </c>
      <c r="AN92">
        <v>-25016</v>
      </c>
      <c r="AO92">
        <v>0</v>
      </c>
      <c r="AQ92">
        <v>96.140600000000006</v>
      </c>
      <c r="AT92">
        <v>88.125</v>
      </c>
      <c r="AU92">
        <v>20.0014</v>
      </c>
      <c r="AV92" s="19">
        <v>71.698099999999997</v>
      </c>
      <c r="AW92">
        <v>0.4</v>
      </c>
      <c r="AX92">
        <v>18.3</v>
      </c>
      <c r="AY92">
        <v>7</v>
      </c>
      <c r="AZ92">
        <v>4</v>
      </c>
      <c r="BA92">
        <v>77.734800000000007</v>
      </c>
      <c r="BB92">
        <v>18.542999999999999</v>
      </c>
      <c r="BC92">
        <v>5.5182000000000002</v>
      </c>
      <c r="BD92" s="19">
        <v>2.903</v>
      </c>
      <c r="BE92" s="19">
        <v>69.047600000000003</v>
      </c>
      <c r="BF92">
        <v>72.373999999999995</v>
      </c>
      <c r="BG92">
        <v>32.799999999999997</v>
      </c>
      <c r="BH92" s="20">
        <v>0.94310000000000005</v>
      </c>
      <c r="BI92" s="20">
        <v>1973.0153</v>
      </c>
      <c r="BJ92" s="19">
        <v>61.904800000000002</v>
      </c>
      <c r="BK92">
        <v>1.0031000000000001</v>
      </c>
      <c r="BL92">
        <v>1.0326</v>
      </c>
      <c r="BM92">
        <v>1.0474000000000001</v>
      </c>
      <c r="BN92">
        <v>8</v>
      </c>
      <c r="BO92">
        <v>13.571</v>
      </c>
      <c r="BP92">
        <v>16.760000000000002</v>
      </c>
      <c r="BQ92" s="19">
        <v>96.443100000000001</v>
      </c>
      <c r="BR92">
        <v>71.200400000000002</v>
      </c>
      <c r="BS92" s="20">
        <v>8.4320000000000004</v>
      </c>
      <c r="BT92" s="20">
        <v>8.4320000000000004</v>
      </c>
      <c r="BU92" s="20">
        <v>23.896999999999998</v>
      </c>
      <c r="BV92" s="20">
        <v>23.710999999999999</v>
      </c>
      <c r="BW92" s="19">
        <v>60.679600000000001</v>
      </c>
      <c r="BX92">
        <v>28.41</v>
      </c>
      <c r="BY92" s="6">
        <v>18648937</v>
      </c>
      <c r="BZ92" s="5">
        <v>89567653</v>
      </c>
      <c r="CA92" s="7">
        <f t="shared" si="5"/>
        <v>4.8028288690127487</v>
      </c>
      <c r="CB92">
        <v>3988775</v>
      </c>
      <c r="CC92" s="8">
        <f t="shared" si="6"/>
        <v>22.454927389988153</v>
      </c>
      <c r="CD92" s="8">
        <f t="shared" si="7"/>
        <v>4.6753544634630932</v>
      </c>
      <c r="CE92">
        <v>56594</v>
      </c>
      <c r="CF92" s="8">
        <f t="shared" si="8"/>
        <v>329.52145103721244</v>
      </c>
      <c r="CG92" s="8">
        <f t="shared" si="9"/>
        <v>1582.6351380004949</v>
      </c>
      <c r="CH92">
        <v>101.43343</v>
      </c>
    </row>
    <row r="93" spans="1:86" ht="15.5" x14ac:dyDescent="0.35">
      <c r="A93" t="s">
        <v>89</v>
      </c>
      <c r="B93">
        <v>2019</v>
      </c>
      <c r="C93" s="2">
        <v>55.562600000000003</v>
      </c>
      <c r="D93">
        <v>28096.13</v>
      </c>
      <c r="E93">
        <v>0.1295</v>
      </c>
      <c r="F93">
        <v>4.5484999999999998</v>
      </c>
      <c r="G93">
        <v>24800</v>
      </c>
      <c r="H93">
        <v>8</v>
      </c>
      <c r="I93" s="19">
        <v>103.042</v>
      </c>
      <c r="J93" s="19">
        <v>103.25</v>
      </c>
      <c r="K93" s="19">
        <v>3.831</v>
      </c>
      <c r="L93" s="19">
        <v>58.095199999999998</v>
      </c>
      <c r="M93" s="19">
        <v>1510000000</v>
      </c>
      <c r="N93" s="19">
        <v>132.92400000000001</v>
      </c>
      <c r="O93">
        <v>24.268000000000001</v>
      </c>
      <c r="P93">
        <v>28.968299999999999</v>
      </c>
      <c r="Q93" s="19">
        <v>15566.353999999999</v>
      </c>
      <c r="R93" s="19">
        <v>14641.2299</v>
      </c>
      <c r="S93" s="19">
        <v>4.1285999999999996</v>
      </c>
      <c r="T93" s="19">
        <v>35125.578000000001</v>
      </c>
      <c r="U93" s="19">
        <v>33064.258999999998</v>
      </c>
      <c r="V93">
        <v>28.9</v>
      </c>
      <c r="W93" s="19">
        <v>69.047600000000003</v>
      </c>
      <c r="X93">
        <v>94</v>
      </c>
      <c r="Y93">
        <v>93</v>
      </c>
      <c r="Z93">
        <v>93</v>
      </c>
      <c r="AA93">
        <v>4</v>
      </c>
      <c r="AB93">
        <v>79.099999999999994</v>
      </c>
      <c r="AC93">
        <v>78.224400000000003</v>
      </c>
      <c r="AD93">
        <v>101.395</v>
      </c>
      <c r="AE93">
        <v>4</v>
      </c>
      <c r="AF93">
        <v>88.965999999999994</v>
      </c>
      <c r="AG93">
        <v>7.9</v>
      </c>
      <c r="AH93">
        <v>0.4</v>
      </c>
      <c r="AI93">
        <v>4.7</v>
      </c>
      <c r="AJ93">
        <v>4.2</v>
      </c>
      <c r="AK93">
        <v>5.2</v>
      </c>
      <c r="AL93">
        <v>55.738399999999999</v>
      </c>
      <c r="AM93">
        <v>3</v>
      </c>
      <c r="AN93">
        <v>-13239</v>
      </c>
      <c r="AO93">
        <v>0</v>
      </c>
      <c r="AQ93">
        <v>96.150800000000004</v>
      </c>
      <c r="AT93">
        <v>88.125</v>
      </c>
      <c r="AU93">
        <v>15.914899999999999</v>
      </c>
      <c r="AV93" s="19">
        <v>70.283000000000001</v>
      </c>
      <c r="AW93">
        <v>0.3</v>
      </c>
      <c r="AX93">
        <v>18.3</v>
      </c>
      <c r="AY93">
        <v>7</v>
      </c>
      <c r="AZ93">
        <v>4</v>
      </c>
      <c r="BA93">
        <v>77.805300000000003</v>
      </c>
      <c r="BB93">
        <v>20.529800000000002</v>
      </c>
      <c r="BC93">
        <v>5.4985999999999997</v>
      </c>
      <c r="BD93" s="19">
        <v>3.1</v>
      </c>
      <c r="BE93" s="19">
        <v>71.904799999999994</v>
      </c>
      <c r="BF93">
        <v>66.248400000000004</v>
      </c>
      <c r="BG93">
        <v>31.6</v>
      </c>
      <c r="BH93" s="20">
        <v>1.0703</v>
      </c>
      <c r="BI93" s="20">
        <v>2203.5504999999998</v>
      </c>
      <c r="BJ93" s="19">
        <v>61.904800000000002</v>
      </c>
      <c r="BK93">
        <v>1.0071000000000001</v>
      </c>
      <c r="BL93">
        <v>1.0387</v>
      </c>
      <c r="BM93">
        <v>1.0545</v>
      </c>
      <c r="BN93">
        <v>8</v>
      </c>
      <c r="BO93">
        <v>11.776</v>
      </c>
      <c r="BP93">
        <v>14.91</v>
      </c>
      <c r="BQ93" s="19">
        <v>96.802499999999995</v>
      </c>
      <c r="BR93">
        <v>78.331199999999995</v>
      </c>
      <c r="BS93" s="20">
        <v>6.617</v>
      </c>
      <c r="BT93" s="20">
        <v>6.617</v>
      </c>
      <c r="BU93" s="20">
        <v>16.728999999999999</v>
      </c>
      <c r="BV93" s="20">
        <v>16.626999999999999</v>
      </c>
      <c r="BW93" s="19">
        <v>60.386499999999998</v>
      </c>
      <c r="BX93">
        <v>26.95</v>
      </c>
      <c r="BY93" s="6">
        <v>19553495</v>
      </c>
      <c r="BZ93" s="5">
        <v>91178083</v>
      </c>
      <c r="CA93" s="7">
        <f t="shared" si="5"/>
        <v>4.6630069458171031</v>
      </c>
      <c r="CB93">
        <v>3949390</v>
      </c>
      <c r="CC93" s="8">
        <f t="shared" si="6"/>
        <v>23.086624263493857</v>
      </c>
      <c r="CD93" s="8">
        <f t="shared" si="7"/>
        <v>4.951016486090257</v>
      </c>
      <c r="CE93">
        <v>56594</v>
      </c>
      <c r="CF93" s="8">
        <f t="shared" si="8"/>
        <v>345.50473548432694</v>
      </c>
      <c r="CG93" s="8">
        <f t="shared" si="9"/>
        <v>1611.0909813761175</v>
      </c>
      <c r="CH93">
        <v>100.95156</v>
      </c>
    </row>
    <row r="94" spans="1:86" ht="15.5" x14ac:dyDescent="0.35">
      <c r="A94" t="s">
        <v>89</v>
      </c>
      <c r="B94">
        <v>2020</v>
      </c>
      <c r="C94" s="2">
        <v>56.538499999999999</v>
      </c>
      <c r="D94">
        <v>28287.68</v>
      </c>
      <c r="E94">
        <v>0.1356</v>
      </c>
      <c r="F94">
        <v>4.4059999999999997</v>
      </c>
      <c r="G94">
        <v>24800</v>
      </c>
      <c r="H94">
        <v>8</v>
      </c>
      <c r="I94" s="19">
        <v>103.011</v>
      </c>
      <c r="J94" s="19">
        <v>102.96</v>
      </c>
      <c r="K94" s="19">
        <v>2.9140000000000001</v>
      </c>
      <c r="L94" s="19">
        <v>59.523800000000001</v>
      </c>
      <c r="M94" s="19">
        <v>-769000000</v>
      </c>
      <c r="N94" s="19">
        <v>133.0206</v>
      </c>
      <c r="O94">
        <v>29.129000000000001</v>
      </c>
      <c r="P94">
        <v>26.0745</v>
      </c>
      <c r="Q94" s="19">
        <v>14797.883</v>
      </c>
      <c r="R94" s="19">
        <v>13544.9715</v>
      </c>
      <c r="S94" s="19">
        <v>-7.4874999999999998</v>
      </c>
      <c r="T94" s="19">
        <v>32495.559300000001</v>
      </c>
      <c r="U94" s="19">
        <v>31595.874299999999</v>
      </c>
      <c r="V94">
        <v>29.5</v>
      </c>
      <c r="W94" s="19">
        <v>68.095200000000006</v>
      </c>
      <c r="X94">
        <v>94</v>
      </c>
      <c r="Y94">
        <v>91</v>
      </c>
      <c r="Z94">
        <v>91</v>
      </c>
      <c r="AA94">
        <v>4</v>
      </c>
      <c r="AB94">
        <v>78.3</v>
      </c>
      <c r="AC94">
        <v>77.5244</v>
      </c>
      <c r="AD94">
        <v>98.596400000000003</v>
      </c>
      <c r="AE94">
        <v>5</v>
      </c>
      <c r="AF94">
        <v>88.965999999999994</v>
      </c>
      <c r="AH94">
        <v>0.36</v>
      </c>
      <c r="AI94">
        <v>4.7</v>
      </c>
      <c r="AJ94">
        <v>4.2</v>
      </c>
      <c r="AK94">
        <v>5.0999999999999996</v>
      </c>
      <c r="AL94">
        <v>55.401400000000002</v>
      </c>
      <c r="AM94">
        <v>2.9</v>
      </c>
      <c r="AN94">
        <v>-8552</v>
      </c>
      <c r="AO94">
        <v>0</v>
      </c>
      <c r="AQ94">
        <v>96.161600000000007</v>
      </c>
      <c r="AT94">
        <v>88.125</v>
      </c>
      <c r="AU94">
        <v>16.120899999999999</v>
      </c>
      <c r="AV94" s="19">
        <v>66.509399999999999</v>
      </c>
      <c r="AW94">
        <v>0.3</v>
      </c>
      <c r="AX94">
        <v>19.2</v>
      </c>
      <c r="AY94">
        <v>7</v>
      </c>
      <c r="AZ94">
        <v>4</v>
      </c>
      <c r="BA94">
        <v>77.8797</v>
      </c>
      <c r="BB94">
        <v>31.125800000000002</v>
      </c>
      <c r="BC94">
        <v>6.2554999999999996</v>
      </c>
      <c r="BD94" s="19">
        <v>-8.3119999999999994</v>
      </c>
      <c r="BE94" s="19">
        <v>63.333300000000001</v>
      </c>
      <c r="BF94">
        <v>64.987700000000004</v>
      </c>
      <c r="BG94">
        <v>32.4</v>
      </c>
      <c r="BH94" s="20">
        <v>1.2299</v>
      </c>
      <c r="BI94" s="20">
        <v>2295.4441000000002</v>
      </c>
      <c r="BJ94" s="19">
        <v>59.523800000000001</v>
      </c>
      <c r="BK94">
        <v>1.002</v>
      </c>
      <c r="BL94">
        <v>1.0390999999999999</v>
      </c>
      <c r="BM94">
        <v>1.0573999999999999</v>
      </c>
      <c r="BN94">
        <v>8</v>
      </c>
      <c r="BO94">
        <v>12.242000000000001</v>
      </c>
      <c r="BP94">
        <v>14.67</v>
      </c>
      <c r="BQ94" s="19">
        <v>95.606200000000001</v>
      </c>
      <c r="BR94">
        <v>78.331199999999995</v>
      </c>
      <c r="BS94" s="20">
        <v>7.5069999999999997</v>
      </c>
      <c r="BT94" s="20">
        <v>7.5069999999999997</v>
      </c>
      <c r="BU94" s="20">
        <v>21.222000000000001</v>
      </c>
      <c r="BV94" s="20">
        <v>21.105</v>
      </c>
      <c r="BW94" s="19">
        <v>64.734300000000005</v>
      </c>
      <c r="BX94">
        <v>29.85</v>
      </c>
      <c r="BY94" s="6">
        <v>6997382</v>
      </c>
      <c r="BZ94" s="5">
        <v>40771344</v>
      </c>
      <c r="CA94" s="7">
        <f t="shared" si="5"/>
        <v>5.8266568839603154</v>
      </c>
      <c r="CB94">
        <v>3914206</v>
      </c>
      <c r="CC94" s="8">
        <f t="shared" si="6"/>
        <v>10.416248914850163</v>
      </c>
      <c r="CD94" s="8">
        <f t="shared" si="7"/>
        <v>1.7876887419824097</v>
      </c>
      <c r="CE94">
        <v>56594</v>
      </c>
      <c r="CF94" s="8">
        <f t="shared" si="8"/>
        <v>123.64176414460897</v>
      </c>
      <c r="CG94" s="8">
        <f t="shared" si="9"/>
        <v>720.41813619818356</v>
      </c>
      <c r="CH94">
        <v>99.119010000000003</v>
      </c>
    </row>
    <row r="95" spans="1:86" ht="15.5" x14ac:dyDescent="0.35">
      <c r="A95" t="s">
        <v>89</v>
      </c>
      <c r="B95">
        <v>2021</v>
      </c>
      <c r="C95" s="2">
        <v>57.432499999999997</v>
      </c>
      <c r="D95">
        <v>28394.400000000001</v>
      </c>
      <c r="E95">
        <v>0.1237</v>
      </c>
      <c r="F95">
        <v>4.5682</v>
      </c>
      <c r="G95">
        <v>24800</v>
      </c>
      <c r="H95">
        <v>8</v>
      </c>
      <c r="I95" s="19">
        <v>105.81699999999999</v>
      </c>
      <c r="J95" s="19">
        <v>108.31</v>
      </c>
      <c r="K95" s="19">
        <v>6.2510000000000003</v>
      </c>
      <c r="L95" s="19">
        <v>56.666699999999999</v>
      </c>
      <c r="M95" s="19">
        <v>376000000</v>
      </c>
      <c r="N95" s="19">
        <v>176.49590000000001</v>
      </c>
      <c r="O95">
        <v>29.832999999999998</v>
      </c>
      <c r="P95">
        <v>26.715800000000002</v>
      </c>
      <c r="Q95" s="19">
        <v>17802.327000000001</v>
      </c>
      <c r="R95" s="19">
        <v>15394.4707</v>
      </c>
      <c r="S95" s="19">
        <v>13.654500000000001</v>
      </c>
      <c r="T95" s="19">
        <v>36932.667999999998</v>
      </c>
      <c r="U95" s="19">
        <v>36932.667999999998</v>
      </c>
      <c r="V95">
        <v>28.9</v>
      </c>
      <c r="W95" s="19">
        <v>69.523799999999994</v>
      </c>
      <c r="X95">
        <v>92</v>
      </c>
      <c r="Y95">
        <v>90</v>
      </c>
      <c r="Z95">
        <v>89</v>
      </c>
      <c r="AA95">
        <v>3.9</v>
      </c>
      <c r="AB95">
        <v>81.3</v>
      </c>
      <c r="AC95">
        <v>76.424400000000006</v>
      </c>
      <c r="AD95">
        <v>99.866299999999995</v>
      </c>
      <c r="AE95">
        <v>12</v>
      </c>
      <c r="AH95">
        <v>0.28999999999999998</v>
      </c>
      <c r="AI95">
        <v>4.5999999999999996</v>
      </c>
      <c r="AJ95">
        <v>4.2</v>
      </c>
      <c r="AK95">
        <v>5.0999999999999996</v>
      </c>
      <c r="AL95">
        <v>55.325600000000001</v>
      </c>
      <c r="AM95">
        <v>2.9</v>
      </c>
      <c r="AN95">
        <v>-4517</v>
      </c>
      <c r="AO95">
        <v>0</v>
      </c>
      <c r="AQ95">
        <v>96.172799999999995</v>
      </c>
      <c r="AT95">
        <v>88.125</v>
      </c>
      <c r="AV95" s="19">
        <v>66.037700000000001</v>
      </c>
      <c r="AW95">
        <v>0.3</v>
      </c>
      <c r="AX95">
        <v>18</v>
      </c>
      <c r="AY95">
        <v>7</v>
      </c>
      <c r="AZ95">
        <v>4</v>
      </c>
      <c r="BA95">
        <v>77.957400000000007</v>
      </c>
      <c r="BB95">
        <v>31.125800000000002</v>
      </c>
      <c r="BC95">
        <v>6.7396000000000003</v>
      </c>
      <c r="BD95" s="19">
        <v>12.634</v>
      </c>
      <c r="BE95" s="19">
        <v>68.095200000000006</v>
      </c>
      <c r="BF95">
        <v>69.881</v>
      </c>
      <c r="BG95">
        <v>34.1</v>
      </c>
      <c r="BH95" s="20">
        <v>1.2312000000000001</v>
      </c>
      <c r="BI95" s="20">
        <v>2414.4220999999998</v>
      </c>
      <c r="BJ95" s="19">
        <v>58.571399999999997</v>
      </c>
      <c r="BN95">
        <v>8</v>
      </c>
      <c r="BO95">
        <v>12.69</v>
      </c>
      <c r="BP95">
        <v>15.68</v>
      </c>
      <c r="BQ95" s="19">
        <v>96.233500000000006</v>
      </c>
      <c r="BS95" s="20">
        <v>7.6079999999999997</v>
      </c>
      <c r="BT95" s="20">
        <v>7.6079999999999997</v>
      </c>
      <c r="BU95" s="20">
        <v>21.995999999999999</v>
      </c>
      <c r="BV95" s="20">
        <v>21.904</v>
      </c>
      <c r="BW95" s="19">
        <v>64.734300000000005</v>
      </c>
      <c r="BX95">
        <v>26.49</v>
      </c>
      <c r="BY95" s="6">
        <v>12770754</v>
      </c>
      <c r="BZ95" s="5">
        <v>70171684</v>
      </c>
      <c r="CA95" s="7">
        <f t="shared" si="5"/>
        <v>5.4947173831709542</v>
      </c>
      <c r="CB95">
        <v>3878981</v>
      </c>
      <c r="CC95" s="8">
        <f t="shared" si="6"/>
        <v>18.090236585330015</v>
      </c>
      <c r="CD95" s="8">
        <f t="shared" si="7"/>
        <v>3.2922960952889433</v>
      </c>
      <c r="CE95">
        <v>56594</v>
      </c>
      <c r="CF95" s="8">
        <f t="shared" si="8"/>
        <v>225.65561720323709</v>
      </c>
      <c r="CG95" s="8">
        <f t="shared" si="9"/>
        <v>1239.9138424567975</v>
      </c>
      <c r="CH95">
        <v>99.100960000000001</v>
      </c>
    </row>
    <row r="96" spans="1:86" ht="15.5" x14ac:dyDescent="0.35">
      <c r="A96" t="s">
        <v>89</v>
      </c>
      <c r="B96">
        <v>2022</v>
      </c>
      <c r="C96" s="2">
        <v>58.191899999999997</v>
      </c>
      <c r="E96">
        <v>0.1135</v>
      </c>
      <c r="F96">
        <v>4.5239000000000003</v>
      </c>
      <c r="H96">
        <v>8</v>
      </c>
      <c r="I96" s="19">
        <v>117.108</v>
      </c>
      <c r="J96" s="19">
        <v>122.03</v>
      </c>
      <c r="K96" s="19">
        <v>8.7970000000000006</v>
      </c>
      <c r="L96" s="19">
        <v>59.905700000000003</v>
      </c>
      <c r="M96" s="19">
        <v>-2472000000</v>
      </c>
      <c r="N96" s="19"/>
      <c r="O96">
        <v>23.719000000000001</v>
      </c>
      <c r="P96">
        <v>27.6586</v>
      </c>
      <c r="Q96" s="19">
        <v>18480.292000000001</v>
      </c>
      <c r="R96" s="19">
        <v>16616.391500000002</v>
      </c>
      <c r="S96" s="19">
        <v>7.9374000000000002</v>
      </c>
      <c r="T96" s="19">
        <v>39864.161800000002</v>
      </c>
      <c r="U96" s="19">
        <v>41959.529399999999</v>
      </c>
      <c r="W96" s="19">
        <v>70.283000000000001</v>
      </c>
      <c r="X96">
        <v>92</v>
      </c>
      <c r="Y96">
        <v>90</v>
      </c>
      <c r="Z96">
        <v>90</v>
      </c>
      <c r="AA96">
        <v>3.9</v>
      </c>
      <c r="AB96">
        <v>82.1</v>
      </c>
      <c r="AC96">
        <v>77.575599999999994</v>
      </c>
      <c r="AD96">
        <v>101.62609999999999</v>
      </c>
      <c r="AE96">
        <v>6</v>
      </c>
      <c r="AI96">
        <v>4.5999999999999996</v>
      </c>
      <c r="AJ96">
        <v>4.0999999999999996</v>
      </c>
      <c r="AK96">
        <v>5.0999999999999996</v>
      </c>
      <c r="AL96">
        <v>55.444899999999997</v>
      </c>
      <c r="AM96">
        <v>2.9</v>
      </c>
      <c r="AN96">
        <v>11681</v>
      </c>
      <c r="AV96" s="19">
        <v>69.339600000000004</v>
      </c>
      <c r="AY96">
        <v>7</v>
      </c>
      <c r="AZ96">
        <v>4</v>
      </c>
      <c r="BB96">
        <v>31.7881</v>
      </c>
      <c r="BC96">
        <v>6.0942999999999996</v>
      </c>
      <c r="BD96" s="19">
        <v>7.2859999999999996</v>
      </c>
      <c r="BE96" s="19">
        <v>68.396199999999993</v>
      </c>
      <c r="BG96" s="23">
        <v>28.088000000000001</v>
      </c>
      <c r="BH96" s="20">
        <v>1.4032</v>
      </c>
      <c r="BI96" s="20">
        <v>2534.4243000000001</v>
      </c>
      <c r="BJ96" s="19">
        <v>60.8491</v>
      </c>
      <c r="BN96">
        <v>8</v>
      </c>
      <c r="BO96">
        <v>11.916</v>
      </c>
      <c r="BQ96" s="19"/>
      <c r="BS96" s="20">
        <v>6.96</v>
      </c>
      <c r="BT96" s="20">
        <v>6.96</v>
      </c>
      <c r="BU96" s="20">
        <v>18.082999999999998</v>
      </c>
      <c r="BV96" s="20">
        <v>18.042000000000002</v>
      </c>
      <c r="BW96" s="19">
        <v>66.666700000000006</v>
      </c>
      <c r="BX96">
        <v>26.85</v>
      </c>
      <c r="BY96" s="6">
        <v>17769145</v>
      </c>
      <c r="BZ96" s="5">
        <v>90005383</v>
      </c>
      <c r="CA96" s="7">
        <f t="shared" si="5"/>
        <v>5.0652624535395487</v>
      </c>
      <c r="CB96">
        <v>3855641</v>
      </c>
      <c r="CC96" s="8">
        <f t="shared" si="6"/>
        <v>23.343818317109918</v>
      </c>
      <c r="CD96" s="8">
        <f t="shared" si="7"/>
        <v>4.6086098264854014</v>
      </c>
      <c r="CE96">
        <v>56594</v>
      </c>
      <c r="CF96" s="8">
        <f t="shared" si="8"/>
        <v>313.97577481711841</v>
      </c>
      <c r="CG96" s="8">
        <f t="shared" si="9"/>
        <v>1590.369703502138</v>
      </c>
      <c r="CH96">
        <v>100.41797</v>
      </c>
    </row>
    <row r="97" spans="1:86" ht="15.5" x14ac:dyDescent="0.35">
      <c r="A97" t="s">
        <v>89</v>
      </c>
      <c r="B97">
        <v>2023</v>
      </c>
      <c r="C97" s="26">
        <v>58.614100000000001</v>
      </c>
      <c r="E97">
        <v>0.1099</v>
      </c>
      <c r="F97">
        <v>4.5228000000000002</v>
      </c>
      <c r="H97">
        <v>8</v>
      </c>
      <c r="I97" s="19">
        <v>126.937</v>
      </c>
      <c r="J97" s="19">
        <v>128.56</v>
      </c>
      <c r="K97" s="19">
        <v>6.0270000000000001</v>
      </c>
      <c r="L97" s="19">
        <v>59.905700000000003</v>
      </c>
      <c r="M97" s="19">
        <v>347000000</v>
      </c>
      <c r="N97" s="19"/>
      <c r="P97">
        <v>28.4709</v>
      </c>
      <c r="Q97" s="19">
        <v>21869.502</v>
      </c>
      <c r="R97" s="19">
        <v>17147.166000000001</v>
      </c>
      <c r="S97" s="19">
        <v>3.1943000000000001</v>
      </c>
      <c r="T97" s="19">
        <v>41137.535799999998</v>
      </c>
      <c r="U97" s="19">
        <v>45602.960099999997</v>
      </c>
      <c r="W97" s="19">
        <v>75.471699999999998</v>
      </c>
      <c r="X97">
        <v>93</v>
      </c>
      <c r="Y97">
        <v>92</v>
      </c>
      <c r="Z97">
        <v>90</v>
      </c>
      <c r="AA97">
        <v>3.9</v>
      </c>
      <c r="AB97">
        <v>83.2</v>
      </c>
      <c r="AC97">
        <v>78.473200000000006</v>
      </c>
      <c r="AE97">
        <v>3</v>
      </c>
      <c r="AI97">
        <v>4.5999999999999996</v>
      </c>
      <c r="AJ97">
        <v>4.0999999999999996</v>
      </c>
      <c r="AK97">
        <v>5</v>
      </c>
      <c r="AL97" s="24">
        <v>55.444899999999997</v>
      </c>
      <c r="AM97">
        <v>2.8</v>
      </c>
      <c r="AN97">
        <v>10202</v>
      </c>
      <c r="AV97" s="19">
        <v>67.772499999999994</v>
      </c>
      <c r="AY97" s="25">
        <v>7</v>
      </c>
      <c r="AZ97">
        <v>4</v>
      </c>
      <c r="BB97">
        <v>31.7881</v>
      </c>
      <c r="BD97" s="19">
        <v>3.302</v>
      </c>
      <c r="BE97" s="19">
        <v>72.169799999999995</v>
      </c>
      <c r="BG97" s="23">
        <v>28.050999999999998</v>
      </c>
      <c r="BH97" s="20"/>
      <c r="BI97" s="20"/>
      <c r="BJ97" s="19">
        <v>59.433999999999997</v>
      </c>
      <c r="BN97">
        <v>8</v>
      </c>
      <c r="BO97">
        <v>9.8279999999999994</v>
      </c>
      <c r="BQ97" s="19"/>
      <c r="BS97" s="20">
        <v>6.0860000000000003</v>
      </c>
      <c r="BT97" s="20">
        <v>6.0860000000000003</v>
      </c>
      <c r="BU97" s="20">
        <v>18.901</v>
      </c>
      <c r="BV97" s="20">
        <v>18.957999999999998</v>
      </c>
      <c r="BW97" s="19">
        <v>65.686300000000003</v>
      </c>
      <c r="BX97">
        <v>25.65</v>
      </c>
      <c r="BY97" s="6">
        <v>19486573</v>
      </c>
      <c r="BZ97" s="5">
        <v>92341148</v>
      </c>
      <c r="CA97" s="7">
        <f t="shared" si="5"/>
        <v>4.7387063902924336</v>
      </c>
      <c r="CB97">
        <v>3859686</v>
      </c>
      <c r="CC97" s="8">
        <f t="shared" si="6"/>
        <v>23.924523393871937</v>
      </c>
      <c r="CD97" s="8">
        <f t="shared" si="7"/>
        <v>5.0487456751663222</v>
      </c>
      <c r="CE97">
        <v>56594</v>
      </c>
      <c r="CF97" s="8">
        <f t="shared" si="8"/>
        <v>344.32224264056259</v>
      </c>
      <c r="CG97" s="8">
        <f t="shared" si="9"/>
        <v>1631.6420115206558</v>
      </c>
      <c r="CH97">
        <v>101.9036</v>
      </c>
    </row>
    <row r="98" spans="1:86" ht="15.5" x14ac:dyDescent="0.35">
      <c r="A98" t="s">
        <v>90</v>
      </c>
      <c r="B98">
        <v>2000</v>
      </c>
      <c r="C98" s="2">
        <v>47.547899999999998</v>
      </c>
      <c r="D98">
        <v>12901.49</v>
      </c>
      <c r="E98">
        <v>0.28449999999999998</v>
      </c>
      <c r="F98">
        <v>7.5259999999999998</v>
      </c>
      <c r="G98">
        <v>8300</v>
      </c>
      <c r="H98">
        <v>9</v>
      </c>
      <c r="I98" s="19">
        <v>74.903000000000006</v>
      </c>
      <c r="J98" s="19">
        <v>75.819999999999993</v>
      </c>
      <c r="K98" s="19">
        <v>4.9669999999999996</v>
      </c>
      <c r="L98" s="19">
        <v>83.510599999999997</v>
      </c>
      <c r="M98" s="19">
        <v>-489000000</v>
      </c>
      <c r="N98" s="19">
        <v>28.860700000000001</v>
      </c>
      <c r="O98">
        <v>18.489000000000001</v>
      </c>
      <c r="Q98" s="19">
        <v>14464.816000000001</v>
      </c>
      <c r="R98" s="19">
        <v>22383.8652</v>
      </c>
      <c r="S98" s="19">
        <v>4.8441999999999998</v>
      </c>
      <c r="T98" s="19">
        <v>36125.128900000003</v>
      </c>
      <c r="U98" s="19">
        <v>21291.210899999998</v>
      </c>
      <c r="W98" s="19">
        <v>84.153000000000006</v>
      </c>
      <c r="X98">
        <v>97</v>
      </c>
      <c r="Y98">
        <v>89</v>
      </c>
      <c r="Z98">
        <v>86</v>
      </c>
      <c r="AA98">
        <v>5.8</v>
      </c>
      <c r="AB98">
        <v>15.3</v>
      </c>
      <c r="AC98">
        <v>77.900000000000006</v>
      </c>
      <c r="AD98">
        <v>91.268600000000006</v>
      </c>
      <c r="AE98">
        <v>12</v>
      </c>
      <c r="AF98">
        <v>93.72</v>
      </c>
      <c r="AG98">
        <v>12.3</v>
      </c>
      <c r="AH98">
        <v>0.12</v>
      </c>
      <c r="AI98">
        <v>6.6</v>
      </c>
      <c r="AJ98">
        <v>6.2</v>
      </c>
      <c r="AK98">
        <v>7.1</v>
      </c>
      <c r="AL98">
        <v>54.522399999999998</v>
      </c>
      <c r="AM98">
        <v>3.7</v>
      </c>
      <c r="AN98">
        <v>10753</v>
      </c>
      <c r="AO98">
        <v>0</v>
      </c>
      <c r="AP98">
        <v>99.889399999999995</v>
      </c>
      <c r="AQ98">
        <v>99.739699999999999</v>
      </c>
      <c r="AR98">
        <v>95.853099999999998</v>
      </c>
      <c r="AT98">
        <v>86.448099999999997</v>
      </c>
      <c r="AU98">
        <v>20.306999999999999</v>
      </c>
      <c r="AV98" s="19">
        <v>68.783100000000005</v>
      </c>
      <c r="AY98">
        <v>3</v>
      </c>
      <c r="AZ98">
        <v>6</v>
      </c>
      <c r="BA98">
        <v>76.262100000000004</v>
      </c>
      <c r="BB98">
        <v>7.1429</v>
      </c>
      <c r="BC98">
        <v>2.1802999999999999</v>
      </c>
      <c r="BD98" s="19">
        <v>5.9649999999999999</v>
      </c>
      <c r="BE98" s="19">
        <v>83.152199999999993</v>
      </c>
      <c r="BF98">
        <v>0</v>
      </c>
      <c r="BG98">
        <v>3.1</v>
      </c>
      <c r="BH98" s="20">
        <v>0.22689999999999999</v>
      </c>
      <c r="BI98" s="20">
        <v>438.81439999999998</v>
      </c>
      <c r="BJ98" s="19">
        <v>84.079599999999999</v>
      </c>
      <c r="BK98">
        <v>1.0018</v>
      </c>
      <c r="BL98">
        <v>1.012</v>
      </c>
      <c r="BM98">
        <v>1.0226</v>
      </c>
      <c r="BN98">
        <v>6</v>
      </c>
      <c r="BO98">
        <v>10.053000000000001</v>
      </c>
      <c r="BP98">
        <v>1.92</v>
      </c>
      <c r="BQ98" s="19">
        <v>106.9542</v>
      </c>
      <c r="BR98">
        <v>86.2714</v>
      </c>
      <c r="BS98" s="20">
        <v>4.766</v>
      </c>
      <c r="BT98" s="20">
        <v>4.766</v>
      </c>
      <c r="BU98" s="20">
        <v>8.9039999999999999</v>
      </c>
      <c r="BV98" s="20">
        <v>9.2240000000000002</v>
      </c>
      <c r="BW98" s="19">
        <v>80.596999999999994</v>
      </c>
      <c r="BX98">
        <v>28.86</v>
      </c>
      <c r="BY98" s="6">
        <v>2519525</v>
      </c>
      <c r="BZ98" s="5">
        <v>17419055</v>
      </c>
      <c r="CA98" s="7">
        <f t="shared" si="5"/>
        <v>6.9136265764380189</v>
      </c>
      <c r="CB98">
        <v>947667</v>
      </c>
      <c r="CC98" s="8">
        <f t="shared" si="6"/>
        <v>18.380987203310866</v>
      </c>
      <c r="CD98" s="8">
        <f t="shared" si="7"/>
        <v>2.6586606898836829</v>
      </c>
      <c r="CE98">
        <v>9253</v>
      </c>
      <c r="CF98" s="8">
        <f t="shared" si="8"/>
        <v>272.29276991246081</v>
      </c>
      <c r="CG98" s="8">
        <f t="shared" si="9"/>
        <v>1882.5305306387118</v>
      </c>
      <c r="CH98">
        <v>101.42813</v>
      </c>
    </row>
    <row r="99" spans="1:86" ht="15.5" x14ac:dyDescent="0.35">
      <c r="A99" t="s">
        <v>90</v>
      </c>
      <c r="B99">
        <v>2001</v>
      </c>
      <c r="C99" s="2">
        <v>46.556600000000003</v>
      </c>
      <c r="D99">
        <v>12877.02</v>
      </c>
      <c r="E99">
        <v>0.26850000000000002</v>
      </c>
      <c r="F99">
        <v>7.2579000000000002</v>
      </c>
      <c r="G99">
        <v>8210</v>
      </c>
      <c r="H99">
        <v>9</v>
      </c>
      <c r="I99" s="19">
        <v>76.393000000000001</v>
      </c>
      <c r="J99" s="19">
        <v>77.459999999999994</v>
      </c>
      <c r="K99" s="19">
        <v>3.9790000000000001</v>
      </c>
      <c r="L99" s="19"/>
      <c r="M99" s="19">
        <v>-316000000</v>
      </c>
      <c r="N99" s="19">
        <v>29.617799999999999</v>
      </c>
      <c r="O99">
        <v>18.55</v>
      </c>
      <c r="P99">
        <v>0.35439999999999999</v>
      </c>
      <c r="Q99" s="19">
        <v>14905.023999999999</v>
      </c>
      <c r="R99" s="19">
        <v>23019.148399999998</v>
      </c>
      <c r="S99" s="19">
        <v>2.8380999999999998</v>
      </c>
      <c r="T99" s="19">
        <v>37150.402300000002</v>
      </c>
      <c r="U99" s="19">
        <v>22868.7598</v>
      </c>
      <c r="W99" s="19"/>
      <c r="X99">
        <v>97</v>
      </c>
      <c r="Y99">
        <v>89</v>
      </c>
      <c r="Z99">
        <v>86</v>
      </c>
      <c r="AA99">
        <v>5.4</v>
      </c>
      <c r="AB99">
        <v>18.8</v>
      </c>
      <c r="AC99">
        <v>78.185000000000002</v>
      </c>
      <c r="AD99">
        <v>91.524699999999996</v>
      </c>
      <c r="AE99">
        <v>11</v>
      </c>
      <c r="AF99">
        <v>94.244500000000002</v>
      </c>
      <c r="AG99">
        <v>11.8</v>
      </c>
      <c r="AH99">
        <v>0.12</v>
      </c>
      <c r="AI99">
        <v>6.2</v>
      </c>
      <c r="AJ99">
        <v>5.8</v>
      </c>
      <c r="AK99">
        <v>6.6</v>
      </c>
      <c r="AL99">
        <v>54.7791</v>
      </c>
      <c r="AM99">
        <v>3.4</v>
      </c>
      <c r="AN99">
        <v>11283</v>
      </c>
      <c r="AO99">
        <v>0</v>
      </c>
      <c r="AP99">
        <v>99.889300000000006</v>
      </c>
      <c r="AQ99">
        <v>99.739500000000007</v>
      </c>
      <c r="AR99">
        <v>95.852999999999994</v>
      </c>
      <c r="AT99">
        <v>86.448099999999997</v>
      </c>
      <c r="AU99">
        <v>20.1814</v>
      </c>
      <c r="AV99" s="19"/>
      <c r="AY99">
        <v>3</v>
      </c>
      <c r="AZ99">
        <v>6</v>
      </c>
      <c r="BA99">
        <v>76.301400000000001</v>
      </c>
      <c r="BB99">
        <v>10.7143</v>
      </c>
      <c r="BC99">
        <v>2.2334999999999998</v>
      </c>
      <c r="BD99" s="19">
        <v>3.952</v>
      </c>
      <c r="BE99" s="19"/>
      <c r="BF99">
        <v>0</v>
      </c>
      <c r="BG99">
        <v>3</v>
      </c>
      <c r="BH99" s="20">
        <v>0.2369</v>
      </c>
      <c r="BI99" s="20">
        <v>477.38580000000002</v>
      </c>
      <c r="BJ99" s="19"/>
      <c r="BK99">
        <v>1.0024</v>
      </c>
      <c r="BL99">
        <v>1.0058</v>
      </c>
      <c r="BM99">
        <v>1.0096000000000001</v>
      </c>
      <c r="BN99">
        <v>6</v>
      </c>
      <c r="BO99">
        <v>7.774</v>
      </c>
      <c r="BP99">
        <v>1.99</v>
      </c>
      <c r="BQ99" s="19">
        <v>108.5056</v>
      </c>
      <c r="BR99">
        <v>89.047200000000004</v>
      </c>
      <c r="BS99" s="20">
        <v>4.0430000000000001</v>
      </c>
      <c r="BT99" s="20">
        <v>4.0430000000000001</v>
      </c>
      <c r="BU99" s="20">
        <v>7.976</v>
      </c>
      <c r="BV99" s="20">
        <v>8.3480000000000008</v>
      </c>
      <c r="BW99" s="19"/>
      <c r="BX99">
        <v>28.1</v>
      </c>
      <c r="BY99" s="6">
        <v>2676102</v>
      </c>
      <c r="BZ99" s="5">
        <v>18826208</v>
      </c>
      <c r="CA99" s="7">
        <f t="shared" si="5"/>
        <v>7.0349366354496201</v>
      </c>
      <c r="CB99">
        <v>964127</v>
      </c>
      <c r="CC99" s="8">
        <f t="shared" si="6"/>
        <v>19.526688911315624</v>
      </c>
      <c r="CD99" s="8">
        <f t="shared" si="7"/>
        <v>2.7756737442266424</v>
      </c>
      <c r="CE99">
        <v>9253</v>
      </c>
      <c r="CF99" s="8">
        <f t="shared" si="8"/>
        <v>289.21452501891281</v>
      </c>
      <c r="CG99" s="8">
        <f t="shared" si="9"/>
        <v>2034.6058575597103</v>
      </c>
      <c r="CH99">
        <v>100.57486</v>
      </c>
    </row>
    <row r="100" spans="1:86" ht="15.5" x14ac:dyDescent="0.35">
      <c r="A100" t="s">
        <v>90</v>
      </c>
      <c r="B100">
        <v>2002</v>
      </c>
      <c r="C100" s="2">
        <v>45.816499999999998</v>
      </c>
      <c r="D100">
        <v>13165.36</v>
      </c>
      <c r="E100">
        <v>0.26540000000000002</v>
      </c>
      <c r="F100">
        <v>7.3105000000000002</v>
      </c>
      <c r="G100">
        <v>8430</v>
      </c>
      <c r="H100">
        <v>9</v>
      </c>
      <c r="I100" s="19">
        <v>78.516999999999996</v>
      </c>
      <c r="J100" s="19">
        <v>79.87</v>
      </c>
      <c r="K100" s="19">
        <v>4.1139999999999999</v>
      </c>
      <c r="L100" s="19">
        <v>83.597899999999996</v>
      </c>
      <c r="M100" s="19">
        <v>-393000000</v>
      </c>
      <c r="N100" s="19">
        <v>25.581700000000001</v>
      </c>
      <c r="O100">
        <v>17.300999999999998</v>
      </c>
      <c r="P100">
        <v>0.82369999999999999</v>
      </c>
      <c r="Q100" s="19">
        <v>16188.394</v>
      </c>
      <c r="R100" s="19">
        <v>23604.080099999999</v>
      </c>
      <c r="S100" s="19">
        <v>2.5411000000000001</v>
      </c>
      <c r="T100" s="19">
        <v>38094.417999999998</v>
      </c>
      <c r="U100" s="19">
        <v>23556.3223</v>
      </c>
      <c r="W100" s="19">
        <v>86.486500000000007</v>
      </c>
      <c r="X100">
        <v>97</v>
      </c>
      <c r="Y100">
        <v>88</v>
      </c>
      <c r="Z100">
        <v>86</v>
      </c>
      <c r="AA100">
        <v>5</v>
      </c>
      <c r="AB100">
        <v>28.3</v>
      </c>
      <c r="AC100">
        <v>78.757999999999996</v>
      </c>
      <c r="AD100">
        <v>100.85299999999999</v>
      </c>
      <c r="AE100">
        <v>11</v>
      </c>
      <c r="AF100">
        <v>94.303899999999999</v>
      </c>
      <c r="AG100">
        <v>12.1</v>
      </c>
      <c r="AH100">
        <v>0.13</v>
      </c>
      <c r="AI100">
        <v>5.8</v>
      </c>
      <c r="AJ100">
        <v>5.4</v>
      </c>
      <c r="AK100">
        <v>6.1</v>
      </c>
      <c r="AL100">
        <v>55.201099999999997</v>
      </c>
      <c r="AM100">
        <v>3.2</v>
      </c>
      <c r="AN100">
        <v>12814</v>
      </c>
      <c r="AO100">
        <v>0</v>
      </c>
      <c r="AP100">
        <v>99.889399999999995</v>
      </c>
      <c r="AQ100">
        <v>99.739599999999996</v>
      </c>
      <c r="AR100">
        <v>95.852999999999994</v>
      </c>
      <c r="AT100">
        <v>86.448099999999997</v>
      </c>
      <c r="AU100">
        <v>20.036000000000001</v>
      </c>
      <c r="AV100" s="19">
        <v>51.851900000000001</v>
      </c>
      <c r="AY100">
        <v>3</v>
      </c>
      <c r="AZ100">
        <v>6</v>
      </c>
      <c r="BA100">
        <v>76.277000000000001</v>
      </c>
      <c r="BB100">
        <v>10.7143</v>
      </c>
      <c r="BC100">
        <v>2.4922</v>
      </c>
      <c r="BD100" s="19">
        <v>3.7229999999999999</v>
      </c>
      <c r="BE100" s="19">
        <v>84.324299999999994</v>
      </c>
      <c r="BF100">
        <v>0</v>
      </c>
      <c r="BG100">
        <v>3.2</v>
      </c>
      <c r="BH100" s="20">
        <v>0.2797</v>
      </c>
      <c r="BI100" s="20">
        <v>616.54989999999998</v>
      </c>
      <c r="BJ100" s="19">
        <v>82.089600000000004</v>
      </c>
      <c r="BK100">
        <v>1.0016</v>
      </c>
      <c r="BL100">
        <v>1.0115000000000001</v>
      </c>
      <c r="BM100">
        <v>1.0216000000000001</v>
      </c>
      <c r="BN100">
        <v>6</v>
      </c>
      <c r="BO100">
        <v>8.3789999999999996</v>
      </c>
      <c r="BP100">
        <v>2.06</v>
      </c>
      <c r="BQ100" s="19">
        <v>109.7402</v>
      </c>
      <c r="BR100">
        <v>90.3078</v>
      </c>
      <c r="BS100" s="20">
        <v>3.3359999999999999</v>
      </c>
      <c r="BT100" s="20">
        <v>3.3359999999999999</v>
      </c>
      <c r="BU100" s="20">
        <v>7.4489999999999998</v>
      </c>
      <c r="BV100" s="20">
        <v>7.9059999999999997</v>
      </c>
      <c r="BW100" s="19">
        <v>84.079599999999999</v>
      </c>
      <c r="BX100">
        <v>28.27</v>
      </c>
      <c r="BY100" s="6">
        <v>2416761</v>
      </c>
      <c r="BZ100" s="5">
        <v>16159347</v>
      </c>
      <c r="CA100" s="7">
        <f t="shared" si="5"/>
        <v>6.6863653460147692</v>
      </c>
      <c r="CB100">
        <v>981440</v>
      </c>
      <c r="CC100" s="8">
        <f t="shared" si="6"/>
        <v>16.464936216172156</v>
      </c>
      <c r="CD100" s="8">
        <f t="shared" si="7"/>
        <v>2.4624643381154221</v>
      </c>
      <c r="CE100">
        <v>9253</v>
      </c>
      <c r="CF100" s="8">
        <f t="shared" si="8"/>
        <v>261.1867502431644</v>
      </c>
      <c r="CG100" s="8">
        <f t="shared" si="9"/>
        <v>1746.3900356641088</v>
      </c>
      <c r="CH100">
        <v>100.85025</v>
      </c>
    </row>
    <row r="101" spans="1:86" ht="15.5" x14ac:dyDescent="0.35">
      <c r="A101" t="s">
        <v>90</v>
      </c>
      <c r="B101">
        <v>2003</v>
      </c>
      <c r="C101" s="2">
        <v>45.1492</v>
      </c>
      <c r="D101">
        <v>13889.36</v>
      </c>
      <c r="E101">
        <v>0.28270000000000001</v>
      </c>
      <c r="F101">
        <v>7.8464</v>
      </c>
      <c r="G101">
        <v>8810</v>
      </c>
      <c r="H101">
        <v>9</v>
      </c>
      <c r="I101" s="19">
        <v>81.64</v>
      </c>
      <c r="J101" s="19">
        <v>81.709999999999994</v>
      </c>
      <c r="K101" s="19">
        <v>3.5779999999999998</v>
      </c>
      <c r="L101" s="19">
        <v>84.656099999999995</v>
      </c>
      <c r="M101" s="19">
        <v>-297000000</v>
      </c>
      <c r="N101" s="19">
        <v>28.009399999999999</v>
      </c>
      <c r="O101">
        <v>17.937999999999999</v>
      </c>
      <c r="P101">
        <v>1.3878999999999999</v>
      </c>
      <c r="Q101" s="19">
        <v>20389.494999999999</v>
      </c>
      <c r="R101" s="19">
        <v>23930.669900000001</v>
      </c>
      <c r="S101" s="19">
        <v>1.3835999999999999</v>
      </c>
      <c r="T101" s="19">
        <v>38621.5</v>
      </c>
      <c r="U101" s="19">
        <v>24281.044900000001</v>
      </c>
      <c r="W101" s="19">
        <v>84.324299999999994</v>
      </c>
      <c r="X101">
        <v>97</v>
      </c>
      <c r="Y101">
        <v>89</v>
      </c>
      <c r="Z101">
        <v>86</v>
      </c>
      <c r="AA101">
        <v>4.5999999999999996</v>
      </c>
      <c r="AB101">
        <v>30.1</v>
      </c>
      <c r="AC101">
        <v>78.908000000000001</v>
      </c>
      <c r="AD101">
        <v>94.854799999999997</v>
      </c>
      <c r="AE101">
        <v>10</v>
      </c>
      <c r="AF101">
        <v>94.349800000000002</v>
      </c>
      <c r="AG101">
        <v>11.8</v>
      </c>
      <c r="AH101">
        <v>0.13</v>
      </c>
      <c r="AI101">
        <v>5.4</v>
      </c>
      <c r="AJ101">
        <v>5</v>
      </c>
      <c r="AK101">
        <v>5.7</v>
      </c>
      <c r="AL101">
        <v>55.741500000000002</v>
      </c>
      <c r="AM101">
        <v>3</v>
      </c>
      <c r="AN101">
        <v>12786</v>
      </c>
      <c r="AO101">
        <v>0</v>
      </c>
      <c r="AP101">
        <v>99.881500000000003</v>
      </c>
      <c r="AQ101">
        <v>99.719399999999993</v>
      </c>
      <c r="AR101">
        <v>95.845500000000001</v>
      </c>
      <c r="AT101">
        <v>86.3142</v>
      </c>
      <c r="AU101">
        <v>19.875699999999998</v>
      </c>
      <c r="AV101" s="19">
        <v>63.819099999999999</v>
      </c>
      <c r="AY101">
        <v>3</v>
      </c>
      <c r="AZ101">
        <v>6</v>
      </c>
      <c r="BA101">
        <v>76.1631</v>
      </c>
      <c r="BB101">
        <v>10.7143</v>
      </c>
      <c r="BC101">
        <v>2.4771000000000001</v>
      </c>
      <c r="BD101" s="19">
        <v>2.6240000000000001</v>
      </c>
      <c r="BE101" s="19">
        <v>85.4054</v>
      </c>
      <c r="BF101">
        <v>0</v>
      </c>
      <c r="BG101">
        <v>3.2</v>
      </c>
      <c r="BH101" s="20">
        <v>0.31830000000000003</v>
      </c>
      <c r="BI101" s="20">
        <v>686.54380000000003</v>
      </c>
      <c r="BJ101" s="19">
        <v>81.591999999999999</v>
      </c>
      <c r="BK101">
        <v>1.0036</v>
      </c>
      <c r="BL101">
        <v>1.0103</v>
      </c>
      <c r="BM101">
        <v>1.0168999999999999</v>
      </c>
      <c r="BN101">
        <v>6</v>
      </c>
      <c r="BO101">
        <v>8.9329999999999998</v>
      </c>
      <c r="BP101">
        <v>2.08</v>
      </c>
      <c r="BQ101" s="19">
        <v>109.9329</v>
      </c>
      <c r="BR101">
        <v>88.339100000000002</v>
      </c>
      <c r="BS101" s="20">
        <v>4.1529999999999996</v>
      </c>
      <c r="BT101" s="20">
        <v>4.1529999999999996</v>
      </c>
      <c r="BU101" s="20">
        <v>8.6110000000000007</v>
      </c>
      <c r="BV101" s="20">
        <v>9.0570000000000004</v>
      </c>
      <c r="BW101" s="19">
        <v>78.606999999999999</v>
      </c>
      <c r="BX101">
        <v>27.07</v>
      </c>
      <c r="BY101" s="6">
        <v>2231455</v>
      </c>
      <c r="BZ101" s="5">
        <v>14457937</v>
      </c>
      <c r="CA101" s="7">
        <f t="shared" si="5"/>
        <v>6.4791523916009961</v>
      </c>
      <c r="CB101">
        <v>999590</v>
      </c>
      <c r="CC101" s="8">
        <f t="shared" si="6"/>
        <v>14.463867185546073</v>
      </c>
      <c r="CD101" s="8">
        <f t="shared" si="7"/>
        <v>2.2323702718114427</v>
      </c>
      <c r="CE101">
        <v>9253</v>
      </c>
      <c r="CF101" s="8">
        <f t="shared" si="8"/>
        <v>241.16016427104722</v>
      </c>
      <c r="CG101" s="8">
        <f t="shared" si="9"/>
        <v>1562.5134550956448</v>
      </c>
      <c r="CH101">
        <v>101.39306000000001</v>
      </c>
    </row>
    <row r="102" spans="1:86" ht="15.5" x14ac:dyDescent="0.35">
      <c r="A102" t="s">
        <v>90</v>
      </c>
      <c r="B102">
        <v>2004</v>
      </c>
      <c r="C102" s="2">
        <v>44.323500000000003</v>
      </c>
      <c r="D102">
        <v>14498.5</v>
      </c>
      <c r="E102">
        <v>0.26729999999999998</v>
      </c>
      <c r="F102">
        <v>7.6515000000000004</v>
      </c>
      <c r="G102">
        <v>9040</v>
      </c>
      <c r="H102">
        <v>9</v>
      </c>
      <c r="I102" s="19">
        <v>83.188000000000002</v>
      </c>
      <c r="J102" s="19">
        <v>84.86</v>
      </c>
      <c r="K102" s="19">
        <v>4.0730000000000004</v>
      </c>
      <c r="L102" s="19">
        <v>79.310299999999998</v>
      </c>
      <c r="M102" s="19">
        <v>-788000000</v>
      </c>
      <c r="N102" s="19">
        <v>28.755500000000001</v>
      </c>
      <c r="O102">
        <v>15.569000000000001</v>
      </c>
      <c r="P102">
        <v>2.3288000000000002</v>
      </c>
      <c r="Q102" s="19">
        <v>23969.991000000002</v>
      </c>
      <c r="R102" s="19">
        <v>24799.546900000001</v>
      </c>
      <c r="S102" s="19">
        <v>3.6307999999999998</v>
      </c>
      <c r="T102" s="19">
        <v>40023.773399999998</v>
      </c>
      <c r="U102" s="19">
        <v>25945.546900000001</v>
      </c>
      <c r="V102">
        <v>30.1</v>
      </c>
      <c r="W102" s="19">
        <v>83.084599999999995</v>
      </c>
      <c r="X102">
        <v>98</v>
      </c>
      <c r="Y102">
        <v>88</v>
      </c>
      <c r="Z102">
        <v>86</v>
      </c>
      <c r="AA102">
        <v>4.3</v>
      </c>
      <c r="AB102">
        <v>33.799999999999997</v>
      </c>
      <c r="AC102">
        <v>79.007000000000005</v>
      </c>
      <c r="AD102">
        <v>96.560599999999994</v>
      </c>
      <c r="AE102">
        <v>10</v>
      </c>
      <c r="AF102">
        <v>94.406499999999994</v>
      </c>
      <c r="AG102">
        <v>14.6</v>
      </c>
      <c r="AH102">
        <v>1E-3</v>
      </c>
      <c r="AI102">
        <v>5</v>
      </c>
      <c r="AJ102">
        <v>4.7</v>
      </c>
      <c r="AK102">
        <v>5.3</v>
      </c>
      <c r="AL102">
        <v>55.433</v>
      </c>
      <c r="AM102">
        <v>2.8</v>
      </c>
      <c r="AN102">
        <v>12583</v>
      </c>
      <c r="AO102">
        <v>0</v>
      </c>
      <c r="AP102">
        <v>99.873699999999999</v>
      </c>
      <c r="AQ102">
        <v>99.698999999999998</v>
      </c>
      <c r="AR102">
        <v>96.105500000000006</v>
      </c>
      <c r="AT102">
        <v>86.180400000000006</v>
      </c>
      <c r="AU102">
        <v>19.7058</v>
      </c>
      <c r="AV102" s="19">
        <v>59.223300000000002</v>
      </c>
      <c r="AW102">
        <v>0.1</v>
      </c>
      <c r="AX102">
        <v>16.100000000000001</v>
      </c>
      <c r="AY102">
        <v>3</v>
      </c>
      <c r="AZ102">
        <v>6</v>
      </c>
      <c r="BA102">
        <v>76.091399999999993</v>
      </c>
      <c r="BB102">
        <v>16.071400000000001</v>
      </c>
      <c r="BC102">
        <v>2.2317999999999998</v>
      </c>
      <c r="BD102" s="19">
        <v>5.0259999999999998</v>
      </c>
      <c r="BE102" s="19">
        <v>86.069599999999994</v>
      </c>
      <c r="BF102">
        <v>1.9300000000000001E-2</v>
      </c>
      <c r="BG102">
        <v>3.3</v>
      </c>
      <c r="BH102" s="20">
        <v>0.33560000000000001</v>
      </c>
      <c r="BI102" s="20">
        <v>806.48180000000002</v>
      </c>
      <c r="BJ102" s="19">
        <v>78.846199999999996</v>
      </c>
      <c r="BK102">
        <v>0.99509999999999998</v>
      </c>
      <c r="BL102">
        <v>1.0115000000000001</v>
      </c>
      <c r="BM102">
        <v>1.0274000000000001</v>
      </c>
      <c r="BN102">
        <v>6</v>
      </c>
      <c r="BO102">
        <v>21.792999999999999</v>
      </c>
      <c r="BP102">
        <v>0.89</v>
      </c>
      <c r="BQ102" s="19">
        <v>110.825</v>
      </c>
      <c r="BR102">
        <v>88.246899999999997</v>
      </c>
      <c r="BS102" s="20">
        <v>4.7699999999999996</v>
      </c>
      <c r="BT102" s="20">
        <v>4.7699999999999996</v>
      </c>
      <c r="BU102" s="20">
        <v>10.212999999999999</v>
      </c>
      <c r="BV102" s="20">
        <v>10.821</v>
      </c>
      <c r="BW102" s="19">
        <v>79.807699999999997</v>
      </c>
      <c r="BX102">
        <v>28.05</v>
      </c>
      <c r="BY102" s="6">
        <v>2186842</v>
      </c>
      <c r="BZ102" s="5">
        <v>14717269</v>
      </c>
      <c r="CA102" s="7">
        <f t="shared" si="5"/>
        <v>6.7299187595628762</v>
      </c>
      <c r="CB102">
        <v>1017875</v>
      </c>
      <c r="CC102" s="8">
        <f t="shared" si="6"/>
        <v>14.458817634778336</v>
      </c>
      <c r="CD102" s="8">
        <f t="shared" si="7"/>
        <v>2.1484386589708953</v>
      </c>
      <c r="CE102">
        <v>9253</v>
      </c>
      <c r="CF102" s="8">
        <f t="shared" si="8"/>
        <v>236.33870096185021</v>
      </c>
      <c r="CG102" s="8">
        <f t="shared" si="9"/>
        <v>1590.5402572138767</v>
      </c>
      <c r="CH102">
        <v>101.53272</v>
      </c>
    </row>
    <row r="103" spans="1:86" ht="15.5" x14ac:dyDescent="0.35">
      <c r="A103" t="s">
        <v>90</v>
      </c>
      <c r="B103">
        <v>2005</v>
      </c>
      <c r="C103" s="2">
        <v>43.3855</v>
      </c>
      <c r="D103">
        <v>14591.14</v>
      </c>
      <c r="E103">
        <v>0.25879999999999997</v>
      </c>
      <c r="F103">
        <v>7.6294000000000004</v>
      </c>
      <c r="G103">
        <v>9160</v>
      </c>
      <c r="H103">
        <v>10</v>
      </c>
      <c r="I103" s="19">
        <v>84.873000000000005</v>
      </c>
      <c r="J103" s="19">
        <v>86.07</v>
      </c>
      <c r="K103" s="19">
        <v>3.875</v>
      </c>
      <c r="L103" s="19">
        <v>79.512200000000007</v>
      </c>
      <c r="M103" s="19">
        <v>-995000000</v>
      </c>
      <c r="N103" s="19">
        <v>44.452100000000002</v>
      </c>
      <c r="O103">
        <v>17.068000000000001</v>
      </c>
      <c r="P103">
        <v>4.2816999999999998</v>
      </c>
      <c r="Q103" s="19">
        <v>25527.252</v>
      </c>
      <c r="R103" s="19">
        <v>25631.265599999999</v>
      </c>
      <c r="S103" s="19">
        <v>3.3538000000000001</v>
      </c>
      <c r="T103" s="19">
        <v>41366.078099999999</v>
      </c>
      <c r="U103" s="19">
        <v>27763.279299999998</v>
      </c>
      <c r="V103">
        <v>30.3</v>
      </c>
      <c r="W103" s="19">
        <v>83.823499999999996</v>
      </c>
      <c r="X103">
        <v>98</v>
      </c>
      <c r="Y103">
        <v>88</v>
      </c>
      <c r="Z103">
        <v>86</v>
      </c>
      <c r="AA103">
        <v>3.9</v>
      </c>
      <c r="AB103">
        <v>32.799999999999997</v>
      </c>
      <c r="AC103">
        <v>79.197999999999993</v>
      </c>
      <c r="AD103">
        <v>96.710899999999995</v>
      </c>
      <c r="AE103">
        <v>10</v>
      </c>
      <c r="AF103">
        <v>94.296099999999996</v>
      </c>
      <c r="AG103">
        <v>12.6</v>
      </c>
      <c r="AH103">
        <v>0.11</v>
      </c>
      <c r="AI103">
        <v>4.5999999999999996</v>
      </c>
      <c r="AJ103">
        <v>4.3</v>
      </c>
      <c r="AK103">
        <v>4.9000000000000004</v>
      </c>
      <c r="AL103">
        <v>56.685200000000002</v>
      </c>
      <c r="AM103">
        <v>2.6</v>
      </c>
      <c r="AN103">
        <v>12616</v>
      </c>
      <c r="AO103">
        <v>0</v>
      </c>
      <c r="AP103">
        <v>99.865899999999996</v>
      </c>
      <c r="AQ103">
        <v>99.678399999999996</v>
      </c>
      <c r="AR103">
        <v>96.365399999999994</v>
      </c>
      <c r="AT103">
        <v>86.177800000000005</v>
      </c>
      <c r="AU103">
        <v>19.531199999999998</v>
      </c>
      <c r="AV103" s="19">
        <v>64.077699999999993</v>
      </c>
      <c r="AW103">
        <v>0</v>
      </c>
      <c r="AX103">
        <v>15.6</v>
      </c>
      <c r="AY103">
        <v>3</v>
      </c>
      <c r="AZ103">
        <v>6</v>
      </c>
      <c r="BA103">
        <v>76.129300000000001</v>
      </c>
      <c r="BB103">
        <v>16.071400000000001</v>
      </c>
      <c r="BC103">
        <v>2.2543000000000002</v>
      </c>
      <c r="BD103" s="19">
        <v>4.8529999999999998</v>
      </c>
      <c r="BE103" s="19">
        <v>84.313699999999997</v>
      </c>
      <c r="BF103">
        <v>2.1299999999999999E-2</v>
      </c>
      <c r="BG103">
        <v>3.4</v>
      </c>
      <c r="BH103" s="20">
        <v>0.36730000000000002</v>
      </c>
      <c r="BI103" s="20">
        <v>930.33789999999999</v>
      </c>
      <c r="BJ103" s="19">
        <v>79.425799999999995</v>
      </c>
      <c r="BK103">
        <v>0.99870000000000003</v>
      </c>
      <c r="BL103">
        <v>1.0091000000000001</v>
      </c>
      <c r="BM103">
        <v>1.0190999999999999</v>
      </c>
      <c r="BN103">
        <v>6</v>
      </c>
      <c r="BO103">
        <v>19.516999999999999</v>
      </c>
      <c r="BP103">
        <v>2.36</v>
      </c>
      <c r="BQ103" s="19">
        <v>109.81610000000001</v>
      </c>
      <c r="BR103">
        <v>83.167299999999997</v>
      </c>
      <c r="BS103" s="20">
        <v>5.4809999999999999</v>
      </c>
      <c r="BT103" s="20">
        <v>5.4809999999999999</v>
      </c>
      <c r="BU103" s="20">
        <v>13.541</v>
      </c>
      <c r="BV103" s="20">
        <v>14.6</v>
      </c>
      <c r="BW103" s="19">
        <v>79.807699999999997</v>
      </c>
      <c r="BX103">
        <v>28.33</v>
      </c>
      <c r="BY103" s="6">
        <v>2218786</v>
      </c>
      <c r="BZ103" s="5">
        <v>15058319</v>
      </c>
      <c r="CA103" s="7">
        <f t="shared" si="5"/>
        <v>6.786737882788155</v>
      </c>
      <c r="CB103">
        <v>1036151</v>
      </c>
      <c r="CC103" s="8">
        <f t="shared" si="6"/>
        <v>14.532938731902975</v>
      </c>
      <c r="CD103" s="8">
        <f t="shared" si="7"/>
        <v>2.1413732168380863</v>
      </c>
      <c r="CE103">
        <v>9253</v>
      </c>
      <c r="CF103" s="8">
        <f t="shared" si="8"/>
        <v>239.79098670701393</v>
      </c>
      <c r="CG103" s="8">
        <f t="shared" si="9"/>
        <v>1627.3985734356424</v>
      </c>
      <c r="CH103">
        <v>101.75233</v>
      </c>
    </row>
    <row r="104" spans="1:86" ht="15.5" x14ac:dyDescent="0.35">
      <c r="A104" t="s">
        <v>90</v>
      </c>
      <c r="B104">
        <v>2006</v>
      </c>
      <c r="C104" s="2">
        <v>42.409399999999998</v>
      </c>
      <c r="D104">
        <v>15131.19</v>
      </c>
      <c r="E104">
        <v>0.25040000000000001</v>
      </c>
      <c r="F104">
        <v>7.5972</v>
      </c>
      <c r="G104">
        <v>9360</v>
      </c>
      <c r="H104">
        <v>10</v>
      </c>
      <c r="I104" s="19">
        <v>86.784000000000006</v>
      </c>
      <c r="J104" s="19">
        <v>87.36</v>
      </c>
      <c r="K104" s="19">
        <v>3.7789999999999999</v>
      </c>
      <c r="L104" s="19">
        <v>82.438999999999993</v>
      </c>
      <c r="M104" s="19">
        <v>-1284000000</v>
      </c>
      <c r="N104" s="19">
        <v>40.455500000000001</v>
      </c>
      <c r="O104">
        <v>17.225999999999999</v>
      </c>
      <c r="P104">
        <v>8.3234999999999992</v>
      </c>
      <c r="Q104" s="19">
        <v>27448.397000000001</v>
      </c>
      <c r="R104" s="19">
        <v>26395.410199999998</v>
      </c>
      <c r="S104" s="19">
        <v>2.9813000000000001</v>
      </c>
      <c r="T104" s="19">
        <v>42599.324200000003</v>
      </c>
      <c r="U104" s="19">
        <v>30015.101600000002</v>
      </c>
      <c r="V104">
        <v>31.1</v>
      </c>
      <c r="W104" s="19">
        <v>86.341499999999996</v>
      </c>
      <c r="X104">
        <v>97</v>
      </c>
      <c r="Y104">
        <v>93</v>
      </c>
      <c r="Z104">
        <v>87</v>
      </c>
      <c r="AA104">
        <v>3.6</v>
      </c>
      <c r="AB104">
        <v>35.799999999999997</v>
      </c>
      <c r="AC104">
        <v>79.456000000000003</v>
      </c>
      <c r="AD104">
        <v>96.119500000000002</v>
      </c>
      <c r="AE104">
        <v>10</v>
      </c>
      <c r="AF104">
        <v>94.702200000000005</v>
      </c>
      <c r="AG104">
        <v>9.1999999999999993</v>
      </c>
      <c r="AH104">
        <v>0.45</v>
      </c>
      <c r="AI104">
        <v>4.2</v>
      </c>
      <c r="AJ104">
        <v>4</v>
      </c>
      <c r="AK104">
        <v>4.5</v>
      </c>
      <c r="AL104">
        <v>60.5824</v>
      </c>
      <c r="AM104">
        <v>2.4</v>
      </c>
      <c r="AN104">
        <v>12110</v>
      </c>
      <c r="AO104">
        <v>0</v>
      </c>
      <c r="AP104">
        <v>99.858199999999997</v>
      </c>
      <c r="AQ104">
        <v>99.657600000000002</v>
      </c>
      <c r="AR104">
        <v>96.625299999999996</v>
      </c>
      <c r="AT104">
        <v>86.177000000000007</v>
      </c>
      <c r="AU104">
        <v>19.323399999999999</v>
      </c>
      <c r="AV104" s="19">
        <v>62.801900000000003</v>
      </c>
      <c r="AW104">
        <v>0</v>
      </c>
      <c r="AX104">
        <v>15.5</v>
      </c>
      <c r="AY104">
        <v>3</v>
      </c>
      <c r="AZ104">
        <v>6</v>
      </c>
      <c r="BA104">
        <v>76.168800000000005</v>
      </c>
      <c r="BB104">
        <v>14.2857</v>
      </c>
      <c r="BC104">
        <v>2.3401000000000001</v>
      </c>
      <c r="BD104" s="19">
        <v>4.7140000000000004</v>
      </c>
      <c r="BE104" s="19">
        <v>87.254900000000006</v>
      </c>
      <c r="BF104">
        <v>2.92E-2</v>
      </c>
      <c r="BG104">
        <v>3.5</v>
      </c>
      <c r="BH104" s="20">
        <v>0.38350000000000001</v>
      </c>
      <c r="BI104" s="20">
        <v>1005.3588</v>
      </c>
      <c r="BJ104" s="19">
        <v>86.602900000000005</v>
      </c>
      <c r="BK104">
        <v>0.997</v>
      </c>
      <c r="BL104">
        <v>1.0074000000000001</v>
      </c>
      <c r="BM104">
        <v>1.0170999999999999</v>
      </c>
      <c r="BN104">
        <v>6</v>
      </c>
      <c r="BO104">
        <v>10.727</v>
      </c>
      <c r="BP104">
        <v>3.31</v>
      </c>
      <c r="BQ104" s="19">
        <v>111.1352</v>
      </c>
      <c r="BR104">
        <v>86.987799999999993</v>
      </c>
      <c r="BS104" s="20">
        <v>4.593</v>
      </c>
      <c r="BT104" s="20">
        <v>4.593</v>
      </c>
      <c r="BU104" s="20">
        <v>9.8719999999999999</v>
      </c>
      <c r="BV104" s="20">
        <v>10.436</v>
      </c>
      <c r="BW104" s="19">
        <v>82.211500000000001</v>
      </c>
      <c r="BX104">
        <v>28.44</v>
      </c>
      <c r="BY104" s="6">
        <v>2287229</v>
      </c>
      <c r="BZ104" s="5">
        <v>14438592</v>
      </c>
      <c r="CA104" s="7">
        <f t="shared" si="5"/>
        <v>6.3127006521865541</v>
      </c>
      <c r="CB104">
        <v>1054418</v>
      </c>
      <c r="CC104" s="8">
        <f t="shared" si="6"/>
        <v>13.69342329133228</v>
      </c>
      <c r="CD104" s="8">
        <f t="shared" si="7"/>
        <v>2.1691862240591493</v>
      </c>
      <c r="CE104">
        <v>9253</v>
      </c>
      <c r="CF104" s="8">
        <f t="shared" si="8"/>
        <v>247.18783097373824</v>
      </c>
      <c r="CG104" s="8">
        <f t="shared" si="9"/>
        <v>1560.4227818004972</v>
      </c>
      <c r="CH104">
        <v>101.78986999999999</v>
      </c>
    </row>
    <row r="105" spans="1:86" ht="15.5" x14ac:dyDescent="0.35">
      <c r="A105" t="s">
        <v>90</v>
      </c>
      <c r="B105">
        <v>2007</v>
      </c>
      <c r="C105" s="2">
        <v>41.481200000000001</v>
      </c>
      <c r="D105">
        <v>15888.49</v>
      </c>
      <c r="E105">
        <v>0.24709999999999999</v>
      </c>
      <c r="F105">
        <v>7.7450999999999999</v>
      </c>
      <c r="G105">
        <v>9670</v>
      </c>
      <c r="H105">
        <v>10</v>
      </c>
      <c r="I105" s="19">
        <v>88.668000000000006</v>
      </c>
      <c r="J105" s="19">
        <v>90.71</v>
      </c>
      <c r="K105" s="19">
        <v>5.1950000000000003</v>
      </c>
      <c r="L105" s="19">
        <v>82.524299999999997</v>
      </c>
      <c r="M105" s="19">
        <v>-2565000000</v>
      </c>
      <c r="N105" s="19">
        <v>42.302500000000002</v>
      </c>
      <c r="O105">
        <v>17.689</v>
      </c>
      <c r="P105">
        <v>12.5725</v>
      </c>
      <c r="Q105" s="19">
        <v>31774.244999999999</v>
      </c>
      <c r="R105" s="19">
        <v>27156.6836</v>
      </c>
      <c r="S105" s="19">
        <v>2.8841000000000001</v>
      </c>
      <c r="T105" s="19">
        <v>43827.933599999997</v>
      </c>
      <c r="U105" s="19">
        <v>32889.121099999997</v>
      </c>
      <c r="V105">
        <v>31.1</v>
      </c>
      <c r="W105" s="19">
        <v>88.349500000000006</v>
      </c>
      <c r="X105">
        <v>97</v>
      </c>
      <c r="Y105">
        <v>94</v>
      </c>
      <c r="Z105">
        <v>87</v>
      </c>
      <c r="AA105">
        <v>3.3</v>
      </c>
      <c r="AB105">
        <v>40.799999999999997</v>
      </c>
      <c r="AC105">
        <v>79.798000000000002</v>
      </c>
      <c r="AD105">
        <v>82.976600000000005</v>
      </c>
      <c r="AE105">
        <v>10</v>
      </c>
      <c r="AF105">
        <v>94.882599999999996</v>
      </c>
      <c r="AG105">
        <v>11.1</v>
      </c>
      <c r="AH105">
        <v>0.76</v>
      </c>
      <c r="AI105">
        <v>3.9</v>
      </c>
      <c r="AJ105">
        <v>3.7</v>
      </c>
      <c r="AK105">
        <v>4.2</v>
      </c>
      <c r="AL105">
        <v>60.658700000000003</v>
      </c>
      <c r="AM105">
        <v>2.2000000000000002</v>
      </c>
      <c r="AN105">
        <v>12332</v>
      </c>
      <c r="AO105">
        <v>0</v>
      </c>
      <c r="AP105">
        <v>99.850399999999993</v>
      </c>
      <c r="AQ105">
        <v>99.636499999999998</v>
      </c>
      <c r="AR105">
        <v>96.885199999999998</v>
      </c>
      <c r="AT105">
        <v>86.176299999999998</v>
      </c>
      <c r="AU105">
        <v>19.0776</v>
      </c>
      <c r="AV105" s="19">
        <v>62.801900000000003</v>
      </c>
      <c r="AW105">
        <v>0</v>
      </c>
      <c r="AX105">
        <v>15.9</v>
      </c>
      <c r="AY105">
        <v>3</v>
      </c>
      <c r="AZ105">
        <v>6</v>
      </c>
      <c r="BA105">
        <v>76.209100000000007</v>
      </c>
      <c r="BB105">
        <v>14.2857</v>
      </c>
      <c r="BC105">
        <v>2.3123999999999998</v>
      </c>
      <c r="BD105" s="19">
        <v>5.0960000000000001</v>
      </c>
      <c r="BE105" s="19">
        <v>88.349500000000006</v>
      </c>
      <c r="BF105">
        <v>6.3600000000000004E-2</v>
      </c>
      <c r="BG105">
        <v>4.3</v>
      </c>
      <c r="BH105" s="20">
        <v>0.40010000000000001</v>
      </c>
      <c r="BI105" s="20">
        <v>1054.2065</v>
      </c>
      <c r="BJ105" s="19">
        <v>85.167500000000004</v>
      </c>
      <c r="BK105">
        <v>0.99250000000000005</v>
      </c>
      <c r="BL105">
        <v>1.0061</v>
      </c>
      <c r="BM105">
        <v>1.0184</v>
      </c>
      <c r="BN105">
        <v>6</v>
      </c>
      <c r="BO105">
        <v>8.9949999999999992</v>
      </c>
      <c r="BP105">
        <v>3.02</v>
      </c>
      <c r="BQ105" s="19">
        <v>109.6267</v>
      </c>
      <c r="BR105">
        <v>87.721299999999999</v>
      </c>
      <c r="BS105" s="20">
        <v>3.9460000000000002</v>
      </c>
      <c r="BT105" s="20">
        <v>3.9460000000000002</v>
      </c>
      <c r="BU105" s="20">
        <v>9.4860000000000007</v>
      </c>
      <c r="BV105" s="20">
        <v>10.288</v>
      </c>
      <c r="BW105" s="19">
        <v>83.653800000000004</v>
      </c>
      <c r="BX105">
        <v>29.71</v>
      </c>
      <c r="BY105" s="6">
        <v>2325608</v>
      </c>
      <c r="BZ105" s="5">
        <v>14377667</v>
      </c>
      <c r="CA105" s="7">
        <f t="shared" si="5"/>
        <v>6.1823260841895973</v>
      </c>
      <c r="CB105">
        <v>1072714</v>
      </c>
      <c r="CC105" s="8">
        <f t="shared" si="6"/>
        <v>13.403075749920296</v>
      </c>
      <c r="CD105" s="8">
        <f t="shared" si="7"/>
        <v>2.1679664850090519</v>
      </c>
      <c r="CE105">
        <v>9253</v>
      </c>
      <c r="CF105" s="8">
        <f t="shared" si="8"/>
        <v>251.335566843186</v>
      </c>
      <c r="CG105" s="8">
        <f t="shared" si="9"/>
        <v>1553.8384307792066</v>
      </c>
      <c r="CH105">
        <v>100.20401</v>
      </c>
    </row>
    <row r="106" spans="1:86" ht="15.5" x14ac:dyDescent="0.35">
      <c r="A106" t="s">
        <v>90</v>
      </c>
      <c r="B106">
        <v>2008</v>
      </c>
      <c r="C106" s="2">
        <v>40.6616</v>
      </c>
      <c r="D106">
        <v>16578.86</v>
      </c>
      <c r="E106">
        <v>0.2437</v>
      </c>
      <c r="F106">
        <v>7.7850000000000001</v>
      </c>
      <c r="G106">
        <v>9820</v>
      </c>
      <c r="H106">
        <v>10</v>
      </c>
      <c r="I106" s="19">
        <v>92.555999999999997</v>
      </c>
      <c r="J106" s="19">
        <v>92.49</v>
      </c>
      <c r="K106" s="19">
        <v>4.5810000000000004</v>
      </c>
      <c r="L106" s="19">
        <v>83.980599999999995</v>
      </c>
      <c r="M106" s="19">
        <v>-4121000000</v>
      </c>
      <c r="N106" s="19">
        <v>49.557000000000002</v>
      </c>
      <c r="O106">
        <v>20.436</v>
      </c>
      <c r="P106">
        <v>18.481100000000001</v>
      </c>
      <c r="Q106" s="19">
        <v>36009.56</v>
      </c>
      <c r="R106" s="19">
        <v>27449.043000000001</v>
      </c>
      <c r="S106" s="19">
        <v>1.0766</v>
      </c>
      <c r="T106" s="19">
        <v>44299.769500000002</v>
      </c>
      <c r="U106" s="19">
        <v>34830.152300000002</v>
      </c>
      <c r="V106">
        <v>31.7</v>
      </c>
      <c r="W106" s="19">
        <v>89.805800000000005</v>
      </c>
      <c r="X106">
        <v>97</v>
      </c>
      <c r="Y106">
        <v>93</v>
      </c>
      <c r="Z106">
        <v>87</v>
      </c>
      <c r="AA106">
        <v>3.1</v>
      </c>
      <c r="AB106">
        <v>42.3</v>
      </c>
      <c r="AC106">
        <v>79.906000000000006</v>
      </c>
      <c r="AD106">
        <v>94.566599999999994</v>
      </c>
      <c r="AE106">
        <v>10</v>
      </c>
      <c r="AF106">
        <v>94.947299999999998</v>
      </c>
      <c r="AG106">
        <v>9.8000000000000007</v>
      </c>
      <c r="AH106">
        <v>0.49</v>
      </c>
      <c r="AI106">
        <v>3.7</v>
      </c>
      <c r="AJ106">
        <v>3.4</v>
      </c>
      <c r="AK106">
        <v>3.9</v>
      </c>
      <c r="AL106">
        <v>61.6175</v>
      </c>
      <c r="AM106">
        <v>2.1</v>
      </c>
      <c r="AN106">
        <v>11887</v>
      </c>
      <c r="AO106">
        <v>0</v>
      </c>
      <c r="AP106">
        <v>99.842600000000004</v>
      </c>
      <c r="AQ106">
        <v>99.615300000000005</v>
      </c>
      <c r="AR106">
        <v>97.144999999999996</v>
      </c>
      <c r="AT106">
        <v>86.1755</v>
      </c>
      <c r="AU106">
        <v>18.834499999999998</v>
      </c>
      <c r="AV106" s="19">
        <v>68.75</v>
      </c>
      <c r="AW106">
        <v>0</v>
      </c>
      <c r="AX106">
        <v>15.8</v>
      </c>
      <c r="AY106">
        <v>3</v>
      </c>
      <c r="AZ106">
        <v>6</v>
      </c>
      <c r="BA106">
        <v>76.250200000000007</v>
      </c>
      <c r="BB106">
        <v>14.2857</v>
      </c>
      <c r="BC106">
        <v>2.5026999999999999</v>
      </c>
      <c r="BD106" s="19">
        <v>3.6480000000000001</v>
      </c>
      <c r="BE106" s="19">
        <v>88.349500000000006</v>
      </c>
      <c r="BF106">
        <v>0.29380000000000001</v>
      </c>
      <c r="BG106">
        <v>5.7</v>
      </c>
      <c r="BH106" s="20">
        <v>0.38590000000000002</v>
      </c>
      <c r="BI106" s="20">
        <v>1038.2141999999999</v>
      </c>
      <c r="BJ106" s="19">
        <v>87.5</v>
      </c>
      <c r="BK106">
        <v>0.98860000000000003</v>
      </c>
      <c r="BL106">
        <v>1.0006999999999999</v>
      </c>
      <c r="BM106">
        <v>1.0111000000000001</v>
      </c>
      <c r="BN106">
        <v>6</v>
      </c>
      <c r="BO106">
        <v>9.6539999999999999</v>
      </c>
      <c r="BP106">
        <v>5.98</v>
      </c>
      <c r="BQ106" s="19">
        <v>114.6357</v>
      </c>
      <c r="BR106">
        <v>88.893900000000002</v>
      </c>
      <c r="BS106" s="20">
        <v>3.7559999999999998</v>
      </c>
      <c r="BT106" s="20">
        <v>3.7559999999999998</v>
      </c>
      <c r="BU106" s="20">
        <v>8.532</v>
      </c>
      <c r="BV106" s="20">
        <v>9.1470000000000002</v>
      </c>
      <c r="BW106" s="19">
        <v>84.615399999999994</v>
      </c>
      <c r="BX106">
        <v>36.21</v>
      </c>
      <c r="BY106" s="6">
        <v>2297038</v>
      </c>
      <c r="BZ106" s="5">
        <v>14380375</v>
      </c>
      <c r="CA106" s="7">
        <f t="shared" si="5"/>
        <v>6.2603992620061142</v>
      </c>
      <c r="CB106">
        <v>1091026</v>
      </c>
      <c r="CC106" s="8">
        <f t="shared" si="6"/>
        <v>13.180597895925487</v>
      </c>
      <c r="CD106" s="8">
        <f t="shared" si="7"/>
        <v>2.1053925387662624</v>
      </c>
      <c r="CE106">
        <v>9253</v>
      </c>
      <c r="CF106" s="8">
        <f t="shared" si="8"/>
        <v>248.24791959364529</v>
      </c>
      <c r="CG106" s="8">
        <f t="shared" si="9"/>
        <v>1554.1310926186102</v>
      </c>
      <c r="CH106">
        <v>100.46155</v>
      </c>
    </row>
    <row r="107" spans="1:86" ht="15.5" x14ac:dyDescent="0.35">
      <c r="A107" t="s">
        <v>90</v>
      </c>
      <c r="B107">
        <v>2009</v>
      </c>
      <c r="C107" s="2">
        <v>39.985799999999998</v>
      </c>
      <c r="D107">
        <v>15397.92</v>
      </c>
      <c r="E107">
        <v>0.2427</v>
      </c>
      <c r="F107">
        <v>7.4695999999999998</v>
      </c>
      <c r="G107">
        <v>9610</v>
      </c>
      <c r="H107">
        <v>10</v>
      </c>
      <c r="I107" s="19">
        <v>92.722999999999999</v>
      </c>
      <c r="J107" s="19">
        <v>94.13</v>
      </c>
      <c r="K107" s="19">
        <v>3.16</v>
      </c>
      <c r="L107" s="19">
        <v>77.990399999999994</v>
      </c>
      <c r="M107" s="19">
        <v>-1740000000</v>
      </c>
      <c r="N107" s="19">
        <v>38.155500000000004</v>
      </c>
      <c r="O107">
        <v>13.760999999999999</v>
      </c>
      <c r="P107">
        <v>21.489899999999999</v>
      </c>
      <c r="Q107" s="19">
        <v>32650.09</v>
      </c>
      <c r="R107" s="19">
        <v>26183.460899999998</v>
      </c>
      <c r="S107" s="19">
        <v>-4.6106999999999996</v>
      </c>
      <c r="T107" s="19">
        <v>42257.261700000003</v>
      </c>
      <c r="U107" s="19">
        <v>33883.617200000001</v>
      </c>
      <c r="V107">
        <v>32.1</v>
      </c>
      <c r="W107" s="19">
        <v>88.038300000000007</v>
      </c>
      <c r="X107">
        <v>99</v>
      </c>
      <c r="Y107">
        <v>96</v>
      </c>
      <c r="Z107">
        <v>87</v>
      </c>
      <c r="AA107">
        <v>2.9</v>
      </c>
      <c r="AB107">
        <v>49.8</v>
      </c>
      <c r="AC107">
        <v>80.375</v>
      </c>
      <c r="AD107">
        <v>95.263300000000001</v>
      </c>
      <c r="AE107">
        <v>10</v>
      </c>
      <c r="AF107">
        <v>94.965900000000005</v>
      </c>
      <c r="AG107">
        <v>9.3000000000000007</v>
      </c>
      <c r="AH107">
        <v>0.35</v>
      </c>
      <c r="AI107">
        <v>3.5</v>
      </c>
      <c r="AJ107">
        <v>3.2</v>
      </c>
      <c r="AK107">
        <v>3.7</v>
      </c>
      <c r="AL107">
        <v>57.039900000000003</v>
      </c>
      <c r="AM107">
        <v>2</v>
      </c>
      <c r="AN107">
        <v>11555</v>
      </c>
      <c r="AO107">
        <v>0</v>
      </c>
      <c r="AP107">
        <v>99.834900000000005</v>
      </c>
      <c r="AQ107">
        <v>99.593900000000005</v>
      </c>
      <c r="AR107">
        <v>97.404799999999994</v>
      </c>
      <c r="AT107">
        <v>86.174700000000001</v>
      </c>
      <c r="AU107">
        <v>18.635000000000002</v>
      </c>
      <c r="AV107" s="19">
        <v>57.819899999999997</v>
      </c>
      <c r="AW107">
        <v>0.1</v>
      </c>
      <c r="AX107">
        <v>15.6</v>
      </c>
      <c r="AY107">
        <v>3</v>
      </c>
      <c r="AZ107">
        <v>6</v>
      </c>
      <c r="BA107">
        <v>76.291700000000006</v>
      </c>
      <c r="BB107">
        <v>12.5</v>
      </c>
      <c r="BC107">
        <v>2.7496999999999998</v>
      </c>
      <c r="BD107" s="19">
        <v>-2.016</v>
      </c>
      <c r="BE107" s="19">
        <v>88.5167</v>
      </c>
      <c r="BF107">
        <v>0.59830000000000005</v>
      </c>
      <c r="BG107">
        <v>6.3</v>
      </c>
      <c r="BH107" s="20">
        <v>0.44440000000000002</v>
      </c>
      <c r="BI107" s="20">
        <v>1095.4539</v>
      </c>
      <c r="BJ107" s="19">
        <v>87.203800000000001</v>
      </c>
      <c r="BK107">
        <v>0.98880000000000001</v>
      </c>
      <c r="BL107">
        <v>1.0019</v>
      </c>
      <c r="BM107">
        <v>1.0132000000000001</v>
      </c>
      <c r="BN107">
        <v>6</v>
      </c>
      <c r="BO107">
        <v>9.9019999999999992</v>
      </c>
      <c r="BP107">
        <v>4.49</v>
      </c>
      <c r="BQ107" s="19">
        <v>104.6249</v>
      </c>
      <c r="BR107">
        <v>83.103200000000001</v>
      </c>
      <c r="BS107" s="20">
        <v>5.5940000000000003</v>
      </c>
      <c r="BT107" s="20">
        <v>5.5940000000000003</v>
      </c>
      <c r="BU107" s="20">
        <v>13.276</v>
      </c>
      <c r="BV107" s="20">
        <v>14.044</v>
      </c>
      <c r="BW107" s="19">
        <v>82.464500000000001</v>
      </c>
      <c r="BX107">
        <v>41.23</v>
      </c>
      <c r="BY107" s="6">
        <v>2269023</v>
      </c>
      <c r="BZ107" s="5">
        <v>13003669</v>
      </c>
      <c r="CA107" s="7">
        <f t="shared" si="5"/>
        <v>5.730955129145892</v>
      </c>
      <c r="CB107">
        <v>1109371</v>
      </c>
      <c r="CC107" s="8">
        <f t="shared" si="6"/>
        <v>11.721659390771888</v>
      </c>
      <c r="CD107" s="8">
        <f t="shared" si="7"/>
        <v>2.0453238817311794</v>
      </c>
      <c r="CE107">
        <v>9253</v>
      </c>
      <c r="CF107" s="8">
        <f t="shared" si="8"/>
        <v>245.2202528909543</v>
      </c>
      <c r="CG107" s="8">
        <f t="shared" si="9"/>
        <v>1405.3462660758673</v>
      </c>
      <c r="CH107">
        <v>100.9093</v>
      </c>
    </row>
    <row r="108" spans="1:86" ht="15.5" x14ac:dyDescent="0.35">
      <c r="A108" t="s">
        <v>90</v>
      </c>
      <c r="B108">
        <v>2010</v>
      </c>
      <c r="C108" s="2">
        <v>39.479700000000001</v>
      </c>
      <c r="D108">
        <v>15206.6</v>
      </c>
      <c r="E108">
        <v>0.2266</v>
      </c>
      <c r="F108">
        <v>7.0166000000000004</v>
      </c>
      <c r="G108">
        <v>9270</v>
      </c>
      <c r="H108">
        <v>10</v>
      </c>
      <c r="I108" s="19">
        <v>95.094999999999999</v>
      </c>
      <c r="J108" s="19">
        <v>96.14</v>
      </c>
      <c r="K108" s="19">
        <v>4.1509999999999998</v>
      </c>
      <c r="L108" s="19">
        <v>80</v>
      </c>
      <c r="M108" s="19">
        <v>-2743000000</v>
      </c>
      <c r="N108" s="19">
        <v>42.5501</v>
      </c>
      <c r="O108">
        <v>14.32</v>
      </c>
      <c r="P108">
        <v>23.154900000000001</v>
      </c>
      <c r="Q108" s="19">
        <v>31522.055</v>
      </c>
      <c r="R108" s="19">
        <v>26090.0488</v>
      </c>
      <c r="S108" s="19">
        <v>-0.35680000000000001</v>
      </c>
      <c r="T108" s="19">
        <v>42106.503900000003</v>
      </c>
      <c r="U108" s="19">
        <v>33505.968800000002</v>
      </c>
      <c r="V108">
        <v>31.5</v>
      </c>
      <c r="W108" s="19">
        <v>91.387600000000006</v>
      </c>
      <c r="X108">
        <v>99</v>
      </c>
      <c r="Y108">
        <v>97</v>
      </c>
      <c r="Z108">
        <v>87</v>
      </c>
      <c r="AA108">
        <v>2.8</v>
      </c>
      <c r="AB108">
        <v>53</v>
      </c>
      <c r="AC108">
        <v>80.632000000000005</v>
      </c>
      <c r="AD108">
        <v>94.711399999999998</v>
      </c>
      <c r="AE108">
        <v>10</v>
      </c>
      <c r="AF108">
        <v>95.958500000000001</v>
      </c>
      <c r="AG108">
        <v>8.1999999999999993</v>
      </c>
      <c r="AH108">
        <v>1E-3</v>
      </c>
      <c r="AI108">
        <v>3.3</v>
      </c>
      <c r="AJ108">
        <v>3.1</v>
      </c>
      <c r="AK108">
        <v>3.5</v>
      </c>
      <c r="AL108">
        <v>56.985199999999999</v>
      </c>
      <c r="AM108">
        <v>1.9</v>
      </c>
      <c r="AN108">
        <v>11793</v>
      </c>
      <c r="AO108">
        <v>0</v>
      </c>
      <c r="AP108">
        <v>99.827100000000002</v>
      </c>
      <c r="AQ108">
        <v>99.572299999999998</v>
      </c>
      <c r="AR108">
        <v>97.664500000000004</v>
      </c>
      <c r="AT108">
        <v>86.174000000000007</v>
      </c>
      <c r="AU108">
        <v>18.5197</v>
      </c>
      <c r="AV108" s="19">
        <v>61.611400000000003</v>
      </c>
      <c r="AW108">
        <v>0</v>
      </c>
      <c r="AX108">
        <v>14.8</v>
      </c>
      <c r="AY108">
        <v>3</v>
      </c>
      <c r="AZ108">
        <v>6</v>
      </c>
      <c r="BA108">
        <v>76.334000000000003</v>
      </c>
      <c r="BB108">
        <v>12.5</v>
      </c>
      <c r="BC108">
        <v>2.9737</v>
      </c>
      <c r="BD108" s="19">
        <v>2.282</v>
      </c>
      <c r="BE108" s="19">
        <v>90.909099999999995</v>
      </c>
      <c r="BF108">
        <v>1.3738999999999999</v>
      </c>
      <c r="BG108">
        <v>6.5</v>
      </c>
      <c r="BH108" s="20">
        <v>0.44290000000000002</v>
      </c>
      <c r="BI108" s="20">
        <v>1104.8172999999999</v>
      </c>
      <c r="BJ108" s="19">
        <v>87.203800000000001</v>
      </c>
      <c r="BK108">
        <v>1.0002</v>
      </c>
      <c r="BL108">
        <v>1.0062</v>
      </c>
      <c r="BM108">
        <v>1.0119</v>
      </c>
      <c r="BN108">
        <v>6</v>
      </c>
      <c r="BO108">
        <v>11.683</v>
      </c>
      <c r="BP108">
        <v>5.21</v>
      </c>
      <c r="BQ108" s="19">
        <v>105.82510000000001</v>
      </c>
      <c r="BR108">
        <v>79.856399999999994</v>
      </c>
      <c r="BS108" s="20">
        <v>6.359</v>
      </c>
      <c r="BT108" s="20">
        <v>6.36</v>
      </c>
      <c r="BU108" s="20">
        <v>15.852</v>
      </c>
      <c r="BV108" s="20">
        <v>16.733000000000001</v>
      </c>
      <c r="BW108" s="19">
        <v>79.146900000000002</v>
      </c>
      <c r="BX108">
        <v>40.35</v>
      </c>
      <c r="BY108" s="6">
        <v>2429235</v>
      </c>
      <c r="BZ108" s="5">
        <v>13800788</v>
      </c>
      <c r="CA108" s="7">
        <f t="shared" si="5"/>
        <v>5.681125127869473</v>
      </c>
      <c r="CB108">
        <v>1127816</v>
      </c>
      <c r="CC108" s="8">
        <f t="shared" si="6"/>
        <v>12.236737198266384</v>
      </c>
      <c r="CD108" s="8">
        <f t="shared" si="7"/>
        <v>2.1539284776949432</v>
      </c>
      <c r="CE108">
        <v>9253</v>
      </c>
      <c r="CF108" s="8">
        <f t="shared" si="8"/>
        <v>262.53485356100725</v>
      </c>
      <c r="CG108" s="8">
        <f t="shared" si="9"/>
        <v>1491.4933535069706</v>
      </c>
      <c r="CH108">
        <v>100.70269</v>
      </c>
    </row>
    <row r="109" spans="1:86" ht="15.5" x14ac:dyDescent="0.35">
      <c r="A109" t="s">
        <v>90</v>
      </c>
      <c r="B109">
        <v>2011</v>
      </c>
      <c r="C109" s="2">
        <v>39.226399999999998</v>
      </c>
      <c r="D109">
        <v>14871.76</v>
      </c>
      <c r="E109">
        <v>0.21829999999999999</v>
      </c>
      <c r="F109">
        <v>6.6775000000000002</v>
      </c>
      <c r="G109">
        <v>8980</v>
      </c>
      <c r="H109">
        <v>10</v>
      </c>
      <c r="I109" s="19">
        <v>98.406000000000006</v>
      </c>
      <c r="J109" s="19">
        <v>100.35</v>
      </c>
      <c r="K109" s="19">
        <v>4.6689999999999996</v>
      </c>
      <c r="L109" s="19">
        <v>77.725099999999998</v>
      </c>
      <c r="M109" s="19">
        <v>-609000000</v>
      </c>
      <c r="N109" s="19">
        <v>55.169199999999996</v>
      </c>
      <c r="O109">
        <v>14.664999999999999</v>
      </c>
      <c r="P109">
        <v>24.6113</v>
      </c>
      <c r="Q109" s="19">
        <v>32910.616000000002</v>
      </c>
      <c r="R109" s="19">
        <v>25538.781299999999</v>
      </c>
      <c r="S109" s="19">
        <v>-2.1128999999999998</v>
      </c>
      <c r="T109" s="19">
        <v>41216.820299999999</v>
      </c>
      <c r="U109" s="19">
        <v>33406.046900000001</v>
      </c>
      <c r="V109">
        <v>32.6</v>
      </c>
      <c r="W109" s="19">
        <v>91.943100000000001</v>
      </c>
      <c r="X109">
        <v>98</v>
      </c>
      <c r="Y109">
        <v>97</v>
      </c>
      <c r="Z109">
        <v>87</v>
      </c>
      <c r="AA109">
        <v>2.6</v>
      </c>
      <c r="AB109">
        <v>56.9</v>
      </c>
      <c r="AC109">
        <v>80.855000000000004</v>
      </c>
      <c r="AD109">
        <v>92.871399999999994</v>
      </c>
      <c r="AE109">
        <v>10</v>
      </c>
      <c r="AF109">
        <v>96.075199999999995</v>
      </c>
      <c r="AG109">
        <v>7.8</v>
      </c>
      <c r="AH109">
        <v>1.1399999999999999</v>
      </c>
      <c r="AI109">
        <v>3.2</v>
      </c>
      <c r="AJ109">
        <v>3</v>
      </c>
      <c r="AK109">
        <v>3.3</v>
      </c>
      <c r="AL109">
        <v>56.661000000000001</v>
      </c>
      <c r="AM109">
        <v>1.8</v>
      </c>
      <c r="AN109">
        <v>12566</v>
      </c>
      <c r="AO109">
        <v>0</v>
      </c>
      <c r="AP109">
        <v>99.819400000000002</v>
      </c>
      <c r="AQ109">
        <v>99.5505</v>
      </c>
      <c r="AR109">
        <v>97.924300000000002</v>
      </c>
      <c r="AT109">
        <v>86.173199999999994</v>
      </c>
      <c r="AU109">
        <v>18.487500000000001</v>
      </c>
      <c r="AV109" s="19">
        <v>66.824600000000004</v>
      </c>
      <c r="AW109">
        <v>0</v>
      </c>
      <c r="AX109">
        <v>14.7</v>
      </c>
      <c r="AY109">
        <v>3</v>
      </c>
      <c r="AZ109">
        <v>6</v>
      </c>
      <c r="BA109">
        <v>76.376800000000003</v>
      </c>
      <c r="BB109">
        <v>10.7143</v>
      </c>
      <c r="BC109">
        <v>3.0487000000000002</v>
      </c>
      <c r="BD109" s="19">
        <v>0.41699999999999998</v>
      </c>
      <c r="BE109" s="19">
        <v>86.255899999999997</v>
      </c>
      <c r="BF109">
        <v>3.6236999999999999</v>
      </c>
      <c r="BG109">
        <v>7.6</v>
      </c>
      <c r="BH109" s="20">
        <v>0.4526</v>
      </c>
      <c r="BI109" s="20">
        <v>1091.9903999999999</v>
      </c>
      <c r="BJ109" s="19">
        <v>83.098600000000005</v>
      </c>
      <c r="BK109">
        <v>0.99219999999999997</v>
      </c>
      <c r="BL109">
        <v>1.0043</v>
      </c>
      <c r="BM109">
        <v>1.0149999999999999</v>
      </c>
      <c r="BN109">
        <v>6</v>
      </c>
      <c r="BO109">
        <v>14.643000000000001</v>
      </c>
      <c r="BP109">
        <v>4.37</v>
      </c>
      <c r="BQ109" s="19">
        <v>104.1855</v>
      </c>
      <c r="BR109">
        <v>73.527000000000001</v>
      </c>
      <c r="BS109" s="20">
        <v>7.9420000000000002</v>
      </c>
      <c r="BT109" s="20">
        <v>7.9420000000000002</v>
      </c>
      <c r="BU109" s="20">
        <v>21.155999999999999</v>
      </c>
      <c r="BV109" s="20">
        <v>22.411999999999999</v>
      </c>
      <c r="BW109" s="19">
        <v>80.751199999999997</v>
      </c>
      <c r="BX109">
        <v>37.81</v>
      </c>
      <c r="BY109" s="6">
        <v>2494714</v>
      </c>
      <c r="BZ109" s="5">
        <v>14284731</v>
      </c>
      <c r="CA109" s="7">
        <f t="shared" si="5"/>
        <v>5.7259994532439391</v>
      </c>
      <c r="CB109">
        <v>1146493</v>
      </c>
      <c r="CC109" s="8">
        <f t="shared" si="6"/>
        <v>12.459501279118145</v>
      </c>
      <c r="CD109" s="8">
        <f t="shared" si="7"/>
        <v>2.1759522299743654</v>
      </c>
      <c r="CE109">
        <v>9253</v>
      </c>
      <c r="CF109" s="8">
        <f t="shared" si="8"/>
        <v>269.61136928563707</v>
      </c>
      <c r="CG109" s="8">
        <f t="shared" si="9"/>
        <v>1543.7945531179078</v>
      </c>
      <c r="CH109">
        <v>101.20825000000001</v>
      </c>
    </row>
    <row r="110" spans="1:86" ht="15.5" x14ac:dyDescent="0.35">
      <c r="A110" s="9" t="s">
        <v>90</v>
      </c>
      <c r="B110" s="9">
        <v>2012</v>
      </c>
      <c r="C110" s="10">
        <v>39.227200000000003</v>
      </c>
      <c r="D110" s="9">
        <v>14500.47</v>
      </c>
      <c r="E110" s="9">
        <v>0.21029999999999999</v>
      </c>
      <c r="F110" s="9">
        <v>6.1101999999999999</v>
      </c>
      <c r="G110" s="9">
        <v>8430</v>
      </c>
      <c r="H110" s="9">
        <v>10</v>
      </c>
      <c r="I110" s="21">
        <v>101.44499999999999</v>
      </c>
      <c r="J110" s="21">
        <v>101.96</v>
      </c>
      <c r="K110" s="21">
        <v>3.8420000000000001</v>
      </c>
      <c r="L110" s="21">
        <v>84.834100000000007</v>
      </c>
      <c r="M110" s="21">
        <v>-938000000</v>
      </c>
      <c r="N110" s="21">
        <v>52.790599999999998</v>
      </c>
      <c r="O110" s="9">
        <v>16.437999999999999</v>
      </c>
      <c r="P110" s="9">
        <v>25.4741</v>
      </c>
      <c r="Q110" s="21">
        <v>29075.119999999999</v>
      </c>
      <c r="R110" s="21">
        <v>24285.4961</v>
      </c>
      <c r="S110" s="21">
        <v>-4.9074</v>
      </c>
      <c r="T110" s="21">
        <v>39194.152300000002</v>
      </c>
      <c r="U110" s="21">
        <v>31923.921900000001</v>
      </c>
      <c r="V110" s="9">
        <v>34.299999999999997</v>
      </c>
      <c r="W110" s="21">
        <v>88.151700000000005</v>
      </c>
      <c r="X110" s="9">
        <v>98</v>
      </c>
      <c r="Y110" s="9">
        <v>97</v>
      </c>
      <c r="Z110" s="9">
        <v>86</v>
      </c>
      <c r="AA110" s="9">
        <v>2.5</v>
      </c>
      <c r="AB110" s="9">
        <v>60.7</v>
      </c>
      <c r="AC110" s="9">
        <v>81.128</v>
      </c>
      <c r="AD110" s="9">
        <v>95.612700000000004</v>
      </c>
      <c r="AE110" s="9">
        <v>10</v>
      </c>
      <c r="AF110" s="9">
        <v>96.08</v>
      </c>
      <c r="AG110" s="9">
        <v>6.1</v>
      </c>
      <c r="AH110" s="9">
        <v>0.23</v>
      </c>
      <c r="AI110" s="9">
        <v>3</v>
      </c>
      <c r="AJ110" s="9">
        <v>2.8</v>
      </c>
      <c r="AK110" s="9">
        <v>3.2</v>
      </c>
      <c r="AL110" s="9">
        <v>56.997999999999998</v>
      </c>
      <c r="AM110" s="9">
        <v>1.8</v>
      </c>
      <c r="AN110" s="9">
        <v>12237</v>
      </c>
      <c r="AO110" s="9">
        <v>0</v>
      </c>
      <c r="AP110" s="9">
        <v>99.811700000000002</v>
      </c>
      <c r="AQ110" s="9">
        <v>99.528400000000005</v>
      </c>
      <c r="AR110" s="9">
        <v>98.183999999999997</v>
      </c>
      <c r="AS110" s="9"/>
      <c r="AT110" s="9">
        <v>86.172399999999996</v>
      </c>
      <c r="AU110" s="9">
        <v>16.8766</v>
      </c>
      <c r="AV110" s="21">
        <v>66.824600000000004</v>
      </c>
      <c r="AW110" s="9">
        <v>0</v>
      </c>
      <c r="AX110" s="9">
        <v>15.3</v>
      </c>
      <c r="AY110" s="9">
        <v>3</v>
      </c>
      <c r="AZ110" s="9">
        <v>6</v>
      </c>
      <c r="BA110" s="9">
        <v>76.420299999999997</v>
      </c>
      <c r="BB110" s="9">
        <v>10.7143</v>
      </c>
      <c r="BC110" s="9">
        <v>3.0011999999999999</v>
      </c>
      <c r="BD110" s="21">
        <v>-3.4470000000000001</v>
      </c>
      <c r="BE110" s="21">
        <v>83.886300000000006</v>
      </c>
      <c r="BF110" s="9">
        <v>5.4489999999999998</v>
      </c>
      <c r="BG110" s="9">
        <v>8.6</v>
      </c>
      <c r="BH110" s="22">
        <v>0.43759999999999999</v>
      </c>
      <c r="BI110" s="22">
        <v>1022.0287</v>
      </c>
      <c r="BJ110" s="21">
        <v>84.037599999999998</v>
      </c>
      <c r="BK110" s="9">
        <v>0.99770000000000003</v>
      </c>
      <c r="BL110" s="9">
        <v>1.0085999999999999</v>
      </c>
      <c r="BM110" s="9">
        <v>1.0183</v>
      </c>
      <c r="BN110" s="9">
        <v>6</v>
      </c>
      <c r="BO110" s="9">
        <v>15.977</v>
      </c>
      <c r="BP110" s="9">
        <v>5.74</v>
      </c>
      <c r="BQ110" s="21">
        <v>101.1887</v>
      </c>
      <c r="BR110" s="9">
        <v>64.199399999999997</v>
      </c>
      <c r="BS110" s="22">
        <v>12.097</v>
      </c>
      <c r="BT110" s="22">
        <v>12.097</v>
      </c>
      <c r="BU110" s="22">
        <v>27.244</v>
      </c>
      <c r="BV110" s="22">
        <v>28.207000000000001</v>
      </c>
      <c r="BW110" s="21">
        <v>79.342699999999994</v>
      </c>
      <c r="BX110" s="9">
        <v>40.590000000000003</v>
      </c>
      <c r="BY110" s="14">
        <v>2530150</v>
      </c>
      <c r="BZ110" s="5">
        <v>14576573</v>
      </c>
      <c r="CA110" s="7">
        <f t="shared" si="5"/>
        <v>5.7611497342054818</v>
      </c>
      <c r="CB110">
        <v>1165397</v>
      </c>
      <c r="CC110" s="8">
        <f t="shared" si="6"/>
        <v>12.507817507681931</v>
      </c>
      <c r="CD110" s="8">
        <f t="shared" si="7"/>
        <v>2.1710627365610176</v>
      </c>
      <c r="CE110">
        <v>9253</v>
      </c>
      <c r="CF110" s="8">
        <f t="shared" si="8"/>
        <v>273.44104614719549</v>
      </c>
      <c r="CG110" s="8">
        <f t="shared" si="9"/>
        <v>1575.3348103317842</v>
      </c>
      <c r="CH110" s="9">
        <v>102.12323000000001</v>
      </c>
    </row>
    <row r="111" spans="1:86" ht="15.5" x14ac:dyDescent="0.35">
      <c r="A111" t="s">
        <v>90</v>
      </c>
      <c r="B111">
        <v>2013</v>
      </c>
      <c r="C111" s="2">
        <v>39.342599999999997</v>
      </c>
      <c r="D111">
        <v>13313.06</v>
      </c>
      <c r="E111">
        <v>0.2036</v>
      </c>
      <c r="F111">
        <v>5.4391999999999996</v>
      </c>
      <c r="G111">
        <v>7690</v>
      </c>
      <c r="H111">
        <v>10</v>
      </c>
      <c r="I111" s="19">
        <v>101.831</v>
      </c>
      <c r="J111" s="19">
        <v>100.8</v>
      </c>
      <c r="K111" s="19">
        <v>3.1909999999999998</v>
      </c>
      <c r="L111" s="19">
        <v>84.360200000000006</v>
      </c>
      <c r="M111" s="19">
        <v>-363000000</v>
      </c>
      <c r="N111" s="19">
        <v>61.2761</v>
      </c>
      <c r="O111">
        <v>18.701000000000001</v>
      </c>
      <c r="P111">
        <v>26.712700000000002</v>
      </c>
      <c r="Q111" s="19">
        <v>27671.485000000001</v>
      </c>
      <c r="R111" s="19">
        <v>22738.4902</v>
      </c>
      <c r="S111" s="19">
        <v>-6.3700999999999999</v>
      </c>
      <c r="T111" s="19">
        <v>36697.453099999999</v>
      </c>
      <c r="U111" s="19">
        <v>30451.781299999999</v>
      </c>
      <c r="V111">
        <v>37</v>
      </c>
      <c r="W111" s="19">
        <v>88.151700000000005</v>
      </c>
      <c r="X111">
        <v>98</v>
      </c>
      <c r="Y111">
        <v>96</v>
      </c>
      <c r="Z111">
        <v>86</v>
      </c>
      <c r="AA111">
        <v>2.5</v>
      </c>
      <c r="AB111">
        <v>65.5</v>
      </c>
      <c r="AC111">
        <v>81.316999999999993</v>
      </c>
      <c r="AD111">
        <v>96.597200000000001</v>
      </c>
      <c r="AE111">
        <v>10</v>
      </c>
      <c r="AF111">
        <v>96.087199999999996</v>
      </c>
      <c r="AG111">
        <v>5</v>
      </c>
      <c r="AH111">
        <v>0.42</v>
      </c>
      <c r="AI111">
        <v>3</v>
      </c>
      <c r="AJ111">
        <v>2.8</v>
      </c>
      <c r="AK111">
        <v>3.1</v>
      </c>
      <c r="AL111">
        <v>57.094700000000003</v>
      </c>
      <c r="AM111">
        <v>1.7</v>
      </c>
      <c r="AN111">
        <v>11914</v>
      </c>
      <c r="AO111">
        <v>0</v>
      </c>
      <c r="AP111">
        <v>99.804000000000002</v>
      </c>
      <c r="AQ111">
        <v>99.506299999999996</v>
      </c>
      <c r="AR111">
        <v>98.443700000000007</v>
      </c>
      <c r="AT111">
        <v>86.171700000000001</v>
      </c>
      <c r="AU111">
        <v>16.2407</v>
      </c>
      <c r="AV111" s="19">
        <v>64.928899999999999</v>
      </c>
      <c r="AW111">
        <v>0.1</v>
      </c>
      <c r="AX111">
        <v>14.4</v>
      </c>
      <c r="AY111">
        <v>3</v>
      </c>
      <c r="AZ111">
        <v>6</v>
      </c>
      <c r="BA111">
        <v>76.4709</v>
      </c>
      <c r="BB111">
        <v>10.7143</v>
      </c>
      <c r="BC111">
        <v>3.1560000000000001</v>
      </c>
      <c r="BD111" s="19">
        <v>-6.5869999999999997</v>
      </c>
      <c r="BE111" s="19">
        <v>78.199100000000001</v>
      </c>
      <c r="BF111">
        <v>7.6258999999999997</v>
      </c>
      <c r="BG111">
        <v>9.6999999999999993</v>
      </c>
      <c r="BH111" s="20">
        <v>0.48480000000000001</v>
      </c>
      <c r="BI111" s="20">
        <v>1026.7035000000001</v>
      </c>
      <c r="BJ111" s="19">
        <v>82.629099999999994</v>
      </c>
      <c r="BK111">
        <v>1.0023</v>
      </c>
      <c r="BL111">
        <v>1.0033000000000001</v>
      </c>
      <c r="BM111">
        <v>1.0043</v>
      </c>
      <c r="BN111">
        <v>6</v>
      </c>
      <c r="BO111">
        <v>18.667999999999999</v>
      </c>
      <c r="BP111">
        <v>6.01</v>
      </c>
      <c r="BQ111" s="19">
        <v>99.622699999999995</v>
      </c>
      <c r="BR111">
        <v>50.562899999999999</v>
      </c>
      <c r="BS111" s="20">
        <v>16.131</v>
      </c>
      <c r="BT111" s="20">
        <v>16.131</v>
      </c>
      <c r="BU111" s="20">
        <v>38.082999999999998</v>
      </c>
      <c r="BV111" s="20">
        <v>39.124000000000002</v>
      </c>
      <c r="BW111" s="19">
        <v>77.464799999999997</v>
      </c>
      <c r="BX111">
        <v>42.27</v>
      </c>
      <c r="BY111" s="6">
        <v>2388389</v>
      </c>
      <c r="BZ111" s="5">
        <v>14048529</v>
      </c>
      <c r="CA111" s="7">
        <f t="shared" si="5"/>
        <v>5.8820104262747819</v>
      </c>
      <c r="CB111">
        <v>1183895</v>
      </c>
      <c r="CC111" s="8">
        <f t="shared" si="6"/>
        <v>11.866363993428472</v>
      </c>
      <c r="CD111" s="8">
        <f t="shared" si="7"/>
        <v>2.0173993470704752</v>
      </c>
      <c r="CE111">
        <v>9253</v>
      </c>
      <c r="CF111" s="8">
        <f t="shared" si="8"/>
        <v>258.12050145898627</v>
      </c>
      <c r="CG111" s="8">
        <f t="shared" si="9"/>
        <v>1518.2674808170323</v>
      </c>
      <c r="CH111">
        <v>101.59186</v>
      </c>
    </row>
    <row r="112" spans="1:86" ht="15.5" x14ac:dyDescent="0.35">
      <c r="A112" t="s">
        <v>90</v>
      </c>
      <c r="B112">
        <v>2014</v>
      </c>
      <c r="C112" s="2">
        <v>39.533099999999997</v>
      </c>
      <c r="D112">
        <v>13335.54</v>
      </c>
      <c r="E112">
        <v>0.21940000000000001</v>
      </c>
      <c r="F112">
        <v>5.6715999999999998</v>
      </c>
      <c r="G112">
        <v>8070</v>
      </c>
      <c r="H112">
        <v>10</v>
      </c>
      <c r="I112" s="19">
        <v>101.55800000000001</v>
      </c>
      <c r="J112" s="19">
        <v>99.91</v>
      </c>
      <c r="K112" s="19">
        <v>2.8130000000000002</v>
      </c>
      <c r="L112" s="19">
        <v>82.211500000000001</v>
      </c>
      <c r="M112" s="19">
        <v>-929000000</v>
      </c>
      <c r="N112" s="19">
        <v>95.998500000000007</v>
      </c>
      <c r="O112">
        <v>18.135999999999999</v>
      </c>
      <c r="P112">
        <v>28.761600000000001</v>
      </c>
      <c r="Q112" s="19">
        <v>27076.651000000002</v>
      </c>
      <c r="R112" s="19">
        <v>22581.828099999999</v>
      </c>
      <c r="S112" s="19">
        <v>-0.68899999999999995</v>
      </c>
      <c r="T112" s="19">
        <v>36444.617200000001</v>
      </c>
      <c r="U112" s="19">
        <v>30170.9863</v>
      </c>
      <c r="V112">
        <v>35.6</v>
      </c>
      <c r="W112" s="19">
        <v>83.653800000000004</v>
      </c>
      <c r="X112">
        <v>98</v>
      </c>
      <c r="Y112">
        <v>97</v>
      </c>
      <c r="Z112">
        <v>86</v>
      </c>
      <c r="AA112">
        <v>2.4</v>
      </c>
      <c r="AB112">
        <v>69.3</v>
      </c>
      <c r="AC112">
        <v>81.337000000000003</v>
      </c>
      <c r="AD112">
        <v>100.8516</v>
      </c>
      <c r="AE112">
        <v>11</v>
      </c>
      <c r="AF112">
        <v>96.007099999999994</v>
      </c>
      <c r="AG112">
        <v>5.3</v>
      </c>
      <c r="AH112">
        <v>0.22</v>
      </c>
      <c r="AI112">
        <v>2.9</v>
      </c>
      <c r="AJ112">
        <v>2.7</v>
      </c>
      <c r="AK112">
        <v>3.1</v>
      </c>
      <c r="AL112">
        <v>57.925600000000003</v>
      </c>
      <c r="AM112">
        <v>1.7</v>
      </c>
      <c r="AN112">
        <v>11599</v>
      </c>
      <c r="AO112">
        <v>0</v>
      </c>
      <c r="AP112">
        <v>99.796300000000002</v>
      </c>
      <c r="AQ112">
        <v>99.484200000000001</v>
      </c>
      <c r="AR112">
        <v>98.703299999999999</v>
      </c>
      <c r="AT112">
        <v>86.170900000000003</v>
      </c>
      <c r="AU112">
        <v>16.111499999999999</v>
      </c>
      <c r="AV112" s="19">
        <v>63.8095</v>
      </c>
      <c r="AW112">
        <v>0.1</v>
      </c>
      <c r="AX112">
        <v>16.2</v>
      </c>
      <c r="AY112">
        <v>3</v>
      </c>
      <c r="AZ112">
        <v>6</v>
      </c>
      <c r="BA112">
        <v>76.527299999999997</v>
      </c>
      <c r="BB112">
        <v>12.5</v>
      </c>
      <c r="BC112">
        <v>2.9470999999999998</v>
      </c>
      <c r="BD112" s="19">
        <v>-1.7769999999999999</v>
      </c>
      <c r="BE112" s="19">
        <v>82.692300000000003</v>
      </c>
      <c r="BF112">
        <v>7.2975000000000003</v>
      </c>
      <c r="BG112">
        <v>9.5</v>
      </c>
      <c r="BH112" s="20">
        <v>0.51200000000000001</v>
      </c>
      <c r="BI112" s="20">
        <v>1051.2820999999999</v>
      </c>
      <c r="BJ112" s="19">
        <v>82.692300000000003</v>
      </c>
      <c r="BK112">
        <v>1.0085</v>
      </c>
      <c r="BL112">
        <v>1.0044999999999999</v>
      </c>
      <c r="BM112">
        <v>1.0007999999999999</v>
      </c>
      <c r="BN112">
        <v>6</v>
      </c>
      <c r="BO112">
        <v>17.007999999999999</v>
      </c>
      <c r="BP112">
        <v>5.7</v>
      </c>
      <c r="BQ112" s="19">
        <v>99.853800000000007</v>
      </c>
      <c r="BR112">
        <v>52.420299999999997</v>
      </c>
      <c r="BS112" s="20">
        <v>16.277000000000001</v>
      </c>
      <c r="BT112" s="20">
        <v>16.277000000000001</v>
      </c>
      <c r="BU112" s="20">
        <v>35.515999999999998</v>
      </c>
      <c r="BV112" s="20">
        <v>36.031999999999996</v>
      </c>
      <c r="BW112" s="19">
        <v>78.325100000000006</v>
      </c>
      <c r="BX112">
        <v>45.34</v>
      </c>
      <c r="BY112" s="6">
        <v>2369620</v>
      </c>
      <c r="BZ112" s="5">
        <v>13715342</v>
      </c>
      <c r="CA112" s="7">
        <f t="shared" si="5"/>
        <v>5.7879921675205308</v>
      </c>
      <c r="CB112">
        <v>1201801</v>
      </c>
      <c r="CC112" s="8">
        <f t="shared" si="6"/>
        <v>11.412323670890604</v>
      </c>
      <c r="CD112" s="8">
        <f t="shared" si="7"/>
        <v>1.9717241040738025</v>
      </c>
      <c r="CE112">
        <v>9253</v>
      </c>
      <c r="CF112" s="8">
        <f t="shared" si="8"/>
        <v>256.09207824489357</v>
      </c>
      <c r="CG112" s="8">
        <f t="shared" si="9"/>
        <v>1482.2589430454987</v>
      </c>
      <c r="CH112">
        <v>101.50548999999999</v>
      </c>
    </row>
    <row r="113" spans="1:86" ht="15.5" x14ac:dyDescent="0.35">
      <c r="A113" t="s">
        <v>90</v>
      </c>
      <c r="B113">
        <v>2015</v>
      </c>
      <c r="C113" s="2">
        <v>39.821599999999997</v>
      </c>
      <c r="D113">
        <v>13379.52</v>
      </c>
      <c r="E113">
        <v>0.21329999999999999</v>
      </c>
      <c r="F113">
        <v>5.6211000000000002</v>
      </c>
      <c r="G113">
        <v>8120</v>
      </c>
      <c r="H113">
        <v>10</v>
      </c>
      <c r="I113" s="19">
        <v>99.992999999999995</v>
      </c>
      <c r="J113" s="19">
        <v>99.42</v>
      </c>
      <c r="K113" s="19">
        <v>2.79</v>
      </c>
      <c r="L113" s="19">
        <v>79.523799999999994</v>
      </c>
      <c r="M113" s="19">
        <v>-54000000</v>
      </c>
      <c r="N113" s="19">
        <v>100</v>
      </c>
      <c r="O113">
        <v>25.219000000000001</v>
      </c>
      <c r="P113">
        <v>30.725000000000001</v>
      </c>
      <c r="Q113" s="19">
        <v>23507.588</v>
      </c>
      <c r="R113" s="19">
        <v>23487.228500000001</v>
      </c>
      <c r="S113" s="19">
        <v>4.0094000000000003</v>
      </c>
      <c r="T113" s="19">
        <v>37905.835899999998</v>
      </c>
      <c r="U113" s="19">
        <v>31930.916000000001</v>
      </c>
      <c r="V113">
        <v>34</v>
      </c>
      <c r="W113" s="19">
        <v>80.476200000000006</v>
      </c>
      <c r="X113">
        <v>96</v>
      </c>
      <c r="Y113">
        <v>98</v>
      </c>
      <c r="Z113">
        <v>90</v>
      </c>
      <c r="AA113">
        <v>2.4</v>
      </c>
      <c r="AB113">
        <v>71.7</v>
      </c>
      <c r="AC113">
        <v>81.463999999999999</v>
      </c>
      <c r="AD113">
        <v>97.613200000000006</v>
      </c>
      <c r="AE113">
        <v>11</v>
      </c>
      <c r="AF113">
        <v>96.363200000000006</v>
      </c>
      <c r="AG113">
        <v>6.7</v>
      </c>
      <c r="AH113">
        <v>0.19</v>
      </c>
      <c r="AI113">
        <v>2.9</v>
      </c>
      <c r="AJ113">
        <v>2.7</v>
      </c>
      <c r="AK113">
        <v>3.1</v>
      </c>
      <c r="AL113">
        <v>57.9773</v>
      </c>
      <c r="AM113">
        <v>1.7</v>
      </c>
      <c r="AN113">
        <v>11277</v>
      </c>
      <c r="AO113">
        <v>0</v>
      </c>
      <c r="AP113">
        <v>99.788499999999999</v>
      </c>
      <c r="AQ113">
        <v>99.462000000000003</v>
      </c>
      <c r="AR113">
        <v>98.962800000000001</v>
      </c>
      <c r="AT113">
        <v>86.170100000000005</v>
      </c>
      <c r="AU113">
        <v>16.912199999999999</v>
      </c>
      <c r="AV113" s="19">
        <v>62.381</v>
      </c>
      <c r="AW113">
        <v>0</v>
      </c>
      <c r="AX113">
        <v>16.100000000000001</v>
      </c>
      <c r="AY113">
        <v>6</v>
      </c>
      <c r="AZ113">
        <v>6</v>
      </c>
      <c r="BA113">
        <v>76.590400000000002</v>
      </c>
      <c r="BB113">
        <v>12.5</v>
      </c>
      <c r="BC113">
        <v>2.8570000000000002</v>
      </c>
      <c r="BD113" s="19">
        <v>3.4180000000000001</v>
      </c>
      <c r="BE113" s="19">
        <v>80.476200000000006</v>
      </c>
      <c r="BF113">
        <v>8.8116000000000003</v>
      </c>
      <c r="BG113">
        <v>10.4</v>
      </c>
      <c r="BH113" s="20">
        <v>0.4753</v>
      </c>
      <c r="BI113" s="20">
        <v>1010.6162</v>
      </c>
      <c r="BJ113" s="19">
        <v>80.952399999999997</v>
      </c>
      <c r="BK113">
        <v>0.99980000000000002</v>
      </c>
      <c r="BL113">
        <v>0.99619999999999997</v>
      </c>
      <c r="BM113">
        <v>0.99280000000000002</v>
      </c>
      <c r="BN113">
        <v>6</v>
      </c>
      <c r="BO113">
        <v>15.301</v>
      </c>
      <c r="BP113">
        <v>4.95</v>
      </c>
      <c r="BQ113" s="19">
        <v>100</v>
      </c>
      <c r="BR113">
        <v>56.359099999999998</v>
      </c>
      <c r="BS113" s="20">
        <v>15.026</v>
      </c>
      <c r="BT113" s="20">
        <v>15.026</v>
      </c>
      <c r="BU113" s="20">
        <v>32.539000000000001</v>
      </c>
      <c r="BV113" s="20">
        <v>32.9</v>
      </c>
      <c r="BW113" s="19">
        <v>80.788200000000003</v>
      </c>
      <c r="BX113">
        <v>42.4</v>
      </c>
      <c r="BY113" s="6">
        <v>2315875</v>
      </c>
      <c r="BZ113" s="5">
        <v>13374837</v>
      </c>
      <c r="CA113" s="7">
        <f t="shared" si="5"/>
        <v>5.7752845036973071</v>
      </c>
      <c r="CB113">
        <v>1219502</v>
      </c>
      <c r="CC113" s="8">
        <f t="shared" si="6"/>
        <v>10.967458027949114</v>
      </c>
      <c r="CD113" s="8">
        <f t="shared" si="7"/>
        <v>1.8990333759190228</v>
      </c>
      <c r="CE113">
        <v>9253</v>
      </c>
      <c r="CF113" s="8">
        <f t="shared" si="8"/>
        <v>250.28369177564034</v>
      </c>
      <c r="CG113" s="8">
        <f t="shared" si="9"/>
        <v>1445.4595266400086</v>
      </c>
      <c r="CH113">
        <v>100</v>
      </c>
    </row>
    <row r="114" spans="1:86" ht="15.5" x14ac:dyDescent="0.35">
      <c r="A114" t="s">
        <v>90</v>
      </c>
      <c r="B114">
        <v>2016</v>
      </c>
      <c r="C114" s="2">
        <v>40.200299999999999</v>
      </c>
      <c r="D114">
        <v>13449.99</v>
      </c>
      <c r="E114">
        <v>0.2109</v>
      </c>
      <c r="F114">
        <v>5.8367000000000004</v>
      </c>
      <c r="G114">
        <v>8120</v>
      </c>
      <c r="H114">
        <v>10</v>
      </c>
      <c r="I114" s="19">
        <v>98.778000000000006</v>
      </c>
      <c r="J114" s="19">
        <v>99.52</v>
      </c>
      <c r="K114" s="19">
        <v>2.9319999999999999</v>
      </c>
      <c r="L114" s="19">
        <v>76.666700000000006</v>
      </c>
      <c r="M114" s="19">
        <v>-831000000</v>
      </c>
      <c r="N114" s="19">
        <v>89.963200000000001</v>
      </c>
      <c r="O114">
        <v>26.99</v>
      </c>
      <c r="P114">
        <v>32.578699999999998</v>
      </c>
      <c r="Q114" s="19">
        <v>24802.598999999998</v>
      </c>
      <c r="R114" s="19">
        <v>24916.632799999999</v>
      </c>
      <c r="S114" s="19">
        <v>6.0858999999999996</v>
      </c>
      <c r="T114" s="19">
        <v>40212.738299999997</v>
      </c>
      <c r="U114" s="19">
        <v>35878.593800000002</v>
      </c>
      <c r="V114">
        <v>32.9</v>
      </c>
      <c r="W114" s="19">
        <v>77.619</v>
      </c>
      <c r="X114">
        <v>96</v>
      </c>
      <c r="Y114">
        <v>98</v>
      </c>
      <c r="Z114">
        <v>90</v>
      </c>
      <c r="AA114">
        <v>2.4</v>
      </c>
      <c r="AB114">
        <v>75.900000000000006</v>
      </c>
      <c r="AC114">
        <v>81.534000000000006</v>
      </c>
      <c r="AD114">
        <v>98.348399999999998</v>
      </c>
      <c r="AE114">
        <v>12</v>
      </c>
      <c r="AF114">
        <v>96.131699999999995</v>
      </c>
      <c r="AG114">
        <v>5.2</v>
      </c>
      <c r="AH114">
        <v>0.5</v>
      </c>
      <c r="AI114">
        <v>2.9</v>
      </c>
      <c r="AJ114">
        <v>2.7</v>
      </c>
      <c r="AK114">
        <v>3.1</v>
      </c>
      <c r="AL114">
        <v>57.586799999999997</v>
      </c>
      <c r="AM114">
        <v>1.7</v>
      </c>
      <c r="AN114">
        <v>10951</v>
      </c>
      <c r="AO114">
        <v>0</v>
      </c>
      <c r="AP114">
        <v>99.780799999999999</v>
      </c>
      <c r="AQ114">
        <v>99.439899999999994</v>
      </c>
      <c r="AR114">
        <v>99.222300000000004</v>
      </c>
      <c r="AT114">
        <v>86.169399999999996</v>
      </c>
      <c r="AU114">
        <v>14.481299999999999</v>
      </c>
      <c r="AV114" s="19">
        <v>65.238100000000003</v>
      </c>
      <c r="AW114">
        <v>0</v>
      </c>
      <c r="AX114">
        <v>15.7</v>
      </c>
      <c r="AY114">
        <v>6</v>
      </c>
      <c r="AZ114">
        <v>6</v>
      </c>
      <c r="BA114">
        <v>76.659800000000004</v>
      </c>
      <c r="BB114">
        <v>17.857099999999999</v>
      </c>
      <c r="BC114">
        <v>2.7959000000000001</v>
      </c>
      <c r="BD114" s="19">
        <v>6.5739999999999998</v>
      </c>
      <c r="BE114" s="19">
        <v>81.904799999999994</v>
      </c>
      <c r="BF114">
        <v>8.6891999999999996</v>
      </c>
      <c r="BG114">
        <v>10.3</v>
      </c>
      <c r="BH114" s="20">
        <v>0.51970000000000005</v>
      </c>
      <c r="BI114" s="20">
        <v>1058.5641000000001</v>
      </c>
      <c r="BJ114" s="19">
        <v>74.761899999999997</v>
      </c>
      <c r="BK114">
        <v>1.0035000000000001</v>
      </c>
      <c r="BL114">
        <v>0.99480000000000002</v>
      </c>
      <c r="BM114">
        <v>0.98629999999999995</v>
      </c>
      <c r="BN114">
        <v>6</v>
      </c>
      <c r="BO114">
        <v>16.02</v>
      </c>
      <c r="BP114">
        <v>5.0599999999999996</v>
      </c>
      <c r="BQ114" s="19">
        <v>97.885800000000003</v>
      </c>
      <c r="BR114">
        <v>61.631500000000003</v>
      </c>
      <c r="BS114" s="20">
        <v>13.006</v>
      </c>
      <c r="BT114" s="20">
        <v>13.006</v>
      </c>
      <c r="BU114" s="20">
        <v>28.902000000000001</v>
      </c>
      <c r="BV114" s="20">
        <v>29.129000000000001</v>
      </c>
      <c r="BW114" s="19">
        <v>82.758600000000001</v>
      </c>
      <c r="BX114">
        <v>42.98</v>
      </c>
      <c r="BY114" s="6">
        <v>2729961</v>
      </c>
      <c r="BZ114" s="5">
        <v>15348884</v>
      </c>
      <c r="CA114" s="7">
        <f t="shared" si="5"/>
        <v>5.6223821512468497</v>
      </c>
      <c r="CB114">
        <v>1237112</v>
      </c>
      <c r="CC114" s="8">
        <f t="shared" si="6"/>
        <v>12.407028627965778</v>
      </c>
      <c r="CD114" s="8">
        <f t="shared" si="7"/>
        <v>2.2067209759504394</v>
      </c>
      <c r="CE114">
        <v>9253</v>
      </c>
      <c r="CF114" s="8">
        <f t="shared" si="8"/>
        <v>295.03523181670812</v>
      </c>
      <c r="CG114" s="8">
        <f t="shared" si="9"/>
        <v>1658.8008213552362</v>
      </c>
      <c r="CH114">
        <v>98.647390000000001</v>
      </c>
    </row>
    <row r="115" spans="1:86" ht="15.5" x14ac:dyDescent="0.35">
      <c r="A115" t="s">
        <v>90</v>
      </c>
      <c r="B115">
        <v>2017</v>
      </c>
      <c r="C115" s="2">
        <v>40.613</v>
      </c>
      <c r="D115">
        <v>13522.73</v>
      </c>
      <c r="E115">
        <v>0.20330000000000001</v>
      </c>
      <c r="F115">
        <v>5.8693999999999997</v>
      </c>
      <c r="G115">
        <v>8120</v>
      </c>
      <c r="H115">
        <v>10</v>
      </c>
      <c r="I115" s="19">
        <v>99.451999999999998</v>
      </c>
      <c r="J115" s="19">
        <v>99.13</v>
      </c>
      <c r="K115" s="19">
        <v>3.3260000000000001</v>
      </c>
      <c r="L115" s="19">
        <v>76.1905</v>
      </c>
      <c r="M115" s="19">
        <v>-1151000000</v>
      </c>
      <c r="N115" s="19">
        <v>99.763999999999996</v>
      </c>
      <c r="O115">
        <v>22.350999999999999</v>
      </c>
      <c r="P115">
        <v>34.215000000000003</v>
      </c>
      <c r="Q115" s="19">
        <v>26834.796999999999</v>
      </c>
      <c r="R115" s="19">
        <v>26105.585899999998</v>
      </c>
      <c r="S115" s="19">
        <v>4.7717000000000001</v>
      </c>
      <c r="T115" s="19">
        <v>42131.578099999999</v>
      </c>
      <c r="U115" s="19">
        <v>38415.203099999999</v>
      </c>
      <c r="V115">
        <v>31.4</v>
      </c>
      <c r="W115" s="19">
        <v>78.571399999999997</v>
      </c>
      <c r="X115">
        <v>97</v>
      </c>
      <c r="Y115">
        <v>97</v>
      </c>
      <c r="Z115">
        <v>90</v>
      </c>
      <c r="AA115">
        <v>2.4</v>
      </c>
      <c r="AB115">
        <v>80.7</v>
      </c>
      <c r="AC115">
        <v>81.543000000000006</v>
      </c>
      <c r="AD115">
        <v>98.941900000000004</v>
      </c>
      <c r="AE115">
        <v>12</v>
      </c>
      <c r="AF115">
        <v>96.2333</v>
      </c>
      <c r="AG115">
        <v>6</v>
      </c>
      <c r="AH115">
        <v>0.24</v>
      </c>
      <c r="AI115">
        <v>3</v>
      </c>
      <c r="AJ115">
        <v>2.8</v>
      </c>
      <c r="AK115">
        <v>3.1</v>
      </c>
      <c r="AL115">
        <v>58.240200000000002</v>
      </c>
      <c r="AM115">
        <v>1.7</v>
      </c>
      <c r="AN115">
        <v>10632</v>
      </c>
      <c r="AO115">
        <v>0</v>
      </c>
      <c r="AP115">
        <v>99.772999999999996</v>
      </c>
      <c r="AQ115">
        <v>99.4178</v>
      </c>
      <c r="AR115">
        <v>99.481700000000004</v>
      </c>
      <c r="AT115">
        <v>86.168599999999998</v>
      </c>
      <c r="AU115">
        <v>15.107100000000001</v>
      </c>
      <c r="AV115" s="19">
        <v>64.761899999999997</v>
      </c>
      <c r="AW115">
        <v>0</v>
      </c>
      <c r="AX115">
        <v>15.4</v>
      </c>
      <c r="AY115">
        <v>6</v>
      </c>
      <c r="AZ115">
        <v>6</v>
      </c>
      <c r="BA115">
        <v>76.735100000000003</v>
      </c>
      <c r="BB115">
        <v>17.857099999999999</v>
      </c>
      <c r="BC115">
        <v>2.7464</v>
      </c>
      <c r="BD115" s="19">
        <v>5.7519999999999998</v>
      </c>
      <c r="BE115" s="19">
        <v>80.952399999999997</v>
      </c>
      <c r="BF115">
        <v>8.6972000000000005</v>
      </c>
      <c r="BG115">
        <v>10.9</v>
      </c>
      <c r="BH115" s="20">
        <v>0.54259999999999997</v>
      </c>
      <c r="BI115" s="20">
        <v>1209.6368</v>
      </c>
      <c r="BJ115" s="19">
        <v>78.095200000000006</v>
      </c>
      <c r="BK115">
        <v>1.0011000000000001</v>
      </c>
      <c r="BL115">
        <v>0.99280000000000002</v>
      </c>
      <c r="BM115">
        <v>0.98440000000000005</v>
      </c>
      <c r="BN115">
        <v>6</v>
      </c>
      <c r="BO115">
        <v>16.094000000000001</v>
      </c>
      <c r="BP115">
        <v>4.41</v>
      </c>
      <c r="BQ115" s="19">
        <v>97.969300000000004</v>
      </c>
      <c r="BR115">
        <v>67.307199999999995</v>
      </c>
      <c r="BS115" s="20">
        <v>11.154999999999999</v>
      </c>
      <c r="BT115" s="20">
        <v>11.154999999999999</v>
      </c>
      <c r="BU115" s="20">
        <v>25.013000000000002</v>
      </c>
      <c r="BV115" s="20">
        <v>25.068000000000001</v>
      </c>
      <c r="BW115" s="19">
        <v>83.251199999999997</v>
      </c>
      <c r="BX115">
        <v>42.13</v>
      </c>
      <c r="BY115" s="6">
        <v>2946461</v>
      </c>
      <c r="BZ115" s="5">
        <v>16780913</v>
      </c>
      <c r="CA115" s="7">
        <f t="shared" si="5"/>
        <v>5.695277487127778</v>
      </c>
      <c r="CB115">
        <v>1254275</v>
      </c>
      <c r="CC115" s="8">
        <f t="shared" si="6"/>
        <v>13.378974307867095</v>
      </c>
      <c r="CD115" s="8">
        <f t="shared" si="7"/>
        <v>2.3491347591237965</v>
      </c>
      <c r="CE115">
        <v>9253</v>
      </c>
      <c r="CF115" s="8">
        <f t="shared" si="8"/>
        <v>318.43304874094889</v>
      </c>
      <c r="CG115" s="8">
        <f t="shared" si="9"/>
        <v>1813.5645736517886</v>
      </c>
      <c r="CH115">
        <v>97.821439999999996</v>
      </c>
    </row>
    <row r="116" spans="1:86" ht="15.5" x14ac:dyDescent="0.35">
      <c r="A116" t="s">
        <v>90</v>
      </c>
      <c r="B116">
        <v>2018</v>
      </c>
      <c r="C116" s="2">
        <v>41.026299999999999</v>
      </c>
      <c r="D116">
        <v>13566.84</v>
      </c>
      <c r="E116">
        <v>0.18740000000000001</v>
      </c>
      <c r="F116">
        <v>5.6760000000000002</v>
      </c>
      <c r="G116">
        <v>8120</v>
      </c>
      <c r="H116">
        <v>10</v>
      </c>
      <c r="I116" s="19">
        <v>100.22799999999999</v>
      </c>
      <c r="J116" s="19">
        <v>100.13</v>
      </c>
      <c r="K116" s="19">
        <v>3.5790000000000002</v>
      </c>
      <c r="L116" s="19">
        <v>72.381</v>
      </c>
      <c r="M116" s="19">
        <v>-1000000000</v>
      </c>
      <c r="N116" s="19">
        <v>153.2998</v>
      </c>
      <c r="O116">
        <v>19.699000000000002</v>
      </c>
      <c r="P116">
        <v>35.8108</v>
      </c>
      <c r="Q116" s="19">
        <v>29813.403999999999</v>
      </c>
      <c r="R116" s="19">
        <v>27406.476600000002</v>
      </c>
      <c r="S116" s="19">
        <v>4.9832000000000001</v>
      </c>
      <c r="T116" s="19">
        <v>44231.074200000003</v>
      </c>
      <c r="U116" s="19">
        <v>40925.363299999997</v>
      </c>
      <c r="V116">
        <v>32.700000000000003</v>
      </c>
      <c r="W116" s="19">
        <v>76.666700000000006</v>
      </c>
      <c r="X116">
        <v>99</v>
      </c>
      <c r="Y116">
        <v>98</v>
      </c>
      <c r="Z116">
        <v>90</v>
      </c>
      <c r="AA116">
        <v>2.5</v>
      </c>
      <c r="AB116">
        <v>84.4</v>
      </c>
      <c r="AC116">
        <v>81.555999999999997</v>
      </c>
      <c r="AD116">
        <v>95.822500000000005</v>
      </c>
      <c r="AE116">
        <v>13</v>
      </c>
      <c r="AF116">
        <v>96.3078</v>
      </c>
      <c r="AG116">
        <v>5.5</v>
      </c>
      <c r="AH116">
        <v>0.56000000000000005</v>
      </c>
      <c r="AI116">
        <v>3</v>
      </c>
      <c r="AJ116">
        <v>2.8</v>
      </c>
      <c r="AK116">
        <v>3.2</v>
      </c>
      <c r="AL116">
        <v>57.955399999999997</v>
      </c>
      <c r="AM116">
        <v>1.7</v>
      </c>
      <c r="AN116">
        <v>10311</v>
      </c>
      <c r="AO116">
        <v>0</v>
      </c>
      <c r="AP116">
        <v>99.765199999999993</v>
      </c>
      <c r="AQ116">
        <v>99.395899999999997</v>
      </c>
      <c r="AR116">
        <v>99.741100000000003</v>
      </c>
      <c r="AT116">
        <v>86.1678</v>
      </c>
      <c r="AU116">
        <v>15.249499999999999</v>
      </c>
      <c r="AV116" s="19">
        <v>63.207500000000003</v>
      </c>
      <c r="AW116">
        <v>0</v>
      </c>
      <c r="AX116">
        <v>14.7</v>
      </c>
      <c r="AY116">
        <v>6</v>
      </c>
      <c r="AZ116">
        <v>6</v>
      </c>
      <c r="BA116">
        <v>76.816100000000006</v>
      </c>
      <c r="BB116">
        <v>17.857099999999999</v>
      </c>
      <c r="BC116">
        <v>2.8687</v>
      </c>
      <c r="BD116" s="19">
        <v>6.2720000000000002</v>
      </c>
      <c r="BE116" s="19">
        <v>78.095200000000006</v>
      </c>
      <c r="BF116">
        <v>9.4353999999999996</v>
      </c>
      <c r="BG116">
        <v>12</v>
      </c>
      <c r="BH116" s="20">
        <v>0.61399999999999999</v>
      </c>
      <c r="BI116" s="20">
        <v>1408.1802</v>
      </c>
      <c r="BJ116" s="19">
        <v>75.238100000000003</v>
      </c>
      <c r="BK116">
        <v>0.99119999999999997</v>
      </c>
      <c r="BL116">
        <v>0.98319999999999996</v>
      </c>
      <c r="BM116">
        <v>0.97499999999999998</v>
      </c>
      <c r="BN116">
        <v>6</v>
      </c>
      <c r="BO116">
        <v>13.21</v>
      </c>
      <c r="BP116">
        <v>5.56</v>
      </c>
      <c r="BQ116" s="19">
        <v>100.1592</v>
      </c>
      <c r="BR116">
        <v>74.249499999999998</v>
      </c>
      <c r="BS116" s="20">
        <v>8.5039999999999996</v>
      </c>
      <c r="BT116" s="20">
        <v>8.5039999999999996</v>
      </c>
      <c r="BU116" s="20">
        <v>20.654</v>
      </c>
      <c r="BV116" s="20">
        <v>20.632000000000001</v>
      </c>
      <c r="BW116" s="19">
        <v>80.582499999999996</v>
      </c>
      <c r="BX116">
        <v>40.549999999999997</v>
      </c>
      <c r="BY116" s="6">
        <v>3177161</v>
      </c>
      <c r="BZ116" s="5">
        <v>17164182</v>
      </c>
      <c r="CA116" s="7">
        <f t="shared" si="5"/>
        <v>5.4023645638354489</v>
      </c>
      <c r="CB116">
        <v>1270737</v>
      </c>
      <c r="CC116" s="8">
        <f t="shared" si="6"/>
        <v>13.507265468779142</v>
      </c>
      <c r="CD116" s="8">
        <f t="shared" si="7"/>
        <v>2.5002506419503012</v>
      </c>
      <c r="CE116">
        <v>9253</v>
      </c>
      <c r="CF116" s="8">
        <f t="shared" si="8"/>
        <v>343.36550308008214</v>
      </c>
      <c r="CG116" s="8">
        <f t="shared" si="9"/>
        <v>1854.9856262833675</v>
      </c>
      <c r="CH116">
        <v>97.110799999999998</v>
      </c>
    </row>
    <row r="117" spans="1:86" ht="15.5" x14ac:dyDescent="0.35">
      <c r="A117" t="s">
        <v>90</v>
      </c>
      <c r="B117">
        <v>2019</v>
      </c>
      <c r="C117" s="2">
        <v>41.464500000000001</v>
      </c>
      <c r="D117">
        <v>13416.29</v>
      </c>
      <c r="E117">
        <v>0.17710000000000001</v>
      </c>
      <c r="F117">
        <v>5.6078999999999999</v>
      </c>
      <c r="G117">
        <v>8120</v>
      </c>
      <c r="H117">
        <v>10</v>
      </c>
      <c r="I117" s="19">
        <v>100.776</v>
      </c>
      <c r="J117" s="19">
        <v>100.85</v>
      </c>
      <c r="K117" s="19">
        <v>3.831</v>
      </c>
      <c r="L117" s="19">
        <v>70.952399999999997</v>
      </c>
      <c r="M117" s="19">
        <v>-1444000000</v>
      </c>
      <c r="N117" s="19">
        <v>104.78749999999999</v>
      </c>
      <c r="O117">
        <v>23.736000000000001</v>
      </c>
      <c r="P117">
        <v>36.775300000000001</v>
      </c>
      <c r="Q117" s="19">
        <v>29911.925999999999</v>
      </c>
      <c r="R117" s="19">
        <v>28625.779299999998</v>
      </c>
      <c r="S117" s="19">
        <v>4.4489999999999998</v>
      </c>
      <c r="T117" s="19">
        <v>46198.894500000002</v>
      </c>
      <c r="U117" s="19">
        <v>45116.667999999998</v>
      </c>
      <c r="V117">
        <v>31.2</v>
      </c>
      <c r="W117" s="19">
        <v>78.571399999999997</v>
      </c>
      <c r="X117">
        <v>95</v>
      </c>
      <c r="Y117">
        <v>95</v>
      </c>
      <c r="Z117">
        <v>86</v>
      </c>
      <c r="AA117">
        <v>2.6</v>
      </c>
      <c r="AB117">
        <v>86.1</v>
      </c>
      <c r="AC117">
        <v>81.453999999999994</v>
      </c>
      <c r="AD117">
        <v>98.098600000000005</v>
      </c>
      <c r="AE117">
        <v>13</v>
      </c>
      <c r="AF117">
        <v>96.345299999999995</v>
      </c>
      <c r="AG117">
        <v>5.8</v>
      </c>
      <c r="AH117">
        <v>0.26</v>
      </c>
      <c r="AI117">
        <v>3.1</v>
      </c>
      <c r="AJ117">
        <v>2.9</v>
      </c>
      <c r="AK117">
        <v>3.3</v>
      </c>
      <c r="AL117">
        <v>58.254399999999997</v>
      </c>
      <c r="AM117">
        <v>1.8</v>
      </c>
      <c r="AN117">
        <v>9983</v>
      </c>
      <c r="AO117">
        <v>0</v>
      </c>
      <c r="AP117">
        <v>99.765199999999993</v>
      </c>
      <c r="AQ117">
        <v>99.395799999999994</v>
      </c>
      <c r="AR117">
        <v>99.765199999999993</v>
      </c>
      <c r="AT117">
        <v>86.1678</v>
      </c>
      <c r="AU117">
        <v>15.0067</v>
      </c>
      <c r="AV117" s="19">
        <v>64.150899999999993</v>
      </c>
      <c r="AW117">
        <v>0.2</v>
      </c>
      <c r="AX117">
        <v>14.3</v>
      </c>
      <c r="AY117">
        <v>6</v>
      </c>
      <c r="AZ117">
        <v>6</v>
      </c>
      <c r="BA117">
        <v>76.814599999999999</v>
      </c>
      <c r="BB117">
        <v>17.857099999999999</v>
      </c>
      <c r="BC117">
        <v>3.8271000000000002</v>
      </c>
      <c r="BD117" s="19">
        <v>5.8769999999999998</v>
      </c>
      <c r="BE117" s="19">
        <v>80</v>
      </c>
      <c r="BF117">
        <v>10.0128</v>
      </c>
      <c r="BG117">
        <v>12</v>
      </c>
      <c r="BH117" s="20">
        <v>0.70950000000000002</v>
      </c>
      <c r="BI117" s="20">
        <v>1657.7253000000001</v>
      </c>
      <c r="BJ117" s="19">
        <v>75.238100000000003</v>
      </c>
      <c r="BK117">
        <v>0.99309999999999998</v>
      </c>
      <c r="BL117">
        <v>0.98119999999999996</v>
      </c>
      <c r="BM117">
        <v>0.96870000000000001</v>
      </c>
      <c r="BN117">
        <v>6</v>
      </c>
      <c r="BO117">
        <v>13.659000000000001</v>
      </c>
      <c r="BP117">
        <v>4.5</v>
      </c>
      <c r="BQ117" s="19">
        <v>97.555300000000003</v>
      </c>
      <c r="BR117">
        <v>78.668999999999997</v>
      </c>
      <c r="BS117" s="20">
        <v>7.1550000000000002</v>
      </c>
      <c r="BT117" s="20">
        <v>7.1550000000000002</v>
      </c>
      <c r="BU117" s="20">
        <v>16.856000000000002</v>
      </c>
      <c r="BV117" s="20">
        <v>16.873000000000001</v>
      </c>
      <c r="BW117" s="19">
        <v>81.159400000000005</v>
      </c>
      <c r="BX117">
        <v>39.83</v>
      </c>
      <c r="BY117" s="6">
        <v>3242957</v>
      </c>
      <c r="BZ117" s="5">
        <v>17573684</v>
      </c>
      <c r="CA117" s="7">
        <f t="shared" si="5"/>
        <v>5.4190308412970012</v>
      </c>
      <c r="CB117">
        <v>1286671</v>
      </c>
      <c r="CC117" s="8">
        <f t="shared" si="6"/>
        <v>13.658257627629752</v>
      </c>
      <c r="CD117" s="8">
        <f t="shared" si="7"/>
        <v>2.5204244130784015</v>
      </c>
      <c r="CE117">
        <v>9253</v>
      </c>
      <c r="CF117" s="8">
        <f t="shared" si="8"/>
        <v>350.47627796390361</v>
      </c>
      <c r="CG117" s="8">
        <f t="shared" si="9"/>
        <v>1899.2417594293743</v>
      </c>
      <c r="CH117">
        <v>96.465180000000004</v>
      </c>
    </row>
    <row r="118" spans="1:86" ht="15.5" x14ac:dyDescent="0.35">
      <c r="A118" t="s">
        <v>90</v>
      </c>
      <c r="B118">
        <v>2020</v>
      </c>
      <c r="C118" s="2">
        <v>41.965699999999998</v>
      </c>
      <c r="D118">
        <v>13355.11</v>
      </c>
      <c r="E118">
        <v>0.17249999999999999</v>
      </c>
      <c r="F118">
        <v>5.2228000000000003</v>
      </c>
      <c r="G118">
        <v>8120</v>
      </c>
      <c r="H118">
        <v>10</v>
      </c>
      <c r="I118" s="19">
        <v>99.665000000000006</v>
      </c>
      <c r="J118" s="19">
        <v>100.02</v>
      </c>
      <c r="K118" s="19">
        <v>2.9140000000000001</v>
      </c>
      <c r="L118" s="19">
        <v>63.333300000000001</v>
      </c>
      <c r="M118" s="19">
        <v>-2476000000</v>
      </c>
      <c r="N118" s="19">
        <v>92.955100000000002</v>
      </c>
      <c r="O118">
        <v>25.216000000000001</v>
      </c>
      <c r="P118">
        <v>37.0625</v>
      </c>
      <c r="Q118" s="19">
        <v>28755.513999999999</v>
      </c>
      <c r="R118" s="19">
        <v>27391.589800000002</v>
      </c>
      <c r="S118" s="19">
        <v>-4.3114999999999997</v>
      </c>
      <c r="T118" s="19">
        <v>44207.050799999997</v>
      </c>
      <c r="U118" s="19">
        <v>43353.875</v>
      </c>
      <c r="V118">
        <v>31.7</v>
      </c>
      <c r="W118" s="19">
        <v>76.666700000000006</v>
      </c>
      <c r="X118">
        <v>95</v>
      </c>
      <c r="Y118">
        <v>95</v>
      </c>
      <c r="Z118">
        <v>86</v>
      </c>
      <c r="AA118">
        <v>2.6</v>
      </c>
      <c r="AB118">
        <v>90.8</v>
      </c>
      <c r="AC118">
        <v>81.23</v>
      </c>
      <c r="AD118">
        <v>81.836600000000004</v>
      </c>
      <c r="AE118">
        <v>87</v>
      </c>
      <c r="AF118">
        <v>96.354100000000003</v>
      </c>
      <c r="AH118">
        <v>2E-3</v>
      </c>
      <c r="AI118">
        <v>3.2</v>
      </c>
      <c r="AJ118">
        <v>3</v>
      </c>
      <c r="AK118">
        <v>3.4</v>
      </c>
      <c r="AL118">
        <v>57.957299999999996</v>
      </c>
      <c r="AM118">
        <v>1.8</v>
      </c>
      <c r="AN118">
        <v>9653</v>
      </c>
      <c r="AO118">
        <v>0</v>
      </c>
      <c r="AP118">
        <v>99.765199999999993</v>
      </c>
      <c r="AQ118">
        <v>99.396000000000001</v>
      </c>
      <c r="AR118">
        <v>99.765199999999993</v>
      </c>
      <c r="AT118">
        <v>86.1678</v>
      </c>
      <c r="AU118">
        <v>13.508699999999999</v>
      </c>
      <c r="AV118" s="19">
        <v>56.6038</v>
      </c>
      <c r="AW118">
        <v>0</v>
      </c>
      <c r="AX118">
        <v>13.8</v>
      </c>
      <c r="AY118">
        <v>6</v>
      </c>
      <c r="AZ118">
        <v>6</v>
      </c>
      <c r="BA118">
        <v>76.819199999999995</v>
      </c>
      <c r="BB118">
        <v>19.642900000000001</v>
      </c>
      <c r="BC118">
        <v>6.2939999999999996</v>
      </c>
      <c r="BD118" s="19">
        <v>-3.2189999999999999</v>
      </c>
      <c r="BE118" s="19">
        <v>80.952399999999997</v>
      </c>
      <c r="BF118">
        <v>12.3048</v>
      </c>
      <c r="BG118">
        <v>15</v>
      </c>
      <c r="BH118" s="20">
        <v>0.83650000000000002</v>
      </c>
      <c r="BI118" s="20">
        <v>1739.8551</v>
      </c>
      <c r="BJ118" s="19">
        <v>68.095200000000006</v>
      </c>
      <c r="BK118">
        <v>0.99370000000000003</v>
      </c>
      <c r="BL118">
        <v>0.9819</v>
      </c>
      <c r="BM118">
        <v>0.96950000000000003</v>
      </c>
      <c r="BN118">
        <v>6</v>
      </c>
      <c r="BO118">
        <v>14.356999999999999</v>
      </c>
      <c r="BP118">
        <v>3.86</v>
      </c>
      <c r="BQ118" s="19">
        <v>87.767300000000006</v>
      </c>
      <c r="BR118">
        <v>78.668999999999997</v>
      </c>
      <c r="BS118" s="20">
        <v>7.7549999999999999</v>
      </c>
      <c r="BT118" s="20">
        <v>7.7549999999999999</v>
      </c>
      <c r="BU118" s="20">
        <v>18.491</v>
      </c>
      <c r="BV118" s="20">
        <v>18.533000000000001</v>
      </c>
      <c r="BW118" s="19">
        <v>75.362300000000005</v>
      </c>
      <c r="BX118">
        <v>38.979999999999997</v>
      </c>
      <c r="BY118" s="6">
        <v>1104518</v>
      </c>
      <c r="BZ118" s="5">
        <v>3725254</v>
      </c>
      <c r="CA118" s="7">
        <f t="shared" si="5"/>
        <v>3.3727417751453577</v>
      </c>
      <c r="CB118">
        <v>1302247</v>
      </c>
      <c r="CC118" s="8">
        <f t="shared" si="6"/>
        <v>2.860635501559996</v>
      </c>
      <c r="CD118" s="8">
        <f t="shared" si="7"/>
        <v>0.84816321327674393</v>
      </c>
      <c r="CE118">
        <v>9253</v>
      </c>
      <c r="CF118" s="8">
        <f t="shared" si="8"/>
        <v>119.36863719874636</v>
      </c>
      <c r="CG118" s="8">
        <f t="shared" si="9"/>
        <v>402.59958932238192</v>
      </c>
      <c r="CH118">
        <v>95.142229999999998</v>
      </c>
    </row>
    <row r="119" spans="1:86" ht="15.5" x14ac:dyDescent="0.35">
      <c r="A119" t="s">
        <v>90</v>
      </c>
      <c r="B119">
        <v>2021</v>
      </c>
      <c r="C119" s="2">
        <v>42.533200000000001</v>
      </c>
      <c r="D119">
        <v>13124.78</v>
      </c>
      <c r="E119">
        <v>0.15720000000000001</v>
      </c>
      <c r="F119">
        <v>5.2411000000000003</v>
      </c>
      <c r="G119">
        <v>8120</v>
      </c>
      <c r="H119">
        <v>10</v>
      </c>
      <c r="I119" s="19">
        <v>101.905</v>
      </c>
      <c r="J119" s="19">
        <v>104.84</v>
      </c>
      <c r="K119" s="19">
        <v>6.2510000000000003</v>
      </c>
      <c r="L119" s="19">
        <v>63.8095</v>
      </c>
      <c r="M119" s="19">
        <v>-1632000000</v>
      </c>
      <c r="N119" s="19">
        <v>114.907</v>
      </c>
      <c r="O119">
        <v>22.427</v>
      </c>
      <c r="P119">
        <v>37.667099999999998</v>
      </c>
      <c r="Q119" s="19">
        <v>33920.584999999999</v>
      </c>
      <c r="R119" s="19">
        <v>30227.918000000001</v>
      </c>
      <c r="S119" s="19">
        <v>10.354699999999999</v>
      </c>
      <c r="T119" s="19">
        <v>48784.578099999999</v>
      </c>
      <c r="U119" s="19">
        <v>48784.578099999999</v>
      </c>
      <c r="V119">
        <v>31.3</v>
      </c>
      <c r="W119" s="19">
        <v>73.8095</v>
      </c>
      <c r="X119">
        <v>95</v>
      </c>
      <c r="Y119">
        <v>94</v>
      </c>
      <c r="Z119">
        <v>86</v>
      </c>
      <c r="AA119">
        <v>2.7</v>
      </c>
      <c r="AB119">
        <v>90.8</v>
      </c>
      <c r="AC119">
        <v>80.572999999999993</v>
      </c>
      <c r="AD119">
        <v>104.0013</v>
      </c>
      <c r="AE119">
        <v>98</v>
      </c>
      <c r="AH119">
        <v>0.28999999999999998</v>
      </c>
      <c r="AI119">
        <v>3.4</v>
      </c>
      <c r="AJ119">
        <v>3.1</v>
      </c>
      <c r="AK119">
        <v>3.6</v>
      </c>
      <c r="AL119">
        <v>58.094000000000001</v>
      </c>
      <c r="AM119">
        <v>1.9</v>
      </c>
      <c r="AN119">
        <v>9341</v>
      </c>
      <c r="AO119">
        <v>0</v>
      </c>
      <c r="AP119">
        <v>99.765100000000004</v>
      </c>
      <c r="AQ119">
        <v>99.396299999999997</v>
      </c>
      <c r="AR119">
        <v>99.765100000000004</v>
      </c>
      <c r="AT119">
        <v>86.1678</v>
      </c>
      <c r="AV119" s="19">
        <v>58.962299999999999</v>
      </c>
      <c r="AW119">
        <v>0</v>
      </c>
      <c r="AX119">
        <v>13.9</v>
      </c>
      <c r="AY119">
        <v>6</v>
      </c>
      <c r="AZ119">
        <v>6</v>
      </c>
      <c r="BA119">
        <v>76.828999999999994</v>
      </c>
      <c r="BB119">
        <v>14.2857</v>
      </c>
      <c r="BC119">
        <v>7.6844999999999999</v>
      </c>
      <c r="BD119" s="19">
        <v>11.385</v>
      </c>
      <c r="BE119" s="19">
        <v>76.666700000000006</v>
      </c>
      <c r="BF119">
        <v>15.135</v>
      </c>
      <c r="BG119">
        <v>15.6</v>
      </c>
      <c r="BH119" s="20">
        <v>0.80030000000000001</v>
      </c>
      <c r="BI119" s="20">
        <v>1743.0668000000001</v>
      </c>
      <c r="BJ119" s="19">
        <v>70.952399999999997</v>
      </c>
      <c r="BN119">
        <v>6</v>
      </c>
      <c r="BO119">
        <v>13.773999999999999</v>
      </c>
      <c r="BP119">
        <v>3.02</v>
      </c>
      <c r="BQ119" s="19">
        <v>86.050299999999993</v>
      </c>
      <c r="BS119" s="20">
        <v>7.5129999999999999</v>
      </c>
      <c r="BT119" s="20">
        <v>7.5129999999999999</v>
      </c>
      <c r="BU119" s="20">
        <v>17.172999999999998</v>
      </c>
      <c r="BV119" s="20">
        <v>17.138999999999999</v>
      </c>
      <c r="BW119" s="19">
        <v>73.430000000000007</v>
      </c>
      <c r="BX119">
        <v>39.549999999999997</v>
      </c>
      <c r="BY119" s="6">
        <v>2117531</v>
      </c>
      <c r="BZ119" s="5">
        <v>9741618</v>
      </c>
      <c r="CA119" s="7">
        <f t="shared" si="5"/>
        <v>4.6004606308006828</v>
      </c>
      <c r="CB119">
        <v>1317309</v>
      </c>
      <c r="CC119" s="8">
        <f t="shared" si="6"/>
        <v>7.3950895348016301</v>
      </c>
      <c r="CD119" s="8">
        <f t="shared" si="7"/>
        <v>1.6074671925873125</v>
      </c>
      <c r="CE119">
        <v>9253</v>
      </c>
      <c r="CF119" s="8">
        <f t="shared" si="8"/>
        <v>228.84804928131416</v>
      </c>
      <c r="CG119" s="8">
        <f t="shared" si="9"/>
        <v>1052.8064411542202</v>
      </c>
      <c r="CH119">
        <v>94.738860000000003</v>
      </c>
    </row>
    <row r="120" spans="1:86" ht="15.5" x14ac:dyDescent="0.35">
      <c r="A120" t="s">
        <v>90</v>
      </c>
      <c r="B120">
        <v>2022</v>
      </c>
      <c r="C120" s="2">
        <v>43.084499999999998</v>
      </c>
      <c r="E120">
        <v>0.15240000000000001</v>
      </c>
      <c r="F120">
        <v>5.3968999999999996</v>
      </c>
      <c r="H120">
        <v>10</v>
      </c>
      <c r="I120" s="19">
        <v>110.13800000000001</v>
      </c>
      <c r="J120" s="19">
        <v>112.79</v>
      </c>
      <c r="K120" s="19">
        <v>8.7970000000000006</v>
      </c>
      <c r="L120" s="19">
        <v>66.037700000000001</v>
      </c>
      <c r="M120" s="19">
        <v>-1669000000</v>
      </c>
      <c r="N120" s="19"/>
      <c r="O120">
        <v>25.542000000000002</v>
      </c>
      <c r="P120">
        <v>37.899799999999999</v>
      </c>
      <c r="Q120" s="19">
        <v>34266.25</v>
      </c>
      <c r="R120" s="19">
        <v>32015.351600000002</v>
      </c>
      <c r="S120" s="19">
        <v>5.9131999999999998</v>
      </c>
      <c r="T120" s="19">
        <v>51669.300799999997</v>
      </c>
      <c r="U120" s="19">
        <v>56019.417999999998</v>
      </c>
      <c r="W120" s="19">
        <v>75.471699999999998</v>
      </c>
      <c r="X120">
        <v>95</v>
      </c>
      <c r="Y120">
        <v>95</v>
      </c>
      <c r="Z120">
        <v>84</v>
      </c>
      <c r="AA120">
        <v>2.8</v>
      </c>
      <c r="AB120">
        <v>89.6</v>
      </c>
      <c r="AC120">
        <v>80.433999999999997</v>
      </c>
      <c r="AD120">
        <v>104.49299999999999</v>
      </c>
      <c r="AE120">
        <v>53</v>
      </c>
      <c r="AI120">
        <v>3.5</v>
      </c>
      <c r="AJ120">
        <v>3.2</v>
      </c>
      <c r="AK120">
        <v>3.7</v>
      </c>
      <c r="AL120">
        <v>58.063200000000002</v>
      </c>
      <c r="AM120">
        <v>1.9</v>
      </c>
      <c r="AN120">
        <v>9014</v>
      </c>
      <c r="AO120">
        <v>0</v>
      </c>
      <c r="AP120">
        <v>99.765100000000004</v>
      </c>
      <c r="AQ120">
        <v>99.396799999999999</v>
      </c>
      <c r="AR120">
        <v>99.765100000000004</v>
      </c>
      <c r="AT120">
        <v>86.1678</v>
      </c>
      <c r="AV120" s="19">
        <v>58.490600000000001</v>
      </c>
      <c r="AY120">
        <v>6</v>
      </c>
      <c r="AZ120">
        <v>6</v>
      </c>
      <c r="BA120">
        <v>76.844499999999996</v>
      </c>
      <c r="BB120">
        <v>14.2857</v>
      </c>
      <c r="BC120">
        <v>7.1078999999999999</v>
      </c>
      <c r="BD120" s="19">
        <v>7.367</v>
      </c>
      <c r="BE120" s="19">
        <v>75.471699999999998</v>
      </c>
      <c r="BG120" s="23">
        <v>19.427</v>
      </c>
      <c r="BH120" s="20">
        <v>0.74529999999999996</v>
      </c>
      <c r="BI120" s="20">
        <v>1727.635</v>
      </c>
      <c r="BJ120" s="19">
        <v>68.867900000000006</v>
      </c>
      <c r="BN120">
        <v>6</v>
      </c>
      <c r="BO120">
        <v>14.721</v>
      </c>
      <c r="BQ120" s="19"/>
      <c r="BS120" s="20">
        <v>6.806</v>
      </c>
      <c r="BT120" s="20">
        <v>6.8070000000000004</v>
      </c>
      <c r="BU120" s="20">
        <v>18.707000000000001</v>
      </c>
      <c r="BV120" s="20">
        <v>18.61</v>
      </c>
      <c r="BW120" s="19">
        <v>73.430000000000007</v>
      </c>
      <c r="BX120">
        <v>37.119999999999997</v>
      </c>
      <c r="BY120" s="6">
        <v>2822399</v>
      </c>
      <c r="BZ120" s="5">
        <v>14252434</v>
      </c>
      <c r="CA120" s="7">
        <f t="shared" si="5"/>
        <v>5.049758733616331</v>
      </c>
      <c r="CB120">
        <v>1331370</v>
      </c>
      <c r="CC120" s="8">
        <f t="shared" si="6"/>
        <v>10.705088743174324</v>
      </c>
      <c r="CD120" s="8">
        <f t="shared" si="7"/>
        <v>2.1199208334272215</v>
      </c>
      <c r="CE120">
        <v>9253</v>
      </c>
      <c r="CF120" s="8">
        <f t="shared" si="8"/>
        <v>305.02528909542849</v>
      </c>
      <c r="CG120" s="8">
        <f t="shared" si="9"/>
        <v>1540.3041175834865</v>
      </c>
      <c r="CH120">
        <v>93.962999999999994</v>
      </c>
    </row>
    <row r="121" spans="1:86" ht="15.5" x14ac:dyDescent="0.35">
      <c r="A121" t="s">
        <v>90</v>
      </c>
      <c r="B121">
        <v>2023</v>
      </c>
      <c r="C121" s="26">
        <v>43.631100000000004</v>
      </c>
      <c r="E121">
        <v>0.1484</v>
      </c>
      <c r="F121">
        <v>5.3407999999999998</v>
      </c>
      <c r="H121">
        <v>10</v>
      </c>
      <c r="I121" s="19">
        <v>114.48</v>
      </c>
      <c r="J121" s="19">
        <v>115</v>
      </c>
      <c r="K121" s="19">
        <v>6.0270000000000001</v>
      </c>
      <c r="L121" s="19">
        <v>62.735799999999998</v>
      </c>
      <c r="M121" s="19">
        <v>-3208000000</v>
      </c>
      <c r="N121" s="19"/>
      <c r="O121">
        <v>31.050999999999998</v>
      </c>
      <c r="P121">
        <v>38.732199999999999</v>
      </c>
      <c r="Q121" s="19">
        <v>36605.305999999997</v>
      </c>
      <c r="R121" s="19">
        <v>32341.3027</v>
      </c>
      <c r="S121" s="19">
        <v>1.0181</v>
      </c>
      <c r="T121" s="19">
        <v>52195.347699999998</v>
      </c>
      <c r="U121" s="19">
        <v>57213.820299999999</v>
      </c>
      <c r="W121" s="19">
        <v>76.415099999999995</v>
      </c>
      <c r="X121">
        <v>95</v>
      </c>
      <c r="Y121">
        <v>95</v>
      </c>
      <c r="Z121">
        <v>82</v>
      </c>
      <c r="AA121">
        <v>2.9</v>
      </c>
      <c r="AB121">
        <v>91.2</v>
      </c>
      <c r="AC121">
        <v>81.647999999999996</v>
      </c>
      <c r="AE121">
        <v>14</v>
      </c>
      <c r="AI121">
        <v>3.5</v>
      </c>
      <c r="AJ121">
        <v>3.3</v>
      </c>
      <c r="AK121">
        <v>3.8</v>
      </c>
      <c r="AL121" s="24">
        <v>58.063200000000002</v>
      </c>
      <c r="AM121">
        <v>1.9</v>
      </c>
      <c r="AN121">
        <v>8697</v>
      </c>
      <c r="AV121" s="19">
        <v>59.241700000000002</v>
      </c>
      <c r="AY121" s="25">
        <v>6</v>
      </c>
      <c r="AZ121">
        <v>6</v>
      </c>
      <c r="BB121">
        <v>14.2857</v>
      </c>
      <c r="BD121" s="19">
        <v>2.6110000000000002</v>
      </c>
      <c r="BE121" s="19">
        <v>75.943399999999997</v>
      </c>
      <c r="BG121" s="23">
        <v>20.213000000000001</v>
      </c>
      <c r="BH121" s="20"/>
      <c r="BI121" s="20"/>
      <c r="BJ121" s="19">
        <v>71.698099999999997</v>
      </c>
      <c r="BN121">
        <v>6</v>
      </c>
      <c r="BO121">
        <v>13.644</v>
      </c>
      <c r="BQ121" s="19"/>
      <c r="BS121" s="20">
        <v>6.0979999999999999</v>
      </c>
      <c r="BT121" s="20">
        <v>5.835</v>
      </c>
      <c r="BU121" s="20">
        <v>16.931999999999999</v>
      </c>
      <c r="BV121" s="20">
        <v>16.565000000000001</v>
      </c>
      <c r="BW121" s="19">
        <v>77.941199999999995</v>
      </c>
      <c r="BX121">
        <v>35.1</v>
      </c>
      <c r="BY121" s="6">
        <v>3165534</v>
      </c>
      <c r="BZ121" s="5">
        <v>15636125</v>
      </c>
      <c r="CA121" s="7">
        <f t="shared" si="5"/>
        <v>4.9394904619568134</v>
      </c>
      <c r="CB121">
        <v>1344976</v>
      </c>
      <c r="CC121" s="8">
        <f t="shared" si="6"/>
        <v>11.625579192491168</v>
      </c>
      <c r="CD121" s="8">
        <f t="shared" si="7"/>
        <v>2.3535988746267593</v>
      </c>
      <c r="CE121">
        <v>9253</v>
      </c>
      <c r="CF121" s="8">
        <f t="shared" si="8"/>
        <v>342.1089376418459</v>
      </c>
      <c r="CG121" s="8">
        <f t="shared" si="9"/>
        <v>1689.8438344320762</v>
      </c>
      <c r="CH121">
        <v>92.399810000000002</v>
      </c>
    </row>
    <row r="122" spans="1:86" ht="15.5" x14ac:dyDescent="0.35">
      <c r="A122" t="s">
        <v>91</v>
      </c>
      <c r="B122">
        <v>2000</v>
      </c>
      <c r="C122" s="2">
        <v>43.3125</v>
      </c>
      <c r="D122">
        <v>113612.9</v>
      </c>
      <c r="E122">
        <v>0.43840000000000001</v>
      </c>
      <c r="F122">
        <v>12.902200000000001</v>
      </c>
      <c r="G122">
        <v>148000</v>
      </c>
      <c r="I122" s="19">
        <v>72.382999999999996</v>
      </c>
      <c r="J122" s="19">
        <v>73.2</v>
      </c>
      <c r="K122" s="19">
        <v>4.9669999999999996</v>
      </c>
      <c r="L122" s="19">
        <v>60.638300000000001</v>
      </c>
      <c r="M122" s="19">
        <v>-2717000000</v>
      </c>
      <c r="N122" s="19">
        <v>18.428100000000001</v>
      </c>
      <c r="O122">
        <v>27.834</v>
      </c>
      <c r="P122">
        <v>2.4400000000000002E-2</v>
      </c>
      <c r="Q122" s="19">
        <v>6048.8720000000003</v>
      </c>
      <c r="R122" s="19">
        <v>12543.936400000001</v>
      </c>
      <c r="S122" s="19">
        <v>4.3026999999999997</v>
      </c>
      <c r="T122" s="19">
        <v>29427.406999999999</v>
      </c>
      <c r="U122" s="19">
        <v>16328.7979</v>
      </c>
      <c r="W122" s="19">
        <v>70.491799999999998</v>
      </c>
      <c r="X122">
        <v>98</v>
      </c>
      <c r="Z122">
        <v>97</v>
      </c>
      <c r="AA122">
        <v>4.5</v>
      </c>
      <c r="AB122">
        <v>9.7799999999999994</v>
      </c>
      <c r="AC122">
        <v>74.968299999999999</v>
      </c>
      <c r="AE122">
        <v>7</v>
      </c>
      <c r="AF122">
        <v>85.255899999999997</v>
      </c>
      <c r="AG122">
        <v>14.9</v>
      </c>
      <c r="AH122">
        <v>1.22</v>
      </c>
      <c r="AI122">
        <v>5.5</v>
      </c>
      <c r="AJ122">
        <v>4.8</v>
      </c>
      <c r="AK122">
        <v>6.1</v>
      </c>
      <c r="AL122">
        <v>58.783700000000003</v>
      </c>
      <c r="AM122">
        <v>2.7</v>
      </c>
      <c r="AN122">
        <v>4420</v>
      </c>
      <c r="AO122">
        <v>0</v>
      </c>
      <c r="AP122">
        <v>99.806100000000001</v>
      </c>
      <c r="AQ122">
        <v>99.112899999999996</v>
      </c>
      <c r="AR122">
        <v>96.321899999999999</v>
      </c>
      <c r="AU122">
        <v>20.464200000000002</v>
      </c>
      <c r="AV122" s="19">
        <v>60.846600000000002</v>
      </c>
      <c r="AY122">
        <v>3</v>
      </c>
      <c r="AZ122">
        <v>5</v>
      </c>
      <c r="BA122">
        <v>85.787199999999999</v>
      </c>
      <c r="BB122">
        <v>15</v>
      </c>
      <c r="BC122">
        <v>5.0570000000000004</v>
      </c>
      <c r="BD122" s="19">
        <v>4.0110000000000001</v>
      </c>
      <c r="BE122" s="19">
        <v>74.456500000000005</v>
      </c>
      <c r="BF122">
        <v>3.8643000000000001</v>
      </c>
      <c r="BG122">
        <v>5.9</v>
      </c>
      <c r="BH122" s="20">
        <v>1.1100000000000001</v>
      </c>
      <c r="BI122" s="20">
        <v>1352.2140999999999</v>
      </c>
      <c r="BJ122" s="19">
        <v>68.656700000000001</v>
      </c>
      <c r="BK122">
        <v>0.99560000000000004</v>
      </c>
      <c r="BL122">
        <v>1.0106999999999999</v>
      </c>
      <c r="BM122">
        <v>1.0212000000000001</v>
      </c>
      <c r="BN122">
        <v>8</v>
      </c>
      <c r="BP122">
        <v>16.329999999999998</v>
      </c>
      <c r="BQ122" s="19">
        <v>97.3018</v>
      </c>
      <c r="BR122">
        <v>75.968000000000004</v>
      </c>
      <c r="BS122" s="20">
        <v>8.7639999999999993</v>
      </c>
      <c r="BT122" s="20">
        <v>8.7639999999999993</v>
      </c>
      <c r="BU122" s="20">
        <v>16.97</v>
      </c>
      <c r="BV122" s="20">
        <v>16.98</v>
      </c>
      <c r="BW122" s="19">
        <v>71.144300000000001</v>
      </c>
      <c r="BX122">
        <v>26.51</v>
      </c>
      <c r="BY122" s="6">
        <v>10863772</v>
      </c>
      <c r="BZ122" s="5">
        <v>44199616</v>
      </c>
      <c r="CA122" s="7">
        <f t="shared" si="5"/>
        <v>4.0685331024988374</v>
      </c>
      <c r="CB122">
        <v>10255063</v>
      </c>
      <c r="CC122" s="8">
        <f t="shared" si="6"/>
        <v>4.3100287145968776</v>
      </c>
      <c r="CD122" s="8">
        <f t="shared" si="7"/>
        <v>1.059356924477207</v>
      </c>
      <c r="CE122">
        <v>78871</v>
      </c>
      <c r="CF122" s="8">
        <f t="shared" si="8"/>
        <v>137.74102014682202</v>
      </c>
      <c r="CG122" s="8">
        <f t="shared" si="9"/>
        <v>560.40390003930463</v>
      </c>
      <c r="CH122">
        <v>75.615809999999996</v>
      </c>
    </row>
    <row r="123" spans="1:86" ht="15.5" x14ac:dyDescent="0.35">
      <c r="A123" t="s">
        <v>91</v>
      </c>
      <c r="B123">
        <v>2001</v>
      </c>
      <c r="C123" s="2">
        <v>42.582999999999998</v>
      </c>
      <c r="D123">
        <v>114592.4</v>
      </c>
      <c r="E123">
        <v>0.42570000000000002</v>
      </c>
      <c r="F123">
        <v>12.9419</v>
      </c>
      <c r="G123">
        <v>148000</v>
      </c>
      <c r="I123" s="19">
        <v>75.757999999999996</v>
      </c>
      <c r="J123" s="19">
        <v>76.2</v>
      </c>
      <c r="K123" s="19">
        <v>3.9790000000000001</v>
      </c>
      <c r="L123" s="19"/>
      <c r="M123" s="19">
        <v>-3273000000</v>
      </c>
      <c r="N123" s="19">
        <v>21.107399999999998</v>
      </c>
      <c r="O123">
        <v>28.902000000000001</v>
      </c>
      <c r="P123">
        <v>6.0600000000000001E-2</v>
      </c>
      <c r="Q123" s="19">
        <v>6659.0879999999997</v>
      </c>
      <c r="R123" s="19">
        <v>12958.4668</v>
      </c>
      <c r="S123" s="19">
        <v>3.3046000000000002</v>
      </c>
      <c r="T123" s="19">
        <v>30399.873100000001</v>
      </c>
      <c r="U123" s="19">
        <v>17711.335500000001</v>
      </c>
      <c r="W123" s="19"/>
      <c r="X123">
        <v>98</v>
      </c>
      <c r="Z123">
        <v>97</v>
      </c>
      <c r="AA123">
        <v>4.2</v>
      </c>
      <c r="AB123">
        <v>14.7</v>
      </c>
      <c r="AC123">
        <v>75.173199999999994</v>
      </c>
      <c r="AE123">
        <v>6</v>
      </c>
      <c r="AF123">
        <v>85.444100000000006</v>
      </c>
      <c r="AG123">
        <v>13.4</v>
      </c>
      <c r="AH123">
        <v>1.34</v>
      </c>
      <c r="AI123">
        <v>5.2</v>
      </c>
      <c r="AJ123">
        <v>4.5999999999999996</v>
      </c>
      <c r="AK123">
        <v>5.8</v>
      </c>
      <c r="AL123">
        <v>59.617400000000004</v>
      </c>
      <c r="AM123">
        <v>2.5</v>
      </c>
      <c r="AN123">
        <v>21749</v>
      </c>
      <c r="AO123">
        <v>0</v>
      </c>
      <c r="AP123">
        <v>99.805800000000005</v>
      </c>
      <c r="AQ123">
        <v>99.113100000000003</v>
      </c>
      <c r="AR123">
        <v>96.317899999999995</v>
      </c>
      <c r="AU123">
        <v>20.693899999999999</v>
      </c>
      <c r="AV123" s="19"/>
      <c r="AY123">
        <v>3</v>
      </c>
      <c r="AZ123">
        <v>5</v>
      </c>
      <c r="BA123">
        <v>85.808400000000006</v>
      </c>
      <c r="BB123">
        <v>15</v>
      </c>
      <c r="BC123">
        <v>5.1269999999999998</v>
      </c>
      <c r="BD123" s="19">
        <v>2.9169999999999998</v>
      </c>
      <c r="BE123" s="19"/>
      <c r="BF123">
        <v>4.0056000000000003</v>
      </c>
      <c r="BG123">
        <v>6.3</v>
      </c>
      <c r="BH123" s="20">
        <v>1.0987</v>
      </c>
      <c r="BI123" s="20">
        <v>1465.0525</v>
      </c>
      <c r="BJ123" s="19"/>
      <c r="BK123">
        <v>0.99099999999999999</v>
      </c>
      <c r="BL123">
        <v>1.0173000000000001</v>
      </c>
      <c r="BM123">
        <v>1.0342</v>
      </c>
      <c r="BN123">
        <v>8</v>
      </c>
      <c r="BO123">
        <v>64.016999999999996</v>
      </c>
      <c r="BP123">
        <v>16.18</v>
      </c>
      <c r="BQ123" s="19">
        <v>99.473299999999995</v>
      </c>
      <c r="BR123">
        <v>77.502099999999999</v>
      </c>
      <c r="BS123" s="20">
        <v>8.1280000000000001</v>
      </c>
      <c r="BT123" s="20">
        <v>8.1280000000000001</v>
      </c>
      <c r="BU123" s="20">
        <v>16.556999999999999</v>
      </c>
      <c r="BV123" s="20">
        <v>16.559999999999999</v>
      </c>
      <c r="BW123" s="19"/>
      <c r="BX123">
        <v>25.22</v>
      </c>
      <c r="BY123" s="6">
        <v>11283185</v>
      </c>
      <c r="BZ123" s="5">
        <v>39122187</v>
      </c>
      <c r="CA123" s="7">
        <f t="shared" si="5"/>
        <v>3.4672999689360759</v>
      </c>
      <c r="CB123">
        <v>10216605</v>
      </c>
      <c r="CC123" s="8">
        <f t="shared" si="6"/>
        <v>3.8292746954590102</v>
      </c>
      <c r="CD123" s="8">
        <f t="shared" si="7"/>
        <v>1.1043967149557019</v>
      </c>
      <c r="CE123">
        <v>78871</v>
      </c>
      <c r="CF123" s="8">
        <f t="shared" si="8"/>
        <v>143.05872881033588</v>
      </c>
      <c r="CG123" s="8">
        <f t="shared" si="9"/>
        <v>496.02752596011209</v>
      </c>
      <c r="CH123">
        <v>80.17962</v>
      </c>
    </row>
    <row r="124" spans="1:86" ht="15.5" x14ac:dyDescent="0.35">
      <c r="A124" t="s">
        <v>91</v>
      </c>
      <c r="B124">
        <v>2002</v>
      </c>
      <c r="C124" s="2">
        <v>41.890500000000003</v>
      </c>
      <c r="D124">
        <v>117598.6</v>
      </c>
      <c r="E124">
        <v>0.40410000000000001</v>
      </c>
      <c r="F124">
        <v>12.4937</v>
      </c>
      <c r="G124">
        <v>144000</v>
      </c>
      <c r="I124" s="19">
        <v>77.2</v>
      </c>
      <c r="J124" s="19">
        <v>76.7</v>
      </c>
      <c r="K124" s="19">
        <v>4.1139999999999999</v>
      </c>
      <c r="L124" s="19">
        <v>67.724900000000005</v>
      </c>
      <c r="M124" s="19">
        <v>-4165000000</v>
      </c>
      <c r="N124" s="19">
        <v>24.3809</v>
      </c>
      <c r="O124">
        <v>28.766999999999999</v>
      </c>
      <c r="P124">
        <v>0.14940000000000001</v>
      </c>
      <c r="Q124" s="19">
        <v>8096.6859999999997</v>
      </c>
      <c r="R124" s="19">
        <v>13179.987800000001</v>
      </c>
      <c r="S124" s="19">
        <v>1.7095</v>
      </c>
      <c r="T124" s="19">
        <v>30919.5497</v>
      </c>
      <c r="U124" s="19">
        <v>18344.032899999998</v>
      </c>
      <c r="V124">
        <v>26.6</v>
      </c>
      <c r="W124" s="19">
        <v>81.081100000000006</v>
      </c>
      <c r="X124">
        <v>98</v>
      </c>
      <c r="Y124">
        <v>86</v>
      </c>
      <c r="Z124">
        <v>98</v>
      </c>
      <c r="AA124">
        <v>4.0999999999999996</v>
      </c>
      <c r="AB124">
        <v>23.9</v>
      </c>
      <c r="AC124">
        <v>75.221999999999994</v>
      </c>
      <c r="AD124">
        <v>93.766599999999997</v>
      </c>
      <c r="AE124">
        <v>6</v>
      </c>
      <c r="AF124">
        <v>85.647999999999996</v>
      </c>
      <c r="AG124">
        <v>14.4</v>
      </c>
      <c r="AH124">
        <v>1.23</v>
      </c>
      <c r="AI124">
        <v>5</v>
      </c>
      <c r="AJ124">
        <v>4.4000000000000004</v>
      </c>
      <c r="AK124">
        <v>5.5</v>
      </c>
      <c r="AL124">
        <v>60.402700000000003</v>
      </c>
      <c r="AM124">
        <v>2.4</v>
      </c>
      <c r="AN124">
        <v>26089</v>
      </c>
      <c r="AO124">
        <v>0</v>
      </c>
      <c r="AP124">
        <v>99.811400000000006</v>
      </c>
      <c r="AQ124">
        <v>99.114999999999995</v>
      </c>
      <c r="AR124">
        <v>96.4358</v>
      </c>
      <c r="AU124">
        <v>21.157499999999999</v>
      </c>
      <c r="AV124" s="19">
        <v>83.068799999999996</v>
      </c>
      <c r="AW124">
        <v>0</v>
      </c>
      <c r="AY124">
        <v>3</v>
      </c>
      <c r="AZ124">
        <v>5</v>
      </c>
      <c r="BA124">
        <v>85.8322</v>
      </c>
      <c r="BB124">
        <v>17</v>
      </c>
      <c r="BC124">
        <v>5.4406999999999996</v>
      </c>
      <c r="BD124" s="19">
        <v>1.5129999999999999</v>
      </c>
      <c r="BE124" s="19">
        <v>83.243200000000002</v>
      </c>
      <c r="BF124">
        <v>4.3893000000000004</v>
      </c>
      <c r="BG124">
        <v>7.3</v>
      </c>
      <c r="BH124" s="20">
        <v>1.0982000000000001</v>
      </c>
      <c r="BI124" s="20">
        <v>1463.1328000000001</v>
      </c>
      <c r="BJ124" s="19">
        <v>78.109499999999997</v>
      </c>
      <c r="BK124">
        <v>0.98729999999999996</v>
      </c>
      <c r="BL124">
        <v>1.0143</v>
      </c>
      <c r="BM124">
        <v>1.0309999999999999</v>
      </c>
      <c r="BN124">
        <v>8</v>
      </c>
      <c r="BO124">
        <v>14.634</v>
      </c>
      <c r="BP124">
        <v>15.37</v>
      </c>
      <c r="BQ124" s="19">
        <v>102.1018</v>
      </c>
      <c r="BR124">
        <v>79.470699999999994</v>
      </c>
      <c r="BS124" s="20">
        <v>7.28</v>
      </c>
      <c r="BT124" s="20">
        <v>7.2809999999999997</v>
      </c>
      <c r="BU124" s="20">
        <v>15.981999999999999</v>
      </c>
      <c r="BV124" s="20">
        <v>15.993</v>
      </c>
      <c r="BW124" s="19">
        <v>76.616900000000001</v>
      </c>
      <c r="BX124">
        <v>26.08</v>
      </c>
      <c r="BY124" s="6">
        <v>10415255</v>
      </c>
      <c r="BZ124" s="5">
        <v>37109835</v>
      </c>
      <c r="CA124" s="7">
        <f t="shared" si="5"/>
        <v>3.5630270214219433</v>
      </c>
      <c r="CB124">
        <v>10196916</v>
      </c>
      <c r="CC124" s="8">
        <f t="shared" si="6"/>
        <v>3.6393194765946881</v>
      </c>
      <c r="CD124" s="8">
        <f t="shared" si="7"/>
        <v>1.0214122583730219</v>
      </c>
      <c r="CE124">
        <v>78871</v>
      </c>
      <c r="CF124" s="8">
        <f t="shared" si="8"/>
        <v>132.05430386327041</v>
      </c>
      <c r="CG124" s="8">
        <f t="shared" si="9"/>
        <v>470.51305295989653</v>
      </c>
      <c r="CH124">
        <v>88.164900000000003</v>
      </c>
    </row>
    <row r="125" spans="1:86" ht="15.5" x14ac:dyDescent="0.35">
      <c r="A125" t="s">
        <v>91</v>
      </c>
      <c r="B125">
        <v>2003</v>
      </c>
      <c r="C125" s="2">
        <v>41.232300000000002</v>
      </c>
      <c r="D125">
        <v>120328.5</v>
      </c>
      <c r="E125">
        <v>0.4012</v>
      </c>
      <c r="F125">
        <v>12.817600000000001</v>
      </c>
      <c r="G125">
        <v>147000</v>
      </c>
      <c r="I125" s="19">
        <v>77.292000000000002</v>
      </c>
      <c r="J125" s="19">
        <v>77.5</v>
      </c>
      <c r="K125" s="19">
        <v>3.5779999999999998</v>
      </c>
      <c r="L125" s="19">
        <v>71.428600000000003</v>
      </c>
      <c r="M125" s="19">
        <v>-5696000000</v>
      </c>
      <c r="N125" s="19">
        <v>30.8476</v>
      </c>
      <c r="O125">
        <v>30.373000000000001</v>
      </c>
      <c r="P125">
        <v>0.33850000000000002</v>
      </c>
      <c r="Q125" s="19">
        <v>9857.1910000000007</v>
      </c>
      <c r="R125" s="19">
        <v>13618.934999999999</v>
      </c>
      <c r="S125" s="19">
        <v>3.3304</v>
      </c>
      <c r="T125" s="19">
        <v>31949.296300000002</v>
      </c>
      <c r="U125" s="19">
        <v>19606.589400000001</v>
      </c>
      <c r="W125" s="19">
        <v>78.918899999999994</v>
      </c>
      <c r="X125">
        <v>97</v>
      </c>
      <c r="Y125">
        <v>92</v>
      </c>
      <c r="Z125">
        <v>97</v>
      </c>
      <c r="AA125">
        <v>3.9</v>
      </c>
      <c r="AB125">
        <v>34.299999999999997</v>
      </c>
      <c r="AC125">
        <v>75.170699999999997</v>
      </c>
      <c r="AD125">
        <v>91.393900000000002</v>
      </c>
      <c r="AE125">
        <v>6</v>
      </c>
      <c r="AF125">
        <v>85.672799999999995</v>
      </c>
      <c r="AG125">
        <v>14.6</v>
      </c>
      <c r="AH125">
        <v>1.0900000000000001</v>
      </c>
      <c r="AI125">
        <v>4.8</v>
      </c>
      <c r="AJ125">
        <v>4.2</v>
      </c>
      <c r="AK125">
        <v>5.3</v>
      </c>
      <c r="AL125">
        <v>60.8078</v>
      </c>
      <c r="AM125">
        <v>2.4</v>
      </c>
      <c r="AN125">
        <v>25997</v>
      </c>
      <c r="AO125">
        <v>0</v>
      </c>
      <c r="AP125">
        <v>99.816999999999993</v>
      </c>
      <c r="AQ125">
        <v>99.116900000000001</v>
      </c>
      <c r="AR125">
        <v>96.554100000000005</v>
      </c>
      <c r="AU125">
        <v>21.691299999999998</v>
      </c>
      <c r="AV125" s="19">
        <v>76.884399999999999</v>
      </c>
      <c r="AY125">
        <v>3</v>
      </c>
      <c r="AZ125">
        <v>5</v>
      </c>
      <c r="BA125">
        <v>85.856899999999996</v>
      </c>
      <c r="BB125">
        <v>17</v>
      </c>
      <c r="BC125">
        <v>5.7073999999999998</v>
      </c>
      <c r="BD125" s="19">
        <v>3.3010000000000002</v>
      </c>
      <c r="BE125" s="19">
        <v>82.162199999999999</v>
      </c>
      <c r="BF125">
        <v>2.7515999999999998</v>
      </c>
      <c r="BG125">
        <v>6.7</v>
      </c>
      <c r="BH125" s="20">
        <v>1.1420999999999999</v>
      </c>
      <c r="BI125" s="20">
        <v>1543.1344999999999</v>
      </c>
      <c r="BJ125" s="19">
        <v>79.602000000000004</v>
      </c>
      <c r="BK125">
        <v>0.98419999999999996</v>
      </c>
      <c r="BL125">
        <v>1.0125999999999999</v>
      </c>
      <c r="BM125">
        <v>1.0290999999999999</v>
      </c>
      <c r="BN125">
        <v>8</v>
      </c>
      <c r="BO125">
        <v>13.96</v>
      </c>
      <c r="BP125">
        <v>17.09</v>
      </c>
      <c r="BQ125" s="19">
        <v>102.94589999999999</v>
      </c>
      <c r="BR125">
        <v>77.714600000000004</v>
      </c>
      <c r="BS125" s="20">
        <v>7.7770000000000001</v>
      </c>
      <c r="BT125" s="20">
        <v>7.7770000000000001</v>
      </c>
      <c r="BU125" s="20">
        <v>17.555</v>
      </c>
      <c r="BV125" s="20">
        <v>17.57</v>
      </c>
      <c r="BW125" s="19">
        <v>79.602000000000004</v>
      </c>
      <c r="BX125">
        <v>26.63</v>
      </c>
      <c r="BY125" s="6">
        <v>11346482</v>
      </c>
      <c r="BZ125" s="5">
        <v>39343250</v>
      </c>
      <c r="CA125" s="7">
        <f t="shared" si="5"/>
        <v>3.4674403925375286</v>
      </c>
      <c r="CB125">
        <v>10193998</v>
      </c>
      <c r="CC125" s="8">
        <f t="shared" si="6"/>
        <v>3.8594523954193436</v>
      </c>
      <c r="CD125" s="8">
        <f t="shared" si="7"/>
        <v>1.1130551526496277</v>
      </c>
      <c r="CE125">
        <v>78871</v>
      </c>
      <c r="CF125" s="8">
        <f t="shared" si="8"/>
        <v>143.86126713240608</v>
      </c>
      <c r="CG125" s="8">
        <f t="shared" si="9"/>
        <v>498.83036857653639</v>
      </c>
      <c r="CH125">
        <v>84.086939999999998</v>
      </c>
    </row>
    <row r="126" spans="1:86" ht="15.5" x14ac:dyDescent="0.35">
      <c r="A126" t="s">
        <v>91</v>
      </c>
      <c r="B126">
        <v>2004</v>
      </c>
      <c r="C126" s="2">
        <v>40.702199999999998</v>
      </c>
      <c r="D126">
        <v>120138</v>
      </c>
      <c r="E126">
        <v>0.3856</v>
      </c>
      <c r="F126">
        <v>12.898400000000001</v>
      </c>
      <c r="G126">
        <v>148000</v>
      </c>
      <c r="H126">
        <v>9</v>
      </c>
      <c r="I126" s="19">
        <v>79.424999999999997</v>
      </c>
      <c r="J126" s="19">
        <v>79.599999999999994</v>
      </c>
      <c r="K126" s="19">
        <v>4.0730000000000004</v>
      </c>
      <c r="L126" s="19">
        <v>68.472899999999996</v>
      </c>
      <c r="M126" s="19">
        <v>-4452000000</v>
      </c>
      <c r="N126" s="19">
        <v>43.696199999999997</v>
      </c>
      <c r="O126">
        <v>29.420999999999999</v>
      </c>
      <c r="P126">
        <v>2.2997999999999998</v>
      </c>
      <c r="Q126" s="19">
        <v>11784.605</v>
      </c>
      <c r="R126" s="19">
        <v>14259.633400000001</v>
      </c>
      <c r="S126" s="19">
        <v>4.7045000000000003</v>
      </c>
      <c r="T126" s="19">
        <v>33452.340799999998</v>
      </c>
      <c r="U126" s="19">
        <v>20990.932799999999</v>
      </c>
      <c r="V126">
        <v>27.5</v>
      </c>
      <c r="W126" s="19">
        <v>79.104500000000002</v>
      </c>
      <c r="X126">
        <v>98</v>
      </c>
      <c r="Y126">
        <v>98</v>
      </c>
      <c r="Z126">
        <v>97</v>
      </c>
      <c r="AA126">
        <v>3.7</v>
      </c>
      <c r="AB126">
        <v>35.5</v>
      </c>
      <c r="AC126">
        <v>75.721999999999994</v>
      </c>
      <c r="AD126">
        <v>93.398600000000002</v>
      </c>
      <c r="AE126">
        <v>5</v>
      </c>
      <c r="AF126">
        <v>85.929100000000005</v>
      </c>
      <c r="AG126">
        <v>13.9</v>
      </c>
      <c r="AH126">
        <v>0.99</v>
      </c>
      <c r="AI126">
        <v>4.5999999999999996</v>
      </c>
      <c r="AJ126">
        <v>4</v>
      </c>
      <c r="AK126">
        <v>5.0999999999999996</v>
      </c>
      <c r="AL126">
        <v>60.537300000000002</v>
      </c>
      <c r="AM126">
        <v>2.2999999999999998</v>
      </c>
      <c r="AN126">
        <v>26030</v>
      </c>
      <c r="AO126">
        <v>0</v>
      </c>
      <c r="AP126">
        <v>99.822599999999994</v>
      </c>
      <c r="AQ126">
        <v>99.118799999999993</v>
      </c>
      <c r="AR126">
        <v>96.672700000000006</v>
      </c>
      <c r="AU126">
        <v>22.131499999999999</v>
      </c>
      <c r="AV126" s="19">
        <v>68.446600000000004</v>
      </c>
      <c r="AW126">
        <v>0</v>
      </c>
      <c r="AX126">
        <v>10.4</v>
      </c>
      <c r="AY126">
        <v>3</v>
      </c>
      <c r="AZ126">
        <v>5</v>
      </c>
      <c r="BA126">
        <v>85.882300000000001</v>
      </c>
      <c r="BB126">
        <v>17</v>
      </c>
      <c r="BC126">
        <v>5.5633999999999997</v>
      </c>
      <c r="BD126" s="19">
        <v>4.7359999999999998</v>
      </c>
      <c r="BE126" s="19">
        <v>79.104500000000002</v>
      </c>
      <c r="BF126">
        <v>3.895</v>
      </c>
      <c r="BG126">
        <v>7.1</v>
      </c>
      <c r="BH126" s="20">
        <v>1.1394</v>
      </c>
      <c r="BI126" s="20">
        <v>1589.7319</v>
      </c>
      <c r="BJ126" s="19">
        <v>70.192300000000003</v>
      </c>
      <c r="BK126">
        <v>0.98619999999999997</v>
      </c>
      <c r="BL126">
        <v>1.0055000000000001</v>
      </c>
      <c r="BM126">
        <v>1.0161</v>
      </c>
      <c r="BN126">
        <v>8</v>
      </c>
      <c r="BO126">
        <v>13.821999999999999</v>
      </c>
      <c r="BP126">
        <v>16.440000000000001</v>
      </c>
      <c r="BQ126" s="19">
        <v>105.7978</v>
      </c>
      <c r="BR126">
        <v>74.456100000000006</v>
      </c>
      <c r="BS126" s="20">
        <v>8.298</v>
      </c>
      <c r="BT126" s="20">
        <v>8.298</v>
      </c>
      <c r="BU126" s="20">
        <v>20.376999999999999</v>
      </c>
      <c r="BV126" s="20">
        <v>20.391999999999999</v>
      </c>
      <c r="BW126" s="19">
        <v>80.288499999999999</v>
      </c>
      <c r="BX126">
        <v>24.55</v>
      </c>
      <c r="BY126" s="6">
        <v>12219689</v>
      </c>
      <c r="BZ126" s="5">
        <v>40780708</v>
      </c>
      <c r="CA126" s="7">
        <f t="shared" si="5"/>
        <v>3.33729508173244</v>
      </c>
      <c r="CB126">
        <v>10197101</v>
      </c>
      <c r="CC126" s="8">
        <f t="shared" si="6"/>
        <v>3.9992452756915911</v>
      </c>
      <c r="CD126" s="8">
        <f t="shared" si="7"/>
        <v>1.1983493151632019</v>
      </c>
      <c r="CE126">
        <v>78871</v>
      </c>
      <c r="CF126" s="8">
        <f t="shared" si="8"/>
        <v>154.93259880057309</v>
      </c>
      <c r="CG126" s="8">
        <f t="shared" si="9"/>
        <v>517.05579997717791</v>
      </c>
      <c r="CH126">
        <v>84.146000000000001</v>
      </c>
    </row>
    <row r="127" spans="1:86" ht="15.5" x14ac:dyDescent="0.35">
      <c r="A127" t="s">
        <v>91</v>
      </c>
      <c r="B127">
        <v>2005</v>
      </c>
      <c r="C127" s="2">
        <v>40.384700000000002</v>
      </c>
      <c r="D127">
        <v>119361.9</v>
      </c>
      <c r="E127">
        <v>0.35560000000000003</v>
      </c>
      <c r="F127">
        <v>12.6373</v>
      </c>
      <c r="G127">
        <v>146000</v>
      </c>
      <c r="H127">
        <v>9</v>
      </c>
      <c r="I127" s="19">
        <v>80.900000000000006</v>
      </c>
      <c r="J127" s="19">
        <v>81.400000000000006</v>
      </c>
      <c r="K127" s="19">
        <v>3.875</v>
      </c>
      <c r="L127" s="19">
        <v>68.780500000000004</v>
      </c>
      <c r="M127" s="19">
        <v>-2869000000</v>
      </c>
      <c r="N127" s="19">
        <v>49.475200000000001</v>
      </c>
      <c r="O127">
        <v>31.596</v>
      </c>
      <c r="P127">
        <v>6.8974000000000002</v>
      </c>
      <c r="Q127" s="19">
        <v>13458.775</v>
      </c>
      <c r="R127" s="19">
        <v>15147.7214</v>
      </c>
      <c r="S127" s="19">
        <v>6.2279999999999998</v>
      </c>
      <c r="T127" s="19">
        <v>35535.748</v>
      </c>
      <c r="U127" s="19">
        <v>22114.836299999999</v>
      </c>
      <c r="V127">
        <v>26.9</v>
      </c>
      <c r="W127" s="19">
        <v>76.960800000000006</v>
      </c>
      <c r="X127">
        <v>97</v>
      </c>
      <c r="Y127">
        <v>99</v>
      </c>
      <c r="Z127">
        <v>97</v>
      </c>
      <c r="AA127">
        <v>3.5</v>
      </c>
      <c r="AB127">
        <v>35.299999999999997</v>
      </c>
      <c r="AC127">
        <v>75.924400000000006</v>
      </c>
      <c r="AD127">
        <v>90.188400000000001</v>
      </c>
      <c r="AE127">
        <v>5</v>
      </c>
      <c r="AF127">
        <v>86.979799999999997</v>
      </c>
      <c r="AG127">
        <v>12.9</v>
      </c>
      <c r="AH127">
        <v>1.1000000000000001</v>
      </c>
      <c r="AI127">
        <v>4.4000000000000004</v>
      </c>
      <c r="AJ127">
        <v>3.8</v>
      </c>
      <c r="AK127">
        <v>4.9000000000000004</v>
      </c>
      <c r="AL127">
        <v>60.902700000000003</v>
      </c>
      <c r="AM127">
        <v>2.2000000000000002</v>
      </c>
      <c r="AN127">
        <v>26203</v>
      </c>
      <c r="AO127">
        <v>0</v>
      </c>
      <c r="AP127">
        <v>99.828199999999995</v>
      </c>
      <c r="AQ127">
        <v>99.120699999999999</v>
      </c>
      <c r="AR127">
        <v>96.791700000000006</v>
      </c>
      <c r="AU127">
        <v>22.314699999999998</v>
      </c>
      <c r="AV127" s="19">
        <v>77.669899999999998</v>
      </c>
      <c r="AW127">
        <v>0</v>
      </c>
      <c r="AX127">
        <v>9.9</v>
      </c>
      <c r="AY127">
        <v>3</v>
      </c>
      <c r="AZ127">
        <v>5</v>
      </c>
      <c r="BA127">
        <v>85.908600000000007</v>
      </c>
      <c r="BB127">
        <v>17</v>
      </c>
      <c r="BC127">
        <v>5.4040999999999997</v>
      </c>
      <c r="BD127" s="19">
        <v>6.375</v>
      </c>
      <c r="BE127" s="19">
        <v>80.392200000000003</v>
      </c>
      <c r="BF127">
        <v>4.5770999999999997</v>
      </c>
      <c r="BG127">
        <v>7.5</v>
      </c>
      <c r="BH127" s="20">
        <v>1.161</v>
      </c>
      <c r="BI127" s="20">
        <v>2353.4104000000002</v>
      </c>
      <c r="BJ127" s="19">
        <v>78.468900000000005</v>
      </c>
      <c r="BK127">
        <v>0.98580000000000001</v>
      </c>
      <c r="BL127">
        <v>1.0072000000000001</v>
      </c>
      <c r="BM127">
        <v>1.0185</v>
      </c>
      <c r="BN127">
        <v>8</v>
      </c>
      <c r="BO127">
        <v>13.407999999999999</v>
      </c>
      <c r="BP127">
        <v>15.88</v>
      </c>
      <c r="BQ127" s="19">
        <v>105.0171</v>
      </c>
      <c r="BR127">
        <v>75.285200000000003</v>
      </c>
      <c r="BS127" s="20">
        <v>7.9269999999999996</v>
      </c>
      <c r="BT127" s="20">
        <v>7.9269999999999996</v>
      </c>
      <c r="BU127" s="20">
        <v>19.248000000000001</v>
      </c>
      <c r="BV127" s="20">
        <v>19.271000000000001</v>
      </c>
      <c r="BW127" s="19">
        <v>75.961500000000001</v>
      </c>
      <c r="BX127">
        <v>22.5</v>
      </c>
      <c r="BY127" s="6">
        <v>12361793</v>
      </c>
      <c r="BZ127" s="5">
        <v>40320477</v>
      </c>
      <c r="CA127" s="7">
        <f t="shared" si="5"/>
        <v>3.2617013567530213</v>
      </c>
      <c r="CB127">
        <v>10211216</v>
      </c>
      <c r="CC127" s="8">
        <f t="shared" si="6"/>
        <v>3.9486459790880928</v>
      </c>
      <c r="CD127" s="8">
        <f t="shared" si="7"/>
        <v>1.2106092947206288</v>
      </c>
      <c r="CE127">
        <v>78871</v>
      </c>
      <c r="CF127" s="8">
        <f t="shared" si="8"/>
        <v>156.73432567103245</v>
      </c>
      <c r="CG127" s="8">
        <f t="shared" si="9"/>
        <v>511.22056269097641</v>
      </c>
      <c r="CH127">
        <v>88.814130000000006</v>
      </c>
    </row>
    <row r="128" spans="1:86" ht="15.5" x14ac:dyDescent="0.35">
      <c r="A128" t="s">
        <v>91</v>
      </c>
      <c r="B128">
        <v>2006</v>
      </c>
      <c r="C128" s="2">
        <v>40.25</v>
      </c>
      <c r="D128">
        <v>119137.7</v>
      </c>
      <c r="E128">
        <v>0.33800000000000002</v>
      </c>
      <c r="F128">
        <v>12.773300000000001</v>
      </c>
      <c r="G128">
        <v>147000</v>
      </c>
      <c r="H128">
        <v>9</v>
      </c>
      <c r="I128" s="19">
        <v>82.95</v>
      </c>
      <c r="J128" s="19">
        <v>82.8</v>
      </c>
      <c r="K128" s="19">
        <v>3.7789999999999999</v>
      </c>
      <c r="L128" s="19">
        <v>67.804900000000004</v>
      </c>
      <c r="M128" s="19">
        <v>-3834000000</v>
      </c>
      <c r="N128" s="19">
        <v>60.128100000000003</v>
      </c>
      <c r="O128">
        <v>30.696999999999999</v>
      </c>
      <c r="P128">
        <v>10.796200000000001</v>
      </c>
      <c r="Q128" s="19">
        <v>15281.950999999999</v>
      </c>
      <c r="R128" s="19">
        <v>16107.3043</v>
      </c>
      <c r="S128" s="19">
        <v>6.3348000000000004</v>
      </c>
      <c r="T128" s="19">
        <v>37786.878199999999</v>
      </c>
      <c r="U128" s="19">
        <v>23919.292700000002</v>
      </c>
      <c r="V128">
        <v>26.7</v>
      </c>
      <c r="W128" s="19">
        <v>83.414599999999993</v>
      </c>
      <c r="X128">
        <v>98</v>
      </c>
      <c r="Y128">
        <v>98</v>
      </c>
      <c r="Z128">
        <v>97</v>
      </c>
      <c r="AA128">
        <v>3.3</v>
      </c>
      <c r="AB128">
        <v>47.9</v>
      </c>
      <c r="AC128">
        <v>76.5244</v>
      </c>
      <c r="AD128">
        <v>97.144199999999998</v>
      </c>
      <c r="AE128">
        <v>5</v>
      </c>
      <c r="AF128">
        <v>87.11</v>
      </c>
      <c r="AG128">
        <v>10.6</v>
      </c>
      <c r="AH128">
        <v>0.88</v>
      </c>
      <c r="AI128">
        <v>4.0999999999999996</v>
      </c>
      <c r="AJ128">
        <v>3.6</v>
      </c>
      <c r="AK128">
        <v>4.5999999999999996</v>
      </c>
      <c r="AL128">
        <v>61.3583</v>
      </c>
      <c r="AM128">
        <v>2.1</v>
      </c>
      <c r="AN128">
        <v>26259</v>
      </c>
      <c r="AO128">
        <v>0</v>
      </c>
      <c r="AP128">
        <v>99.833799999999997</v>
      </c>
      <c r="AQ128">
        <v>99.122600000000006</v>
      </c>
      <c r="AR128">
        <v>96.911000000000001</v>
      </c>
      <c r="AU128">
        <v>22.168299999999999</v>
      </c>
      <c r="AV128" s="19">
        <v>85.507199999999997</v>
      </c>
      <c r="AW128">
        <v>0.1</v>
      </c>
      <c r="AX128">
        <v>9.6</v>
      </c>
      <c r="AY128">
        <v>3</v>
      </c>
      <c r="AZ128">
        <v>5</v>
      </c>
      <c r="BA128">
        <v>85.935699999999997</v>
      </c>
      <c r="BB128">
        <v>15.5</v>
      </c>
      <c r="BC128">
        <v>5.2702</v>
      </c>
      <c r="BD128" s="19">
        <v>6.6230000000000002</v>
      </c>
      <c r="BE128" s="19">
        <v>83.333299999999994</v>
      </c>
      <c r="BF128">
        <v>5.0110000000000001</v>
      </c>
      <c r="BG128">
        <v>7.9</v>
      </c>
      <c r="BH128" s="20">
        <v>1.2254</v>
      </c>
      <c r="BI128" s="20">
        <v>2552.5785999999998</v>
      </c>
      <c r="BJ128" s="19">
        <v>74.641199999999998</v>
      </c>
      <c r="BK128">
        <v>0.99209999999999998</v>
      </c>
      <c r="BL128">
        <v>1.0087999999999999</v>
      </c>
      <c r="BM128">
        <v>1.0170999999999999</v>
      </c>
      <c r="BN128">
        <v>8</v>
      </c>
      <c r="BO128">
        <v>9.4849999999999994</v>
      </c>
      <c r="BP128">
        <v>14.56</v>
      </c>
      <c r="BQ128" s="19">
        <v>103.0125</v>
      </c>
      <c r="BR128">
        <v>77.622799999999998</v>
      </c>
      <c r="BS128" s="20">
        <v>7.141</v>
      </c>
      <c r="BT128" s="20">
        <v>7.141</v>
      </c>
      <c r="BU128" s="20">
        <v>17.446999999999999</v>
      </c>
      <c r="BV128" s="20">
        <v>17.466999999999999</v>
      </c>
      <c r="BW128" s="19">
        <v>77.403800000000004</v>
      </c>
      <c r="BX128">
        <v>20.81</v>
      </c>
      <c r="BY128" s="6">
        <v>12724926</v>
      </c>
      <c r="BZ128" s="5">
        <v>41447797</v>
      </c>
      <c r="CA128" s="7">
        <f t="shared" si="5"/>
        <v>3.2572132050119582</v>
      </c>
      <c r="CB128">
        <v>10238905</v>
      </c>
      <c r="CC128" s="8">
        <f t="shared" si="6"/>
        <v>4.0480693003792885</v>
      </c>
      <c r="CD128" s="8">
        <f t="shared" si="7"/>
        <v>1.2428014519130708</v>
      </c>
      <c r="CE128">
        <v>78871</v>
      </c>
      <c r="CF128" s="8">
        <f t="shared" si="8"/>
        <v>161.33846407424781</v>
      </c>
      <c r="CG128" s="8">
        <f t="shared" si="9"/>
        <v>525.51377565898747</v>
      </c>
      <c r="CH128">
        <v>93.086029999999994</v>
      </c>
    </row>
    <row r="129" spans="1:86" ht="15.5" x14ac:dyDescent="0.35">
      <c r="A129" t="s">
        <v>91</v>
      </c>
      <c r="B129">
        <v>2007</v>
      </c>
      <c r="C129" s="2">
        <v>40.368600000000001</v>
      </c>
      <c r="D129">
        <v>120472.1</v>
      </c>
      <c r="E129">
        <v>0.32419999999999999</v>
      </c>
      <c r="F129">
        <v>12.849</v>
      </c>
      <c r="G129">
        <v>149000</v>
      </c>
      <c r="H129">
        <v>9</v>
      </c>
      <c r="I129" s="19">
        <v>85.316999999999993</v>
      </c>
      <c r="J129" s="19">
        <v>87.3</v>
      </c>
      <c r="K129" s="19">
        <v>5.1950000000000003</v>
      </c>
      <c r="L129" s="19">
        <v>66.990300000000005</v>
      </c>
      <c r="M129" s="19">
        <v>-8718000000</v>
      </c>
      <c r="N129" s="19">
        <v>77.590699999999998</v>
      </c>
      <c r="O129">
        <v>29.5</v>
      </c>
      <c r="P129">
        <v>14.4785</v>
      </c>
      <c r="Q129" s="19">
        <v>18513.803</v>
      </c>
      <c r="R129" s="19">
        <v>16892.5429</v>
      </c>
      <c r="S129" s="19">
        <v>4.875</v>
      </c>
      <c r="T129" s="19">
        <v>39629.006099999999</v>
      </c>
      <c r="U129" s="19">
        <v>26268.565299999998</v>
      </c>
      <c r="V129">
        <v>26</v>
      </c>
      <c r="W129" s="19">
        <v>77.669899999999998</v>
      </c>
      <c r="X129">
        <v>99</v>
      </c>
      <c r="Y129">
        <v>99</v>
      </c>
      <c r="Z129">
        <v>98</v>
      </c>
      <c r="AA129">
        <v>3.2</v>
      </c>
      <c r="AB129">
        <v>51.9</v>
      </c>
      <c r="AC129">
        <v>76.724400000000003</v>
      </c>
      <c r="AD129">
        <v>97.116100000000003</v>
      </c>
      <c r="AE129">
        <v>4</v>
      </c>
      <c r="AF129">
        <v>87.188100000000006</v>
      </c>
      <c r="AG129">
        <v>12.2</v>
      </c>
      <c r="AH129">
        <v>0.87</v>
      </c>
      <c r="AI129">
        <v>3.9</v>
      </c>
      <c r="AJ129">
        <v>3.4</v>
      </c>
      <c r="AK129">
        <v>4.4000000000000004</v>
      </c>
      <c r="AL129">
        <v>61.892299999999999</v>
      </c>
      <c r="AM129">
        <v>2</v>
      </c>
      <c r="AN129">
        <v>27887</v>
      </c>
      <c r="AO129">
        <v>0</v>
      </c>
      <c r="AP129">
        <v>99.839500000000001</v>
      </c>
      <c r="AQ129">
        <v>99.124499999999998</v>
      </c>
      <c r="AR129">
        <v>97.030699999999996</v>
      </c>
      <c r="AU129">
        <v>21.819299999999998</v>
      </c>
      <c r="AV129" s="19">
        <v>83.091800000000006</v>
      </c>
      <c r="AW129">
        <v>0.1</v>
      </c>
      <c r="AX129">
        <v>9</v>
      </c>
      <c r="AY129">
        <v>3</v>
      </c>
      <c r="AZ129">
        <v>5</v>
      </c>
      <c r="BA129">
        <v>85.963700000000003</v>
      </c>
      <c r="BB129">
        <v>15.5</v>
      </c>
      <c r="BC129">
        <v>5.0156000000000001</v>
      </c>
      <c r="BD129" s="19">
        <v>5.4889999999999999</v>
      </c>
      <c r="BE129" s="19">
        <v>82.038799999999995</v>
      </c>
      <c r="BF129">
        <v>4.3590999999999998</v>
      </c>
      <c r="BG129">
        <v>8.3000000000000007</v>
      </c>
      <c r="BH129" s="20">
        <v>1.2957000000000001</v>
      </c>
      <c r="BI129" s="20">
        <v>2701.6855</v>
      </c>
      <c r="BJ129" s="19">
        <v>78.947400000000002</v>
      </c>
      <c r="BK129">
        <v>0.99250000000000005</v>
      </c>
      <c r="BL129">
        <v>1.0071000000000001</v>
      </c>
      <c r="BM129">
        <v>1.0144</v>
      </c>
      <c r="BN129">
        <v>8</v>
      </c>
      <c r="BO129">
        <v>7.1029999999999998</v>
      </c>
      <c r="BP129">
        <v>14.26</v>
      </c>
      <c r="BQ129" s="19">
        <v>102.5727</v>
      </c>
      <c r="BR129">
        <v>85.192700000000002</v>
      </c>
      <c r="BS129" s="20">
        <v>5.3159999999999998</v>
      </c>
      <c r="BT129" s="20">
        <v>5.3159999999999998</v>
      </c>
      <c r="BU129" s="20">
        <v>10.734</v>
      </c>
      <c r="BV129" s="20">
        <v>10.739000000000001</v>
      </c>
      <c r="BW129" s="19">
        <v>79.326899999999995</v>
      </c>
      <c r="BX129">
        <v>23.28</v>
      </c>
      <c r="BY129" s="6">
        <v>12960921</v>
      </c>
      <c r="BZ129" s="5">
        <v>40831072</v>
      </c>
      <c r="CA129" s="7">
        <f t="shared" si="5"/>
        <v>3.1503218019768813</v>
      </c>
      <c r="CB129">
        <v>10298828</v>
      </c>
      <c r="CC129" s="8">
        <f t="shared" si="6"/>
        <v>3.9646328689050834</v>
      </c>
      <c r="CD129" s="8">
        <f t="shared" si="7"/>
        <v>1.258485043152483</v>
      </c>
      <c r="CE129">
        <v>78871</v>
      </c>
      <c r="CF129" s="8">
        <f t="shared" si="8"/>
        <v>164.33062849463047</v>
      </c>
      <c r="CG129" s="8">
        <f t="shared" si="9"/>
        <v>517.69436167919764</v>
      </c>
      <c r="CH129">
        <v>94.892949999999999</v>
      </c>
    </row>
    <row r="130" spans="1:86" ht="15.5" x14ac:dyDescent="0.35">
      <c r="A130" t="s">
        <v>91</v>
      </c>
      <c r="B130">
        <v>2008</v>
      </c>
      <c r="C130" s="2">
        <v>40.826300000000003</v>
      </c>
      <c r="D130">
        <v>121821.3</v>
      </c>
      <c r="E130">
        <v>0.30109999999999998</v>
      </c>
      <c r="F130">
        <v>12.144399999999999</v>
      </c>
      <c r="G130">
        <v>144000</v>
      </c>
      <c r="H130">
        <v>9</v>
      </c>
      <c r="I130" s="19">
        <v>90.742000000000004</v>
      </c>
      <c r="J130" s="19">
        <v>90.5</v>
      </c>
      <c r="K130" s="19">
        <v>4.5810000000000004</v>
      </c>
      <c r="L130" s="19">
        <v>66.019400000000005</v>
      </c>
      <c r="M130" s="19">
        <v>-4414000000</v>
      </c>
      <c r="N130" s="19">
        <v>92.982900000000001</v>
      </c>
      <c r="O130">
        <v>29.289000000000001</v>
      </c>
      <c r="P130">
        <v>16.954499999999999</v>
      </c>
      <c r="Q130" s="19">
        <v>22895.716</v>
      </c>
      <c r="R130" s="19">
        <v>17190.647000000001</v>
      </c>
      <c r="S130" s="19">
        <v>1.7646999999999999</v>
      </c>
      <c r="T130" s="19">
        <v>40328.342700000001</v>
      </c>
      <c r="U130" s="19">
        <v>27937.8416</v>
      </c>
      <c r="V130">
        <v>26.3</v>
      </c>
      <c r="W130" s="19">
        <v>79.126199999999997</v>
      </c>
      <c r="X130">
        <v>99</v>
      </c>
      <c r="Y130">
        <v>99</v>
      </c>
      <c r="Z130">
        <v>97</v>
      </c>
      <c r="AA130">
        <v>3</v>
      </c>
      <c r="AB130">
        <v>63</v>
      </c>
      <c r="AC130">
        <v>76.9756</v>
      </c>
      <c r="AD130">
        <v>96.3125</v>
      </c>
      <c r="AE130">
        <v>4</v>
      </c>
      <c r="AF130">
        <v>87.288899999999998</v>
      </c>
      <c r="AG130">
        <v>10.6</v>
      </c>
      <c r="AH130">
        <v>0.91</v>
      </c>
      <c r="AI130">
        <v>3.7</v>
      </c>
      <c r="AJ130">
        <v>3.3</v>
      </c>
      <c r="AK130">
        <v>4.2</v>
      </c>
      <c r="AL130">
        <v>62.305500000000002</v>
      </c>
      <c r="AM130">
        <v>1.9</v>
      </c>
      <c r="AN130">
        <v>29813</v>
      </c>
      <c r="AO130">
        <v>0</v>
      </c>
      <c r="AP130">
        <v>99.845200000000006</v>
      </c>
      <c r="AQ130">
        <v>99.126400000000004</v>
      </c>
      <c r="AR130">
        <v>97.150800000000004</v>
      </c>
      <c r="AU130">
        <v>21.402699999999999</v>
      </c>
      <c r="AV130" s="19">
        <v>85.576899999999995</v>
      </c>
      <c r="AW130">
        <v>0</v>
      </c>
      <c r="AX130">
        <v>8.6</v>
      </c>
      <c r="AY130">
        <v>3</v>
      </c>
      <c r="AZ130">
        <v>5</v>
      </c>
      <c r="BA130">
        <v>85.992400000000004</v>
      </c>
      <c r="BB130">
        <v>15.5</v>
      </c>
      <c r="BC130">
        <v>5.1272000000000002</v>
      </c>
      <c r="BD130" s="19">
        <v>2.6120000000000001</v>
      </c>
      <c r="BE130" s="19">
        <v>86.407799999999995</v>
      </c>
      <c r="BF130">
        <v>4.8811999999999998</v>
      </c>
      <c r="BG130">
        <v>9</v>
      </c>
      <c r="BH130" s="20">
        <v>1.2336</v>
      </c>
      <c r="BI130" s="20">
        <v>2876.0183000000002</v>
      </c>
      <c r="BJ130" s="19">
        <v>78.365399999999994</v>
      </c>
      <c r="BK130">
        <v>0.99280000000000002</v>
      </c>
      <c r="BL130">
        <v>1.0063</v>
      </c>
      <c r="BM130">
        <v>1.0134000000000001</v>
      </c>
      <c r="BN130">
        <v>8</v>
      </c>
      <c r="BO130">
        <v>6.8179999999999996</v>
      </c>
      <c r="BP130">
        <v>14.24</v>
      </c>
      <c r="BQ130" s="19">
        <v>100.3242</v>
      </c>
      <c r="BR130">
        <v>87.072900000000004</v>
      </c>
      <c r="BS130" s="20">
        <v>4.3920000000000003</v>
      </c>
      <c r="BT130" s="20">
        <v>4.3929999999999998</v>
      </c>
      <c r="BU130" s="20">
        <v>9.8740000000000006</v>
      </c>
      <c r="BV130" s="20">
        <v>9.8729999999999993</v>
      </c>
      <c r="BW130" s="19">
        <v>81.730800000000002</v>
      </c>
      <c r="BX130">
        <v>21.45</v>
      </c>
      <c r="BY130" s="6">
        <v>12835886</v>
      </c>
      <c r="BZ130" s="5">
        <v>39283474</v>
      </c>
      <c r="CA130" s="7">
        <f t="shared" si="5"/>
        <v>3.0604411725065179</v>
      </c>
      <c r="CB130">
        <v>10384603</v>
      </c>
      <c r="CC130" s="8">
        <f t="shared" si="6"/>
        <v>3.7828575632597605</v>
      </c>
      <c r="CD130" s="8">
        <f t="shared" si="7"/>
        <v>1.2360497555852641</v>
      </c>
      <c r="CE130">
        <v>78871</v>
      </c>
      <c r="CF130" s="8">
        <f t="shared" si="8"/>
        <v>162.74531830457329</v>
      </c>
      <c r="CG130" s="8">
        <f t="shared" si="9"/>
        <v>498.0724727719948</v>
      </c>
      <c r="CH130">
        <v>107.99456000000001</v>
      </c>
    </row>
    <row r="131" spans="1:86" ht="15.5" x14ac:dyDescent="0.35">
      <c r="A131" t="s">
        <v>91</v>
      </c>
      <c r="B131">
        <v>2009</v>
      </c>
      <c r="C131" s="2">
        <v>41.598399999999998</v>
      </c>
      <c r="D131">
        <v>117625.2</v>
      </c>
      <c r="E131">
        <v>0.30020000000000002</v>
      </c>
      <c r="F131">
        <v>11.4619</v>
      </c>
      <c r="G131">
        <v>136000</v>
      </c>
      <c r="H131">
        <v>9</v>
      </c>
      <c r="I131" s="19">
        <v>91.667000000000002</v>
      </c>
      <c r="J131" s="19">
        <v>91.4</v>
      </c>
      <c r="K131" s="19">
        <v>3.16</v>
      </c>
      <c r="L131" s="19">
        <v>68.899500000000003</v>
      </c>
      <c r="M131" s="19">
        <v>-4682000000</v>
      </c>
      <c r="N131" s="19">
        <v>71.546300000000002</v>
      </c>
      <c r="O131">
        <v>28.907</v>
      </c>
      <c r="P131">
        <v>19.538599999999999</v>
      </c>
      <c r="Q131" s="19">
        <v>19863.767</v>
      </c>
      <c r="R131" s="19">
        <v>16272.808499999999</v>
      </c>
      <c r="S131" s="19">
        <v>-5.3391999999999999</v>
      </c>
      <c r="T131" s="19">
        <v>38175.1423</v>
      </c>
      <c r="U131" s="19">
        <v>27698.810600000001</v>
      </c>
      <c r="V131">
        <v>26.2</v>
      </c>
      <c r="W131" s="19">
        <v>76.076599999999999</v>
      </c>
      <c r="X131">
        <v>99</v>
      </c>
      <c r="Y131">
        <v>99</v>
      </c>
      <c r="Z131">
        <v>98</v>
      </c>
      <c r="AA131">
        <v>2.8</v>
      </c>
      <c r="AB131">
        <v>64.400000000000006</v>
      </c>
      <c r="AC131">
        <v>77.078000000000003</v>
      </c>
      <c r="AD131">
        <v>102.6913</v>
      </c>
      <c r="AE131">
        <v>4</v>
      </c>
      <c r="AF131">
        <v>87.444699999999997</v>
      </c>
      <c r="AG131">
        <v>8.9</v>
      </c>
      <c r="AH131">
        <v>0.87</v>
      </c>
      <c r="AI131">
        <v>3.5</v>
      </c>
      <c r="AJ131">
        <v>3.1</v>
      </c>
      <c r="AK131">
        <v>3.9</v>
      </c>
      <c r="AL131">
        <v>62.243099999999998</v>
      </c>
      <c r="AM131">
        <v>1.8</v>
      </c>
      <c r="AN131">
        <v>31270</v>
      </c>
      <c r="AO131">
        <v>0</v>
      </c>
      <c r="AP131">
        <v>99.850899999999996</v>
      </c>
      <c r="AQ131">
        <v>99.128299999999996</v>
      </c>
      <c r="AR131">
        <v>97.271299999999997</v>
      </c>
      <c r="AU131">
        <v>21.053599999999999</v>
      </c>
      <c r="AV131" s="19">
        <v>79.146900000000002</v>
      </c>
      <c r="AW131">
        <v>0</v>
      </c>
      <c r="AX131">
        <v>9</v>
      </c>
      <c r="AY131">
        <v>3</v>
      </c>
      <c r="AZ131">
        <v>5</v>
      </c>
      <c r="BA131">
        <v>86.022000000000006</v>
      </c>
      <c r="BB131">
        <v>15.5</v>
      </c>
      <c r="BC131">
        <v>6.0080999999999998</v>
      </c>
      <c r="BD131" s="19">
        <v>-4.798</v>
      </c>
      <c r="BE131" s="19">
        <v>87.081299999999999</v>
      </c>
      <c r="BF131">
        <v>6.3364000000000003</v>
      </c>
      <c r="BG131">
        <v>10.199999999999999</v>
      </c>
      <c r="BH131" s="20">
        <v>1.2866</v>
      </c>
      <c r="BI131" s="20">
        <v>2765.2710000000002</v>
      </c>
      <c r="BJ131" s="19">
        <v>80.568700000000007</v>
      </c>
      <c r="BK131">
        <v>0.99550000000000005</v>
      </c>
      <c r="BL131">
        <v>1.0065</v>
      </c>
      <c r="BM131">
        <v>1.0124</v>
      </c>
      <c r="BN131">
        <v>8</v>
      </c>
      <c r="BO131">
        <v>8.6050000000000004</v>
      </c>
      <c r="BP131">
        <v>15.01</v>
      </c>
      <c r="BQ131" s="19">
        <v>103.4787</v>
      </c>
      <c r="BR131">
        <v>78.914500000000004</v>
      </c>
      <c r="BS131" s="20">
        <v>6.6619999999999999</v>
      </c>
      <c r="BT131" s="20">
        <v>6.6619999999999999</v>
      </c>
      <c r="BU131" s="20">
        <v>16.655999999999999</v>
      </c>
      <c r="BV131" s="20">
        <v>16.643999999999998</v>
      </c>
      <c r="BW131" s="19">
        <v>81.042699999999996</v>
      </c>
      <c r="BX131">
        <v>21.57</v>
      </c>
      <c r="BY131" s="6">
        <v>11985909</v>
      </c>
      <c r="BZ131" s="5">
        <v>36662192</v>
      </c>
      <c r="CA131" s="7">
        <f t="shared" ref="CA131:CA194" si="10">BZ131/BY131</f>
        <v>3.0587744325440815</v>
      </c>
      <c r="CB131">
        <v>10443936</v>
      </c>
      <c r="CC131" s="8">
        <f t="shared" ref="CC131:CC194" si="11">BZ131/CB131</f>
        <v>3.5103807606634128</v>
      </c>
      <c r="CD131" s="8">
        <f t="shared" ref="CD131:CD194" si="12">BY131/CB131</f>
        <v>1.1476429001479902</v>
      </c>
      <c r="CE131">
        <v>78871</v>
      </c>
      <c r="CF131" s="8">
        <f t="shared" ref="CF131:CF194" si="13">BY131/CE131</f>
        <v>151.96851821328499</v>
      </c>
      <c r="CG131" s="8">
        <f t="shared" ref="CG131:CG194" si="14">BZ131/CE131</f>
        <v>464.83741806240567</v>
      </c>
      <c r="CH131">
        <v>103.74738000000001</v>
      </c>
    </row>
    <row r="132" spans="1:86" ht="15.5" x14ac:dyDescent="0.35">
      <c r="A132" t="s">
        <v>91</v>
      </c>
      <c r="B132">
        <v>2010</v>
      </c>
      <c r="C132" s="2">
        <v>42.575299999999999</v>
      </c>
      <c r="D132">
        <v>117421.3</v>
      </c>
      <c r="E132">
        <v>0.2954</v>
      </c>
      <c r="F132">
        <v>11.5509</v>
      </c>
      <c r="G132">
        <v>138000</v>
      </c>
      <c r="H132">
        <v>9</v>
      </c>
      <c r="I132" s="19">
        <v>93.016999999999996</v>
      </c>
      <c r="J132" s="19">
        <v>93.5</v>
      </c>
      <c r="K132" s="19">
        <v>4.1509999999999998</v>
      </c>
      <c r="L132" s="19">
        <v>69.047600000000003</v>
      </c>
      <c r="M132" s="19">
        <v>-7424000000</v>
      </c>
      <c r="N132" s="19">
        <v>84.230900000000005</v>
      </c>
      <c r="O132">
        <v>27.844999999999999</v>
      </c>
      <c r="P132">
        <v>21.609100000000002</v>
      </c>
      <c r="Q132" s="19">
        <v>20184.18</v>
      </c>
      <c r="R132" s="19">
        <v>16665.931799999998</v>
      </c>
      <c r="S132" s="19">
        <v>2.4157999999999999</v>
      </c>
      <c r="T132" s="19">
        <v>39097.388599999998</v>
      </c>
      <c r="U132" s="19">
        <v>28156.985499999999</v>
      </c>
      <c r="V132">
        <v>26.6</v>
      </c>
      <c r="W132" s="19">
        <v>77.033500000000004</v>
      </c>
      <c r="X132">
        <v>99</v>
      </c>
      <c r="Y132">
        <v>99</v>
      </c>
      <c r="Z132">
        <v>98</v>
      </c>
      <c r="AA132">
        <v>2.7</v>
      </c>
      <c r="AB132">
        <v>68.8</v>
      </c>
      <c r="AC132">
        <v>77.424400000000006</v>
      </c>
      <c r="AD132">
        <v>97.0124</v>
      </c>
      <c r="AE132">
        <v>4</v>
      </c>
      <c r="AF132">
        <v>88.184200000000004</v>
      </c>
      <c r="AG132">
        <v>7.8</v>
      </c>
      <c r="AH132">
        <v>1.05</v>
      </c>
      <c r="AI132">
        <v>3.4</v>
      </c>
      <c r="AJ132">
        <v>3</v>
      </c>
      <c r="AK132">
        <v>3.8</v>
      </c>
      <c r="AL132">
        <v>63.058599999999998</v>
      </c>
      <c r="AM132">
        <v>1.7</v>
      </c>
      <c r="AN132">
        <v>34927</v>
      </c>
      <c r="AO132">
        <v>0</v>
      </c>
      <c r="AP132">
        <v>99.8566</v>
      </c>
      <c r="AQ132">
        <v>99.130200000000002</v>
      </c>
      <c r="AR132">
        <v>97.392099999999999</v>
      </c>
      <c r="AU132">
        <v>20.9071</v>
      </c>
      <c r="AV132" s="19">
        <v>82.938400000000001</v>
      </c>
      <c r="AW132">
        <v>0</v>
      </c>
      <c r="AX132">
        <v>9.8000000000000007</v>
      </c>
      <c r="AY132">
        <v>3</v>
      </c>
      <c r="AZ132">
        <v>5</v>
      </c>
      <c r="BA132">
        <v>86.052499999999995</v>
      </c>
      <c r="BB132">
        <v>22</v>
      </c>
      <c r="BC132">
        <v>6.4114000000000004</v>
      </c>
      <c r="BD132" s="19">
        <v>2.7149999999999999</v>
      </c>
      <c r="BE132" s="19">
        <v>86.124399999999994</v>
      </c>
      <c r="BF132">
        <v>7.5594000000000001</v>
      </c>
      <c r="BG132">
        <v>10.9</v>
      </c>
      <c r="BH132" s="20">
        <v>1.3267</v>
      </c>
      <c r="BI132" s="20">
        <v>2799.125</v>
      </c>
      <c r="BJ132" s="19">
        <v>79.620800000000003</v>
      </c>
      <c r="BK132">
        <v>0.996</v>
      </c>
      <c r="BL132">
        <v>1.0023</v>
      </c>
      <c r="BM132">
        <v>1.0059</v>
      </c>
      <c r="BN132">
        <v>8</v>
      </c>
      <c r="BO132">
        <v>9.0440000000000005</v>
      </c>
      <c r="BP132">
        <v>15.1</v>
      </c>
      <c r="BQ132" s="19">
        <v>100.92829999999999</v>
      </c>
      <c r="BR132">
        <v>76.816699999999997</v>
      </c>
      <c r="BS132" s="20">
        <v>7.2809999999999997</v>
      </c>
      <c r="BT132" s="20">
        <v>7.2809999999999997</v>
      </c>
      <c r="BU132" s="20">
        <v>18.356000000000002</v>
      </c>
      <c r="BV132" s="20">
        <v>18.337</v>
      </c>
      <c r="BW132" s="19">
        <v>78.673000000000002</v>
      </c>
      <c r="BX132">
        <v>24.29</v>
      </c>
      <c r="BY132" s="6">
        <v>12211878</v>
      </c>
      <c r="BZ132" s="5">
        <v>36908811</v>
      </c>
      <c r="CA132" s="7">
        <f t="shared" si="10"/>
        <v>3.0223697780144874</v>
      </c>
      <c r="CB132">
        <v>10474410</v>
      </c>
      <c r="CC132" s="8">
        <f t="shared" si="11"/>
        <v>3.5237126482541736</v>
      </c>
      <c r="CD132" s="8">
        <f t="shared" si="12"/>
        <v>1.1658774098016023</v>
      </c>
      <c r="CE132">
        <v>78871</v>
      </c>
      <c r="CF132" s="8">
        <f t="shared" si="13"/>
        <v>154.83356366725411</v>
      </c>
      <c r="CG132" s="8">
        <f t="shared" si="14"/>
        <v>467.96428345019081</v>
      </c>
      <c r="CH132">
        <v>107.19432999999999</v>
      </c>
    </row>
    <row r="133" spans="1:86" ht="15.5" x14ac:dyDescent="0.35">
      <c r="A133" t="s">
        <v>91</v>
      </c>
      <c r="B133">
        <v>2011</v>
      </c>
      <c r="C133" s="2">
        <v>43.865699999999997</v>
      </c>
      <c r="D133">
        <v>114420.9</v>
      </c>
      <c r="E133">
        <v>0.28339999999999999</v>
      </c>
      <c r="F133">
        <v>11.253</v>
      </c>
      <c r="G133">
        <v>136000</v>
      </c>
      <c r="H133">
        <v>9</v>
      </c>
      <c r="I133" s="19">
        <v>94.8</v>
      </c>
      <c r="J133" s="19">
        <v>95.7</v>
      </c>
      <c r="K133" s="19">
        <v>4.6689999999999996</v>
      </c>
      <c r="L133" s="19">
        <v>68.720399999999998</v>
      </c>
      <c r="M133" s="19">
        <v>-4792000000</v>
      </c>
      <c r="N133" s="19">
        <v>103.20610000000001</v>
      </c>
      <c r="O133">
        <v>23.763999999999999</v>
      </c>
      <c r="P133">
        <v>23.906400000000001</v>
      </c>
      <c r="Q133" s="19">
        <v>22068.781999999999</v>
      </c>
      <c r="R133" s="19">
        <v>16926.2847</v>
      </c>
      <c r="S133" s="19">
        <v>1.5622</v>
      </c>
      <c r="T133" s="19">
        <v>39708.162600000003</v>
      </c>
      <c r="U133" s="19">
        <v>29237.187099999999</v>
      </c>
      <c r="V133">
        <v>26.4</v>
      </c>
      <c r="W133" s="19">
        <v>77.251199999999997</v>
      </c>
      <c r="X133">
        <v>99</v>
      </c>
      <c r="Y133">
        <v>99</v>
      </c>
      <c r="Z133">
        <v>98</v>
      </c>
      <c r="AA133">
        <v>2.6</v>
      </c>
      <c r="AB133">
        <v>70.5</v>
      </c>
      <c r="AC133">
        <v>77.873199999999997</v>
      </c>
      <c r="AD133">
        <v>97.490099999999998</v>
      </c>
      <c r="AE133">
        <v>4</v>
      </c>
      <c r="AF133">
        <v>88.394599999999997</v>
      </c>
      <c r="AG133">
        <v>7.5</v>
      </c>
      <c r="AH133">
        <v>1.01</v>
      </c>
      <c r="AI133">
        <v>3.3</v>
      </c>
      <c r="AJ133">
        <v>2.9</v>
      </c>
      <c r="AK133">
        <v>3.6</v>
      </c>
      <c r="AL133">
        <v>63.474800000000002</v>
      </c>
      <c r="AM133">
        <v>1.6</v>
      </c>
      <c r="AN133">
        <v>16841</v>
      </c>
      <c r="AO133">
        <v>0</v>
      </c>
      <c r="AP133">
        <v>99.862300000000005</v>
      </c>
      <c r="AQ133">
        <v>99.132099999999994</v>
      </c>
      <c r="AR133">
        <v>97.513300000000001</v>
      </c>
      <c r="AU133">
        <v>21.014099999999999</v>
      </c>
      <c r="AV133" s="19">
        <v>88.625600000000006</v>
      </c>
      <c r="AW133">
        <v>0</v>
      </c>
      <c r="AX133">
        <v>9.6</v>
      </c>
      <c r="AY133">
        <v>3</v>
      </c>
      <c r="AZ133">
        <v>5</v>
      </c>
      <c r="BA133">
        <v>86.083699999999993</v>
      </c>
      <c r="BB133">
        <v>22</v>
      </c>
      <c r="BC133">
        <v>6.3666999999999998</v>
      </c>
      <c r="BD133" s="19">
        <v>1.772</v>
      </c>
      <c r="BE133" s="19">
        <v>85.308099999999996</v>
      </c>
      <c r="BF133">
        <v>9.0869999999999997</v>
      </c>
      <c r="BG133">
        <v>12.2</v>
      </c>
      <c r="BH133" s="20">
        <v>1.5448</v>
      </c>
      <c r="BI133" s="20">
        <v>2925.8793999999998</v>
      </c>
      <c r="BJ133" s="19">
        <v>81.220699999999994</v>
      </c>
      <c r="BK133">
        <v>0.99450000000000005</v>
      </c>
      <c r="BL133">
        <v>0.99929999999999997</v>
      </c>
      <c r="BM133">
        <v>1.0021</v>
      </c>
      <c r="BN133">
        <v>8</v>
      </c>
      <c r="BO133">
        <v>8.7189999999999994</v>
      </c>
      <c r="BP133">
        <v>16.09</v>
      </c>
      <c r="BQ133" s="19">
        <v>100.1144</v>
      </c>
      <c r="BR133">
        <v>77.771699999999996</v>
      </c>
      <c r="BS133" s="20">
        <v>6.7119999999999997</v>
      </c>
      <c r="BT133" s="20">
        <v>6.7119999999999997</v>
      </c>
      <c r="BU133" s="20">
        <v>18.077000000000002</v>
      </c>
      <c r="BV133" s="20">
        <v>18.077000000000002</v>
      </c>
      <c r="BW133" s="19">
        <v>79.812200000000004</v>
      </c>
      <c r="BX133">
        <v>22.86</v>
      </c>
      <c r="BY133" s="6">
        <v>12898712</v>
      </c>
      <c r="BZ133" s="5">
        <v>38235088</v>
      </c>
      <c r="CA133" s="7">
        <f t="shared" si="10"/>
        <v>2.964256276130516</v>
      </c>
      <c r="CB133">
        <v>10496088</v>
      </c>
      <c r="CC133" s="8">
        <f t="shared" si="11"/>
        <v>3.6427941534026771</v>
      </c>
      <c r="CD133" s="8">
        <f t="shared" si="12"/>
        <v>1.228906617398787</v>
      </c>
      <c r="CE133">
        <v>78871</v>
      </c>
      <c r="CF133" s="8">
        <f t="shared" si="13"/>
        <v>163.54188484994484</v>
      </c>
      <c r="CG133" s="8">
        <f t="shared" si="14"/>
        <v>484.78005857666318</v>
      </c>
      <c r="CH133">
        <v>109.60605</v>
      </c>
    </row>
    <row r="134" spans="1:86" ht="15.5" x14ac:dyDescent="0.35">
      <c r="A134" s="9" t="s">
        <v>91</v>
      </c>
      <c r="B134" s="9">
        <v>2012</v>
      </c>
      <c r="C134" s="10">
        <v>45.474699999999999</v>
      </c>
      <c r="D134" s="9">
        <v>112901.2</v>
      </c>
      <c r="E134" s="9">
        <v>0.2757</v>
      </c>
      <c r="F134" s="9">
        <v>10.8482</v>
      </c>
      <c r="G134" s="9">
        <v>132000</v>
      </c>
      <c r="H134" s="9">
        <v>9</v>
      </c>
      <c r="I134" s="21">
        <v>97.917000000000002</v>
      </c>
      <c r="J134" s="21">
        <v>98</v>
      </c>
      <c r="K134" s="21">
        <v>3.8420000000000001</v>
      </c>
      <c r="L134" s="21">
        <v>66.350700000000003</v>
      </c>
      <c r="M134" s="21">
        <v>-3234000000</v>
      </c>
      <c r="N134" s="21">
        <v>99.470200000000006</v>
      </c>
      <c r="O134" s="9">
        <v>22.923999999999999</v>
      </c>
      <c r="P134" s="9">
        <v>25.286899999999999</v>
      </c>
      <c r="Q134" s="21">
        <v>20024.208999999999</v>
      </c>
      <c r="R134" s="21">
        <v>16772.353899999998</v>
      </c>
      <c r="S134" s="21">
        <v>-0.90939999999999999</v>
      </c>
      <c r="T134" s="21">
        <v>39347.049299999999</v>
      </c>
      <c r="U134" s="21">
        <v>29465.607400000001</v>
      </c>
      <c r="V134" s="9">
        <v>26.1</v>
      </c>
      <c r="W134" s="21">
        <v>76.303299999999993</v>
      </c>
      <c r="X134" s="9">
        <v>99</v>
      </c>
      <c r="Y134" s="9">
        <v>99</v>
      </c>
      <c r="Z134" s="9">
        <v>98</v>
      </c>
      <c r="AA134" s="9">
        <v>2.6</v>
      </c>
      <c r="AB134" s="9">
        <v>73.400000000000006</v>
      </c>
      <c r="AC134" s="9">
        <v>78.075599999999994</v>
      </c>
      <c r="AD134" s="9">
        <v>93.5398</v>
      </c>
      <c r="AE134" s="9">
        <v>4</v>
      </c>
      <c r="AF134" s="9">
        <v>88.446600000000004</v>
      </c>
      <c r="AG134" s="9">
        <v>7.2</v>
      </c>
      <c r="AH134" s="9">
        <v>1.06</v>
      </c>
      <c r="AI134" s="9">
        <v>3.2</v>
      </c>
      <c r="AJ134" s="9">
        <v>2.8</v>
      </c>
      <c r="AK134" s="9">
        <v>3.6</v>
      </c>
      <c r="AL134" s="9">
        <v>63.659399999999998</v>
      </c>
      <c r="AM134" s="9">
        <v>1.6</v>
      </c>
      <c r="AN134" s="9">
        <v>5347</v>
      </c>
      <c r="AO134" s="9">
        <v>0</v>
      </c>
      <c r="AP134" s="9">
        <v>99.868200000000002</v>
      </c>
      <c r="AQ134" s="9">
        <v>99.133899999999997</v>
      </c>
      <c r="AR134" s="9">
        <v>97.635599999999997</v>
      </c>
      <c r="AS134" s="9"/>
      <c r="AT134" s="9"/>
      <c r="AU134" s="9">
        <v>19.2883</v>
      </c>
      <c r="AV134" s="21">
        <v>86.729900000000001</v>
      </c>
      <c r="AW134" s="9">
        <v>0</v>
      </c>
      <c r="AX134" s="9">
        <v>8.6</v>
      </c>
      <c r="AY134" s="9">
        <v>3</v>
      </c>
      <c r="AZ134" s="9">
        <v>5</v>
      </c>
      <c r="BA134" s="9">
        <v>86.396799999999999</v>
      </c>
      <c r="BB134" s="9">
        <v>22</v>
      </c>
      <c r="BC134" s="9">
        <v>6.4253</v>
      </c>
      <c r="BD134" s="21">
        <v>-0.77100000000000002</v>
      </c>
      <c r="BE134" s="21">
        <v>80.568700000000007</v>
      </c>
      <c r="BF134" s="9">
        <v>10.061500000000001</v>
      </c>
      <c r="BG134" s="9">
        <v>12.8</v>
      </c>
      <c r="BH134" s="22">
        <v>1.7697000000000001</v>
      </c>
      <c r="BI134" s="22">
        <v>3162.1118000000001</v>
      </c>
      <c r="BJ134" s="21">
        <v>81.220699999999994</v>
      </c>
      <c r="BK134" s="9">
        <v>0.99909999999999999</v>
      </c>
      <c r="BL134" s="9">
        <v>1.0008999999999999</v>
      </c>
      <c r="BM134" s="9">
        <v>1.002</v>
      </c>
      <c r="BN134" s="9">
        <v>8</v>
      </c>
      <c r="BO134" s="9">
        <v>9.23</v>
      </c>
      <c r="BP134" s="9">
        <v>16.7</v>
      </c>
      <c r="BQ134" s="21">
        <v>98.644300000000001</v>
      </c>
      <c r="BR134" s="9">
        <v>76.315899999999999</v>
      </c>
      <c r="BS134" s="22">
        <v>6.9790000000000001</v>
      </c>
      <c r="BT134" s="22">
        <v>6.9790000000000001</v>
      </c>
      <c r="BU134" s="22">
        <v>19.507999999999999</v>
      </c>
      <c r="BV134" s="22">
        <v>19.513000000000002</v>
      </c>
      <c r="BW134" s="21">
        <v>76.9953</v>
      </c>
      <c r="BX134" s="9">
        <v>22.56</v>
      </c>
      <c r="BY134" s="14">
        <v>15098817</v>
      </c>
      <c r="BZ134" s="5">
        <v>43278457</v>
      </c>
      <c r="CA134" s="7">
        <f t="shared" si="10"/>
        <v>2.8663475423273228</v>
      </c>
      <c r="CB134">
        <v>10510785</v>
      </c>
      <c r="CC134" s="8">
        <f t="shared" si="11"/>
        <v>4.1175285195159068</v>
      </c>
      <c r="CD134" s="8">
        <f t="shared" si="12"/>
        <v>1.4365070734488432</v>
      </c>
      <c r="CE134">
        <v>78871</v>
      </c>
      <c r="CF134" s="8">
        <f t="shared" si="13"/>
        <v>191.4368652609958</v>
      </c>
      <c r="CG134" s="8">
        <f t="shared" si="14"/>
        <v>548.72458825170213</v>
      </c>
      <c r="CH134" s="9">
        <v>108.30197</v>
      </c>
    </row>
    <row r="135" spans="1:86" ht="15.5" x14ac:dyDescent="0.35">
      <c r="A135" t="s">
        <v>91</v>
      </c>
      <c r="B135">
        <v>2013</v>
      </c>
      <c r="C135" s="2">
        <v>47.076700000000002</v>
      </c>
      <c r="D135">
        <v>107328.4</v>
      </c>
      <c r="E135">
        <v>0.26490000000000002</v>
      </c>
      <c r="F135">
        <v>10.4169</v>
      </c>
      <c r="G135">
        <v>127000</v>
      </c>
      <c r="H135">
        <v>9</v>
      </c>
      <c r="I135" s="19">
        <v>99.325000000000003</v>
      </c>
      <c r="J135" s="19">
        <v>99.4</v>
      </c>
      <c r="K135" s="19">
        <v>3.1909999999999998</v>
      </c>
      <c r="L135" s="19">
        <v>65.402799999999999</v>
      </c>
      <c r="M135" s="19">
        <v>-1113000000</v>
      </c>
      <c r="N135" s="19">
        <v>102.81399999999999</v>
      </c>
      <c r="O135">
        <v>24.341000000000001</v>
      </c>
      <c r="P135">
        <v>27.172699999999999</v>
      </c>
      <c r="Q135" s="19">
        <v>20256.924999999999</v>
      </c>
      <c r="R135" s="19">
        <v>16759.780900000002</v>
      </c>
      <c r="S135" s="19">
        <v>-7.4999999999999997E-2</v>
      </c>
      <c r="T135" s="19">
        <v>39317.553599999999</v>
      </c>
      <c r="U135" s="19">
        <v>31013.008300000001</v>
      </c>
      <c r="V135">
        <v>26.5</v>
      </c>
      <c r="W135" s="19">
        <v>76.303299999999993</v>
      </c>
      <c r="X135">
        <v>98</v>
      </c>
      <c r="Y135">
        <v>99</v>
      </c>
      <c r="Z135">
        <v>99</v>
      </c>
      <c r="AA135">
        <v>2.5</v>
      </c>
      <c r="AB135">
        <v>74.099999999999994</v>
      </c>
      <c r="AC135">
        <v>78.175600000000003</v>
      </c>
      <c r="AD135">
        <v>93.171499999999995</v>
      </c>
      <c r="AE135">
        <v>3</v>
      </c>
      <c r="AF135">
        <v>88.617199999999997</v>
      </c>
      <c r="AG135">
        <v>6.4</v>
      </c>
      <c r="AH135">
        <v>1.07</v>
      </c>
      <c r="AI135">
        <v>3.1</v>
      </c>
      <c r="AJ135">
        <v>2.8</v>
      </c>
      <c r="AK135">
        <v>3.5</v>
      </c>
      <c r="AL135">
        <v>64.382099999999994</v>
      </c>
      <c r="AM135">
        <v>1.6</v>
      </c>
      <c r="AN135">
        <v>5427</v>
      </c>
      <c r="AO135">
        <v>0</v>
      </c>
      <c r="AP135">
        <v>99.874099999999999</v>
      </c>
      <c r="AQ135">
        <v>99.135499999999993</v>
      </c>
      <c r="AR135">
        <v>97.758200000000002</v>
      </c>
      <c r="AU135">
        <v>18.933599999999998</v>
      </c>
      <c r="AV135" s="19">
        <v>87.677700000000002</v>
      </c>
      <c r="AW135">
        <v>0</v>
      </c>
      <c r="AX135">
        <v>9.6999999999999993</v>
      </c>
      <c r="AY135">
        <v>3</v>
      </c>
      <c r="AZ135">
        <v>5</v>
      </c>
      <c r="BA135">
        <v>86.723200000000006</v>
      </c>
      <c r="BB135">
        <v>19.5</v>
      </c>
      <c r="BC135">
        <v>6.3305999999999996</v>
      </c>
      <c r="BD135" s="19">
        <v>-4.2000000000000003E-2</v>
      </c>
      <c r="BE135" s="19">
        <v>81.042699999999996</v>
      </c>
      <c r="BF135">
        <v>11.7516</v>
      </c>
      <c r="BG135">
        <v>13.9</v>
      </c>
      <c r="BH135" s="20">
        <v>1.8792</v>
      </c>
      <c r="BI135" s="20">
        <v>3260.8314999999998</v>
      </c>
      <c r="BJ135" s="19">
        <v>81.690100000000001</v>
      </c>
      <c r="BK135">
        <v>1.0006999999999999</v>
      </c>
      <c r="BL135">
        <v>1.0045999999999999</v>
      </c>
      <c r="BM135">
        <v>1.0071000000000001</v>
      </c>
      <c r="BN135">
        <v>8</v>
      </c>
      <c r="BO135">
        <v>9.4529999999999994</v>
      </c>
      <c r="BP135">
        <v>15.65</v>
      </c>
      <c r="BQ135" s="19">
        <v>98.826700000000002</v>
      </c>
      <c r="BR135">
        <v>76.7624</v>
      </c>
      <c r="BS135" s="20">
        <v>6.9530000000000003</v>
      </c>
      <c r="BT135" s="20">
        <v>6.9530000000000003</v>
      </c>
      <c r="BU135" s="20">
        <v>18.957999999999998</v>
      </c>
      <c r="BV135" s="20">
        <v>18.97</v>
      </c>
      <c r="BW135" s="19">
        <v>77.934299999999993</v>
      </c>
      <c r="BX135">
        <v>24.54</v>
      </c>
      <c r="BY135" s="6">
        <v>15407671</v>
      </c>
      <c r="BZ135" s="5">
        <v>43308279</v>
      </c>
      <c r="CA135" s="7">
        <f t="shared" si="10"/>
        <v>2.8108257893097535</v>
      </c>
      <c r="CB135">
        <v>10514272</v>
      </c>
      <c r="CC135" s="8">
        <f t="shared" si="11"/>
        <v>4.1189992992382161</v>
      </c>
      <c r="CD135" s="8">
        <f t="shared" si="12"/>
        <v>1.4654054032461781</v>
      </c>
      <c r="CE135">
        <v>78871</v>
      </c>
      <c r="CF135" s="8">
        <f t="shared" si="13"/>
        <v>195.35280394568346</v>
      </c>
      <c r="CG135" s="8">
        <f t="shared" si="14"/>
        <v>549.10269934449923</v>
      </c>
      <c r="CH135">
        <v>104.8113</v>
      </c>
    </row>
    <row r="136" spans="1:86" ht="15.5" x14ac:dyDescent="0.35">
      <c r="A136" t="s">
        <v>91</v>
      </c>
      <c r="B136">
        <v>2014</v>
      </c>
      <c r="C136" s="2">
        <v>48.592700000000001</v>
      </c>
      <c r="D136">
        <v>103407.2</v>
      </c>
      <c r="E136">
        <v>0.25369999999999998</v>
      </c>
      <c r="F136">
        <v>10.1881</v>
      </c>
      <c r="G136">
        <v>125000</v>
      </c>
      <c r="H136">
        <v>9</v>
      </c>
      <c r="I136" s="19">
        <v>99.667000000000002</v>
      </c>
      <c r="J136" s="19">
        <v>99.5</v>
      </c>
      <c r="K136" s="19">
        <v>2.8130000000000002</v>
      </c>
      <c r="L136" s="19">
        <v>67.307699999999997</v>
      </c>
      <c r="M136" s="19">
        <v>380000000</v>
      </c>
      <c r="N136" s="19">
        <v>110.85890000000001</v>
      </c>
      <c r="O136">
        <v>26.306999999999999</v>
      </c>
      <c r="P136">
        <v>28.4754</v>
      </c>
      <c r="Q136" s="19">
        <v>20063.059000000001</v>
      </c>
      <c r="R136" s="19">
        <v>17118.042600000001</v>
      </c>
      <c r="S136" s="19">
        <v>2.1375999999999999</v>
      </c>
      <c r="T136" s="19">
        <v>40158.0164</v>
      </c>
      <c r="U136" s="19">
        <v>32743.489799999999</v>
      </c>
      <c r="V136">
        <v>25.9</v>
      </c>
      <c r="W136" s="19">
        <v>81.25</v>
      </c>
      <c r="X136">
        <v>97</v>
      </c>
      <c r="Y136">
        <v>99</v>
      </c>
      <c r="Z136">
        <v>99</v>
      </c>
      <c r="AA136">
        <v>2.5</v>
      </c>
      <c r="AB136">
        <v>74.2</v>
      </c>
      <c r="AC136">
        <v>78.824399999999997</v>
      </c>
      <c r="AD136">
        <v>94.365899999999996</v>
      </c>
      <c r="AE136">
        <v>3</v>
      </c>
      <c r="AF136">
        <v>88.772999999999996</v>
      </c>
      <c r="AG136">
        <v>6.7</v>
      </c>
      <c r="AH136">
        <v>0.85</v>
      </c>
      <c r="AI136">
        <v>3.1</v>
      </c>
      <c r="AJ136">
        <v>2.7</v>
      </c>
      <c r="AK136">
        <v>3.5</v>
      </c>
      <c r="AL136">
        <v>65.175600000000003</v>
      </c>
      <c r="AM136">
        <v>1.6</v>
      </c>
      <c r="AN136">
        <v>6303</v>
      </c>
      <c r="AO136">
        <v>0</v>
      </c>
      <c r="AP136">
        <v>99.88</v>
      </c>
      <c r="AQ136">
        <v>99.136600000000001</v>
      </c>
      <c r="AR136">
        <v>97.880399999999995</v>
      </c>
      <c r="AU136">
        <v>18.361699999999999</v>
      </c>
      <c r="AV136" s="19">
        <v>83.333299999999994</v>
      </c>
      <c r="AW136">
        <v>0</v>
      </c>
      <c r="AX136">
        <v>9.6999999999999993</v>
      </c>
      <c r="AY136">
        <v>3</v>
      </c>
      <c r="AZ136">
        <v>5</v>
      </c>
      <c r="BA136">
        <v>87.050200000000004</v>
      </c>
      <c r="BB136">
        <v>19.5</v>
      </c>
      <c r="BC136">
        <v>6.3773</v>
      </c>
      <c r="BD136" s="19">
        <v>2.2450000000000001</v>
      </c>
      <c r="BE136" s="19">
        <v>80.769199999999998</v>
      </c>
      <c r="BF136">
        <v>11.867000000000001</v>
      </c>
      <c r="BG136">
        <v>14.8</v>
      </c>
      <c r="BH136" s="20">
        <v>1.9582999999999999</v>
      </c>
      <c r="BI136" s="20">
        <v>3428.3083000000001</v>
      </c>
      <c r="BJ136" s="19">
        <v>84.615399999999994</v>
      </c>
      <c r="BK136">
        <v>1.0002</v>
      </c>
      <c r="BL136">
        <v>1.0028999999999999</v>
      </c>
      <c r="BM136">
        <v>1.0045999999999999</v>
      </c>
      <c r="BN136">
        <v>8</v>
      </c>
      <c r="BO136">
        <v>8.4160000000000004</v>
      </c>
      <c r="BP136">
        <v>14.82</v>
      </c>
      <c r="BQ136" s="19">
        <v>99.606099999999998</v>
      </c>
      <c r="BR136">
        <v>80.250900000000001</v>
      </c>
      <c r="BS136" s="20">
        <v>6.1079999999999997</v>
      </c>
      <c r="BT136" s="20">
        <v>6.1079999999999997</v>
      </c>
      <c r="BU136" s="20">
        <v>15.840999999999999</v>
      </c>
      <c r="BV136" s="20">
        <v>15.856</v>
      </c>
      <c r="BW136" s="19">
        <v>78.817700000000002</v>
      </c>
      <c r="BX136">
        <v>21.33</v>
      </c>
      <c r="BY136" s="6">
        <v>15587076</v>
      </c>
      <c r="BZ136" s="5">
        <v>42946929</v>
      </c>
      <c r="CA136" s="7">
        <f t="shared" si="10"/>
        <v>2.7552909217867416</v>
      </c>
      <c r="CB136">
        <v>10525347</v>
      </c>
      <c r="CC136" s="8">
        <f t="shared" si="11"/>
        <v>4.0803337885202264</v>
      </c>
      <c r="CD136" s="8">
        <f t="shared" si="12"/>
        <v>1.4809085154152162</v>
      </c>
      <c r="CE136">
        <v>78871</v>
      </c>
      <c r="CF136" s="8">
        <f t="shared" si="13"/>
        <v>197.62746763702756</v>
      </c>
      <c r="CG136" s="8">
        <f t="shared" si="14"/>
        <v>544.52116747600508</v>
      </c>
      <c r="CH136">
        <v>98.998149999999995</v>
      </c>
    </row>
    <row r="137" spans="1:86" ht="15.5" x14ac:dyDescent="0.35">
      <c r="A137" t="s">
        <v>91</v>
      </c>
      <c r="B137">
        <v>2015</v>
      </c>
      <c r="C137" s="2">
        <v>50.083599999999997</v>
      </c>
      <c r="D137">
        <v>106236.8</v>
      </c>
      <c r="E137">
        <v>0.24410000000000001</v>
      </c>
      <c r="F137">
        <v>10.267799999999999</v>
      </c>
      <c r="G137">
        <v>126000</v>
      </c>
      <c r="H137">
        <v>9</v>
      </c>
      <c r="I137" s="19">
        <v>99.974999999999994</v>
      </c>
      <c r="J137" s="19">
        <v>99.5</v>
      </c>
      <c r="K137" s="19">
        <v>2.79</v>
      </c>
      <c r="L137" s="19">
        <v>66.1905</v>
      </c>
      <c r="M137" s="19">
        <v>843000000</v>
      </c>
      <c r="N137" s="19">
        <v>100</v>
      </c>
      <c r="O137">
        <v>27.524999999999999</v>
      </c>
      <c r="P137">
        <v>27.998000000000001</v>
      </c>
      <c r="Q137" s="19">
        <v>17944.844000000001</v>
      </c>
      <c r="R137" s="19">
        <v>17931.5988</v>
      </c>
      <c r="S137" s="19">
        <v>4.7526000000000002</v>
      </c>
      <c r="T137" s="19">
        <v>42066.576000000001</v>
      </c>
      <c r="U137" s="19">
        <v>34102.177000000003</v>
      </c>
      <c r="V137">
        <v>25.9</v>
      </c>
      <c r="W137" s="19">
        <v>80.952399999999997</v>
      </c>
      <c r="X137">
        <v>97</v>
      </c>
      <c r="Y137">
        <v>97</v>
      </c>
      <c r="Z137">
        <v>99</v>
      </c>
      <c r="AA137">
        <v>2.6</v>
      </c>
      <c r="AB137">
        <v>75.7</v>
      </c>
      <c r="AC137">
        <v>78.578000000000003</v>
      </c>
      <c r="AD137">
        <v>95.997799999999998</v>
      </c>
      <c r="AE137">
        <v>3</v>
      </c>
      <c r="AF137">
        <v>89.891199999999998</v>
      </c>
      <c r="AG137">
        <v>7.2</v>
      </c>
      <c r="AH137">
        <v>0.85</v>
      </c>
      <c r="AI137">
        <v>3.2</v>
      </c>
      <c r="AJ137">
        <v>2.8</v>
      </c>
      <c r="AK137">
        <v>3.5</v>
      </c>
      <c r="AL137">
        <v>65.296199999999999</v>
      </c>
      <c r="AM137">
        <v>1.6</v>
      </c>
      <c r="AN137">
        <v>5037</v>
      </c>
      <c r="AO137">
        <v>0</v>
      </c>
      <c r="AP137">
        <v>99.880099999999999</v>
      </c>
      <c r="AQ137">
        <v>99.137</v>
      </c>
      <c r="AR137">
        <v>97.880700000000004</v>
      </c>
      <c r="AU137">
        <v>17.812799999999999</v>
      </c>
      <c r="AV137" s="19">
        <v>81.904799999999994</v>
      </c>
      <c r="AW137">
        <v>0</v>
      </c>
      <c r="AX137">
        <v>9.6999999999999993</v>
      </c>
      <c r="AY137">
        <v>3</v>
      </c>
      <c r="AZ137">
        <v>5</v>
      </c>
      <c r="BA137">
        <v>87.377499999999998</v>
      </c>
      <c r="BB137">
        <v>20</v>
      </c>
      <c r="BC137">
        <v>6.1871</v>
      </c>
      <c r="BD137" s="19">
        <v>4.9589999999999996</v>
      </c>
      <c r="BE137" s="19">
        <v>81.428600000000003</v>
      </c>
      <c r="BF137">
        <v>12.751200000000001</v>
      </c>
      <c r="BG137">
        <v>14.8</v>
      </c>
      <c r="BH137" s="20">
        <v>1.9169</v>
      </c>
      <c r="BI137" s="20">
        <v>3619.1601999999998</v>
      </c>
      <c r="BJ137" s="19">
        <v>83.333299999999994</v>
      </c>
      <c r="BK137">
        <v>1.0036</v>
      </c>
      <c r="BL137">
        <v>1.0071000000000001</v>
      </c>
      <c r="BM137">
        <v>1.0095000000000001</v>
      </c>
      <c r="BN137">
        <v>8</v>
      </c>
      <c r="BO137">
        <v>7.718</v>
      </c>
      <c r="BP137">
        <v>13.54</v>
      </c>
      <c r="BQ137" s="19">
        <v>100</v>
      </c>
      <c r="BR137">
        <v>84.138099999999994</v>
      </c>
      <c r="BS137" s="20">
        <v>5.048</v>
      </c>
      <c r="BT137" s="20">
        <v>5.048</v>
      </c>
      <c r="BU137" s="20">
        <v>12.582000000000001</v>
      </c>
      <c r="BV137" s="20">
        <v>12.597</v>
      </c>
      <c r="BW137" s="19">
        <v>82.266000000000005</v>
      </c>
      <c r="BX137">
        <v>19.71</v>
      </c>
      <c r="BY137" s="6">
        <v>17195550</v>
      </c>
      <c r="BZ137" s="5">
        <v>47093906</v>
      </c>
      <c r="CA137" s="7">
        <f t="shared" si="10"/>
        <v>2.738726356528288</v>
      </c>
      <c r="CB137">
        <v>10546059</v>
      </c>
      <c r="CC137" s="8">
        <f t="shared" si="11"/>
        <v>4.4655454705876387</v>
      </c>
      <c r="CD137" s="8">
        <f t="shared" si="12"/>
        <v>1.6305190403353518</v>
      </c>
      <c r="CE137">
        <v>78871</v>
      </c>
      <c r="CF137" s="8">
        <f t="shared" si="13"/>
        <v>218.02119917333368</v>
      </c>
      <c r="CG137" s="8">
        <f t="shared" si="14"/>
        <v>597.1004044579123</v>
      </c>
      <c r="CH137">
        <v>100</v>
      </c>
    </row>
    <row r="138" spans="1:86" ht="15.5" x14ac:dyDescent="0.35">
      <c r="A138" t="s">
        <v>91</v>
      </c>
      <c r="B138">
        <v>2016</v>
      </c>
      <c r="C138" s="2">
        <v>51.606699999999996</v>
      </c>
      <c r="D138">
        <v>107590.7</v>
      </c>
      <c r="E138">
        <v>0.24129999999999999</v>
      </c>
      <c r="F138">
        <v>10.392300000000001</v>
      </c>
      <c r="G138">
        <v>126000</v>
      </c>
      <c r="H138">
        <v>9</v>
      </c>
      <c r="I138" s="19">
        <v>100.658</v>
      </c>
      <c r="J138" s="19">
        <v>101.5</v>
      </c>
      <c r="K138" s="19">
        <v>2.9319999999999999</v>
      </c>
      <c r="L138" s="19">
        <v>67.142899999999997</v>
      </c>
      <c r="M138" s="19">
        <v>3485000000</v>
      </c>
      <c r="N138" s="19">
        <v>103.0498</v>
      </c>
      <c r="O138">
        <v>23.02</v>
      </c>
      <c r="P138">
        <v>29.149100000000001</v>
      </c>
      <c r="Q138" s="19">
        <v>18731.830000000002</v>
      </c>
      <c r="R138" s="19">
        <v>18359.0978</v>
      </c>
      <c r="S138" s="19">
        <v>2.3841000000000001</v>
      </c>
      <c r="T138" s="19">
        <v>43069.466</v>
      </c>
      <c r="U138" s="19">
        <v>36445.048600000002</v>
      </c>
      <c r="V138">
        <v>25.4</v>
      </c>
      <c r="W138" s="19">
        <v>78.571399999999997</v>
      </c>
      <c r="X138">
        <v>96</v>
      </c>
      <c r="Y138">
        <v>96</v>
      </c>
      <c r="Z138">
        <v>98</v>
      </c>
      <c r="AA138">
        <v>2.6</v>
      </c>
      <c r="AB138">
        <v>76.5</v>
      </c>
      <c r="AC138">
        <v>79.026799999999994</v>
      </c>
      <c r="AD138">
        <v>95.311099999999996</v>
      </c>
      <c r="AE138">
        <v>3</v>
      </c>
      <c r="AF138">
        <v>90.122500000000002</v>
      </c>
      <c r="AG138">
        <v>5.9</v>
      </c>
      <c r="AH138">
        <v>0.81</v>
      </c>
      <c r="AI138">
        <v>3.2</v>
      </c>
      <c r="AJ138">
        <v>2.8</v>
      </c>
      <c r="AK138">
        <v>3.6</v>
      </c>
      <c r="AL138">
        <v>64.892799999999994</v>
      </c>
      <c r="AM138">
        <v>1.6</v>
      </c>
      <c r="AN138">
        <v>5465</v>
      </c>
      <c r="AO138">
        <v>0</v>
      </c>
      <c r="AP138">
        <v>99.880200000000002</v>
      </c>
      <c r="AQ138">
        <v>99.137299999999996</v>
      </c>
      <c r="AR138">
        <v>97.881</v>
      </c>
      <c r="AU138">
        <v>16.992899999999999</v>
      </c>
      <c r="AV138" s="19">
        <v>80.952399999999997</v>
      </c>
      <c r="AW138">
        <v>0</v>
      </c>
      <c r="AX138">
        <v>9.1</v>
      </c>
      <c r="AY138">
        <v>3</v>
      </c>
      <c r="AZ138">
        <v>5</v>
      </c>
      <c r="BA138">
        <v>87.705799999999996</v>
      </c>
      <c r="BB138">
        <v>20</v>
      </c>
      <c r="BC138">
        <v>6.2476000000000003</v>
      </c>
      <c r="BD138" s="19">
        <v>2.581</v>
      </c>
      <c r="BE138" s="19">
        <v>80.952399999999997</v>
      </c>
      <c r="BF138">
        <v>12.7075</v>
      </c>
      <c r="BG138">
        <v>14.8</v>
      </c>
      <c r="BH138" s="20">
        <v>1.67</v>
      </c>
      <c r="BI138" s="20">
        <v>3546.9277000000002</v>
      </c>
      <c r="BJ138" s="19">
        <v>81.428600000000003</v>
      </c>
      <c r="BK138">
        <v>1.0055000000000001</v>
      </c>
      <c r="BL138">
        <v>1.0072000000000001</v>
      </c>
      <c r="BM138">
        <v>1.0085</v>
      </c>
      <c r="BN138">
        <v>8</v>
      </c>
      <c r="BO138">
        <v>7.15</v>
      </c>
      <c r="BP138">
        <v>13.03</v>
      </c>
      <c r="BQ138" s="19">
        <v>100.5377</v>
      </c>
      <c r="BR138">
        <v>87.175399999999996</v>
      </c>
      <c r="BS138" s="20">
        <v>3.952</v>
      </c>
      <c r="BT138" s="20">
        <v>3.952</v>
      </c>
      <c r="BU138" s="20">
        <v>10.488</v>
      </c>
      <c r="BV138" s="20">
        <v>10.506</v>
      </c>
      <c r="BW138" s="19">
        <v>81.280799999999999</v>
      </c>
      <c r="BX138">
        <v>18.88</v>
      </c>
      <c r="BY138" s="6">
        <v>18388853</v>
      </c>
      <c r="BZ138" s="5">
        <v>49696957</v>
      </c>
      <c r="CA138" s="7">
        <f t="shared" si="10"/>
        <v>2.7025588273504608</v>
      </c>
      <c r="CB138">
        <v>10566332</v>
      </c>
      <c r="CC138" s="8">
        <f t="shared" si="11"/>
        <v>4.7033310140169737</v>
      </c>
      <c r="CD138" s="8">
        <f t="shared" si="12"/>
        <v>1.7403251194454235</v>
      </c>
      <c r="CE138">
        <v>78871</v>
      </c>
      <c r="CF138" s="8">
        <f t="shared" si="13"/>
        <v>233.15100607320815</v>
      </c>
      <c r="CG138" s="8">
        <f t="shared" si="14"/>
        <v>630.10430956878952</v>
      </c>
      <c r="CH138">
        <v>101.61469</v>
      </c>
    </row>
    <row r="139" spans="1:86" ht="15.5" x14ac:dyDescent="0.35">
      <c r="A139" t="s">
        <v>91</v>
      </c>
      <c r="B139">
        <v>2017</v>
      </c>
      <c r="C139" s="2">
        <v>53.1389</v>
      </c>
      <c r="D139">
        <v>109894.1</v>
      </c>
      <c r="E139">
        <v>0.2306</v>
      </c>
      <c r="F139">
        <v>10.418200000000001</v>
      </c>
      <c r="G139">
        <v>126000</v>
      </c>
      <c r="H139">
        <v>10</v>
      </c>
      <c r="I139" s="19">
        <v>103.125</v>
      </c>
      <c r="J139" s="19">
        <v>103.9</v>
      </c>
      <c r="K139" s="19">
        <v>3.3260000000000001</v>
      </c>
      <c r="L139" s="19">
        <v>69.047600000000003</v>
      </c>
      <c r="M139" s="19">
        <v>3415000000</v>
      </c>
      <c r="N139" s="19">
        <v>115.3694</v>
      </c>
      <c r="O139">
        <v>23.96</v>
      </c>
      <c r="P139">
        <v>29.845300000000002</v>
      </c>
      <c r="Q139" s="19">
        <v>20882.415000000001</v>
      </c>
      <c r="R139" s="19">
        <v>19257.6931</v>
      </c>
      <c r="S139" s="19">
        <v>4.8945999999999996</v>
      </c>
      <c r="T139" s="19">
        <v>45177.522599999997</v>
      </c>
      <c r="U139" s="19">
        <v>39346.030599999998</v>
      </c>
      <c r="V139">
        <v>24.9</v>
      </c>
      <c r="W139" s="19">
        <v>81.428600000000003</v>
      </c>
      <c r="X139">
        <v>96</v>
      </c>
      <c r="Y139">
        <v>94</v>
      </c>
      <c r="Z139">
        <v>97</v>
      </c>
      <c r="AA139">
        <v>2.6</v>
      </c>
      <c r="AB139">
        <v>78.7</v>
      </c>
      <c r="AC139">
        <v>78.977999999999994</v>
      </c>
      <c r="AD139">
        <v>94.381399999999999</v>
      </c>
      <c r="AE139">
        <v>3</v>
      </c>
      <c r="AF139">
        <v>90.198300000000003</v>
      </c>
      <c r="AG139">
        <v>5.6</v>
      </c>
      <c r="AH139">
        <v>0.87</v>
      </c>
      <c r="AI139">
        <v>3.2</v>
      </c>
      <c r="AJ139">
        <v>2.8</v>
      </c>
      <c r="AK139">
        <v>3.6</v>
      </c>
      <c r="AL139">
        <v>65.2697</v>
      </c>
      <c r="AM139">
        <v>1.6</v>
      </c>
      <c r="AN139">
        <v>5747</v>
      </c>
      <c r="AO139">
        <v>0</v>
      </c>
      <c r="AP139">
        <v>99.880300000000005</v>
      </c>
      <c r="AQ139">
        <v>99.137600000000006</v>
      </c>
      <c r="AR139">
        <v>97.881299999999996</v>
      </c>
      <c r="AU139">
        <v>16.943300000000001</v>
      </c>
      <c r="AV139" s="19">
        <v>83.333299999999994</v>
      </c>
      <c r="AW139">
        <v>0</v>
      </c>
      <c r="AX139">
        <v>9.6</v>
      </c>
      <c r="AY139">
        <v>3</v>
      </c>
      <c r="AZ139">
        <v>5</v>
      </c>
      <c r="BA139">
        <v>88.034800000000004</v>
      </c>
      <c r="BB139">
        <v>22</v>
      </c>
      <c r="BC139">
        <v>6.2031000000000001</v>
      </c>
      <c r="BD139" s="19">
        <v>5.1740000000000004</v>
      </c>
      <c r="BE139" s="19">
        <v>86.1905</v>
      </c>
      <c r="BF139">
        <v>12.4026</v>
      </c>
      <c r="BG139">
        <v>14.5</v>
      </c>
      <c r="BH139" s="20">
        <v>1.7685999999999999</v>
      </c>
      <c r="BI139" s="20">
        <v>3718.3456999999999</v>
      </c>
      <c r="BJ139" s="19">
        <v>82.857100000000003</v>
      </c>
      <c r="BK139">
        <v>1.0056</v>
      </c>
      <c r="BL139">
        <v>1.0065</v>
      </c>
      <c r="BM139">
        <v>1.0072000000000001</v>
      </c>
      <c r="BN139">
        <v>8</v>
      </c>
      <c r="BO139">
        <v>6.4050000000000002</v>
      </c>
      <c r="BP139">
        <v>13.91</v>
      </c>
      <c r="BQ139" s="19">
        <v>99.298000000000002</v>
      </c>
      <c r="BR139">
        <v>90.520600000000002</v>
      </c>
      <c r="BS139" s="20">
        <v>2.8929999999999998</v>
      </c>
      <c r="BT139" s="20">
        <v>2.8929999999999998</v>
      </c>
      <c r="BU139" s="20">
        <v>7.9359999999999999</v>
      </c>
      <c r="BV139" s="20">
        <v>7.9489999999999998</v>
      </c>
      <c r="BW139" s="19">
        <v>75.369500000000002</v>
      </c>
      <c r="BX139">
        <v>16.91</v>
      </c>
      <c r="BY139" s="6">
        <v>20000561</v>
      </c>
      <c r="BZ139" s="5">
        <v>53219395</v>
      </c>
      <c r="CA139" s="7">
        <f t="shared" si="10"/>
        <v>2.6608951118921116</v>
      </c>
      <c r="CB139">
        <v>10594438</v>
      </c>
      <c r="CC139" s="8">
        <f t="shared" si="11"/>
        <v>5.0233334698829708</v>
      </c>
      <c r="CD139" s="8">
        <f t="shared" si="12"/>
        <v>1.8878359569426901</v>
      </c>
      <c r="CE139">
        <v>78871</v>
      </c>
      <c r="CF139" s="8">
        <f t="shared" si="13"/>
        <v>253.58574127372546</v>
      </c>
      <c r="CG139" s="8">
        <f t="shared" si="14"/>
        <v>674.76505940079369</v>
      </c>
      <c r="CH139">
        <v>105.06981</v>
      </c>
    </row>
    <row r="140" spans="1:86" ht="15.5" x14ac:dyDescent="0.35">
      <c r="A140" t="s">
        <v>91</v>
      </c>
      <c r="B140">
        <v>2018</v>
      </c>
      <c r="C140" s="2">
        <v>54.579700000000003</v>
      </c>
      <c r="D140">
        <v>106424.3</v>
      </c>
      <c r="E140">
        <v>0.22220000000000001</v>
      </c>
      <c r="F140">
        <v>10.2859</v>
      </c>
      <c r="G140">
        <v>126000</v>
      </c>
      <c r="H140">
        <v>10</v>
      </c>
      <c r="I140" s="19">
        <v>105.342</v>
      </c>
      <c r="J140" s="19">
        <v>106</v>
      </c>
      <c r="K140" s="19">
        <v>3.5790000000000002</v>
      </c>
      <c r="L140" s="19">
        <v>67.619</v>
      </c>
      <c r="M140" s="19">
        <v>988000000</v>
      </c>
      <c r="N140" s="19">
        <v>128.09819999999999</v>
      </c>
      <c r="O140">
        <v>26.2</v>
      </c>
      <c r="P140">
        <v>30.551300000000001</v>
      </c>
      <c r="Q140" s="19">
        <v>23661.699000000001</v>
      </c>
      <c r="R140" s="19">
        <v>19736.629499999999</v>
      </c>
      <c r="S140" s="19">
        <v>2.4870000000000001</v>
      </c>
      <c r="T140" s="19">
        <v>46301.082000000002</v>
      </c>
      <c r="U140" s="19">
        <v>41638.183100000002</v>
      </c>
      <c r="V140">
        <v>25</v>
      </c>
      <c r="W140" s="19">
        <v>78.571399999999997</v>
      </c>
      <c r="X140">
        <v>97</v>
      </c>
      <c r="Y140">
        <v>96</v>
      </c>
      <c r="Z140">
        <v>96</v>
      </c>
      <c r="AA140">
        <v>2.5</v>
      </c>
      <c r="AB140">
        <v>80.7</v>
      </c>
      <c r="AC140">
        <v>79.029300000000006</v>
      </c>
      <c r="AD140">
        <v>94.956800000000001</v>
      </c>
      <c r="AE140">
        <v>3</v>
      </c>
      <c r="AF140">
        <v>90.216200000000001</v>
      </c>
      <c r="AG140">
        <v>6.3</v>
      </c>
      <c r="AH140">
        <v>0.46</v>
      </c>
      <c r="AI140">
        <v>3.1</v>
      </c>
      <c r="AJ140">
        <v>2.7</v>
      </c>
      <c r="AK140">
        <v>3.5</v>
      </c>
      <c r="AL140">
        <v>65.064899999999994</v>
      </c>
      <c r="AM140">
        <v>1.6</v>
      </c>
      <c r="AN140">
        <v>5849</v>
      </c>
      <c r="AO140">
        <v>0</v>
      </c>
      <c r="AP140">
        <v>99.880399999999995</v>
      </c>
      <c r="AQ140">
        <v>99.1374</v>
      </c>
      <c r="AR140">
        <v>97.881699999999995</v>
      </c>
      <c r="AU140">
        <v>17.346699999999998</v>
      </c>
      <c r="AV140" s="19">
        <v>86.792400000000001</v>
      </c>
      <c r="AW140">
        <v>0</v>
      </c>
      <c r="AX140">
        <v>10.1</v>
      </c>
      <c r="AY140">
        <v>3</v>
      </c>
      <c r="AZ140">
        <v>5</v>
      </c>
      <c r="BA140">
        <v>88.364400000000003</v>
      </c>
      <c r="BB140">
        <v>22</v>
      </c>
      <c r="BC140">
        <v>6.3155000000000001</v>
      </c>
      <c r="BD140" s="19">
        <v>2.83</v>
      </c>
      <c r="BE140" s="19">
        <v>87.142899999999997</v>
      </c>
      <c r="BF140">
        <v>11.9061</v>
      </c>
      <c r="BG140">
        <v>14.7</v>
      </c>
      <c r="BH140" s="20">
        <v>1.8991</v>
      </c>
      <c r="BI140" s="20">
        <v>3906.6781999999998</v>
      </c>
      <c r="BJ140" s="19">
        <v>81.428600000000003</v>
      </c>
      <c r="BK140">
        <v>1.006</v>
      </c>
      <c r="BL140">
        <v>1.0049999999999999</v>
      </c>
      <c r="BM140">
        <v>1.0042</v>
      </c>
      <c r="BN140">
        <v>8</v>
      </c>
      <c r="BO140">
        <v>5.7380000000000004</v>
      </c>
      <c r="BP140">
        <v>13.59</v>
      </c>
      <c r="BQ140" s="19">
        <v>99.313800000000001</v>
      </c>
      <c r="BR140">
        <v>92.297700000000006</v>
      </c>
      <c r="BS140" s="20">
        <v>2.246</v>
      </c>
      <c r="BT140" s="20">
        <v>2.246</v>
      </c>
      <c r="BU140" s="20">
        <v>6.7140000000000004</v>
      </c>
      <c r="BV140" s="20">
        <v>6.7290000000000001</v>
      </c>
      <c r="BW140" s="19">
        <v>74.757300000000001</v>
      </c>
      <c r="BX140">
        <v>16.12</v>
      </c>
      <c r="BY140" s="6">
        <v>21247150</v>
      </c>
      <c r="BZ140" s="5">
        <v>55513922</v>
      </c>
      <c r="CA140" s="7">
        <f t="shared" si="10"/>
        <v>2.6127702774254429</v>
      </c>
      <c r="CB140">
        <v>10629928</v>
      </c>
      <c r="CC140" s="8">
        <f t="shared" si="11"/>
        <v>5.2224174989708301</v>
      </c>
      <c r="CD140" s="8">
        <f t="shared" si="12"/>
        <v>1.9988046955727263</v>
      </c>
      <c r="CE140">
        <v>78871</v>
      </c>
      <c r="CF140" s="8">
        <f t="shared" si="13"/>
        <v>269.39115771322793</v>
      </c>
      <c r="CG140" s="8">
        <f t="shared" si="14"/>
        <v>703.85720987435184</v>
      </c>
      <c r="CH140">
        <v>108.23860000000001</v>
      </c>
    </row>
    <row r="141" spans="1:86" ht="15.5" x14ac:dyDescent="0.35">
      <c r="A141" t="s">
        <v>91</v>
      </c>
      <c r="B141">
        <v>2019</v>
      </c>
      <c r="C141" s="2">
        <v>55.908799999999999</v>
      </c>
      <c r="D141">
        <v>105344.6</v>
      </c>
      <c r="E141">
        <v>0.20269999999999999</v>
      </c>
      <c r="F141">
        <v>9.68</v>
      </c>
      <c r="G141">
        <v>126000</v>
      </c>
      <c r="H141">
        <v>10</v>
      </c>
      <c r="I141" s="19">
        <v>108.342</v>
      </c>
      <c r="J141" s="19">
        <v>109.4</v>
      </c>
      <c r="K141" s="19">
        <v>3.831</v>
      </c>
      <c r="L141" s="19">
        <v>69.047600000000003</v>
      </c>
      <c r="M141" s="19">
        <v>853000000</v>
      </c>
      <c r="N141" s="19">
        <v>126.1281</v>
      </c>
      <c r="O141">
        <v>26.128</v>
      </c>
      <c r="P141">
        <v>35.430199999999999</v>
      </c>
      <c r="Q141" s="19">
        <v>24013.061000000002</v>
      </c>
      <c r="R141" s="19">
        <v>20360.0599</v>
      </c>
      <c r="S141" s="19">
        <v>3.1587000000000001</v>
      </c>
      <c r="T141" s="19">
        <v>47763.616600000001</v>
      </c>
      <c r="U141" s="19">
        <v>45614.017099999997</v>
      </c>
      <c r="V141">
        <v>25.3</v>
      </c>
      <c r="W141" s="19">
        <v>78.095200000000006</v>
      </c>
      <c r="X141">
        <v>97</v>
      </c>
      <c r="Y141">
        <v>97</v>
      </c>
      <c r="Z141">
        <v>92</v>
      </c>
      <c r="AA141">
        <v>2.4</v>
      </c>
      <c r="AB141">
        <v>80.900000000000006</v>
      </c>
      <c r="AC141">
        <v>79.229299999999995</v>
      </c>
      <c r="AD141">
        <v>93.029300000000006</v>
      </c>
      <c r="AE141">
        <v>3</v>
      </c>
      <c r="AF141">
        <v>90.235500000000002</v>
      </c>
      <c r="AG141">
        <v>5.9</v>
      </c>
      <c r="AH141">
        <v>0.37</v>
      </c>
      <c r="AI141">
        <v>3</v>
      </c>
      <c r="AJ141">
        <v>2.7</v>
      </c>
      <c r="AK141">
        <v>3.4</v>
      </c>
      <c r="AL141">
        <v>64.933199999999999</v>
      </c>
      <c r="AM141">
        <v>1.6</v>
      </c>
      <c r="AN141">
        <v>5553</v>
      </c>
      <c r="AO141">
        <v>0</v>
      </c>
      <c r="AP141">
        <v>99.880499999999998</v>
      </c>
      <c r="AQ141">
        <v>99.137100000000004</v>
      </c>
      <c r="AR141">
        <v>97.882000000000005</v>
      </c>
      <c r="AU141">
        <v>14.233700000000001</v>
      </c>
      <c r="AV141" s="19">
        <v>80.188699999999997</v>
      </c>
      <c r="AW141">
        <v>0</v>
      </c>
      <c r="AX141">
        <v>9.5</v>
      </c>
      <c r="AY141">
        <v>3</v>
      </c>
      <c r="AZ141">
        <v>5</v>
      </c>
      <c r="BA141">
        <v>88.694900000000004</v>
      </c>
      <c r="BB141">
        <v>22.5</v>
      </c>
      <c r="BC141">
        <v>6.4377000000000004</v>
      </c>
      <c r="BD141" s="19">
        <v>3.5659999999999998</v>
      </c>
      <c r="BE141" s="19">
        <v>86.666700000000006</v>
      </c>
      <c r="BF141">
        <v>12.9178</v>
      </c>
      <c r="BG141">
        <v>15.9</v>
      </c>
      <c r="BH141" s="20">
        <v>1.9273</v>
      </c>
      <c r="BI141" s="20">
        <v>4027.5871999999999</v>
      </c>
      <c r="BJ141" s="19">
        <v>81.904799999999994</v>
      </c>
      <c r="BK141">
        <v>1.0045999999999999</v>
      </c>
      <c r="BL141">
        <v>1.0076000000000001</v>
      </c>
      <c r="BM141">
        <v>1.0098</v>
      </c>
      <c r="BN141">
        <v>8</v>
      </c>
      <c r="BO141">
        <v>5.8239999999999998</v>
      </c>
      <c r="BP141">
        <v>12.23</v>
      </c>
      <c r="BQ141" s="19">
        <v>100.0234</v>
      </c>
      <c r="BR141">
        <v>93.2029</v>
      </c>
      <c r="BS141" s="20">
        <v>2.0150000000000001</v>
      </c>
      <c r="BT141" s="20">
        <v>2.0150000000000001</v>
      </c>
      <c r="BU141" s="20">
        <v>5.6150000000000002</v>
      </c>
      <c r="BV141" s="20">
        <v>5.6269999999999998</v>
      </c>
      <c r="BW141" s="19">
        <v>73.430000000000007</v>
      </c>
      <c r="BX141">
        <v>16.329999999999998</v>
      </c>
      <c r="BY141" s="6">
        <v>21998366</v>
      </c>
      <c r="BZ141" s="5">
        <v>57024767</v>
      </c>
      <c r="CA141" s="7">
        <f t="shared" si="10"/>
        <v>2.5922273954347337</v>
      </c>
      <c r="CB141">
        <v>10671870</v>
      </c>
      <c r="CC141" s="8">
        <f t="shared" si="11"/>
        <v>5.3434652970847658</v>
      </c>
      <c r="CD141" s="8">
        <f t="shared" si="12"/>
        <v>2.0613412644644282</v>
      </c>
      <c r="CE141">
        <v>78871</v>
      </c>
      <c r="CF141" s="8">
        <f t="shared" si="13"/>
        <v>278.9157738585792</v>
      </c>
      <c r="CG141" s="8">
        <f t="shared" si="14"/>
        <v>723.01311001508793</v>
      </c>
      <c r="CH141">
        <v>109.49263999999999</v>
      </c>
    </row>
    <row r="142" spans="1:86" ht="15.5" x14ac:dyDescent="0.35">
      <c r="A142" t="s">
        <v>91</v>
      </c>
      <c r="B142">
        <v>2020</v>
      </c>
      <c r="C142" s="2">
        <v>56.978000000000002</v>
      </c>
      <c r="D142">
        <v>105110.7</v>
      </c>
      <c r="E142">
        <v>0.1956</v>
      </c>
      <c r="F142">
        <v>8.8233999999999995</v>
      </c>
      <c r="G142">
        <v>126000</v>
      </c>
      <c r="H142">
        <v>10</v>
      </c>
      <c r="I142" s="19">
        <v>111.767</v>
      </c>
      <c r="J142" s="19">
        <v>111.9</v>
      </c>
      <c r="K142" s="19">
        <v>2.9140000000000001</v>
      </c>
      <c r="L142" s="19">
        <v>69.047600000000003</v>
      </c>
      <c r="M142" s="19">
        <v>4417000000</v>
      </c>
      <c r="N142" s="19">
        <v>121.55710000000001</v>
      </c>
      <c r="O142">
        <v>26.986999999999998</v>
      </c>
      <c r="P142">
        <v>36.449100000000001</v>
      </c>
      <c r="Q142" s="19">
        <v>23464.295999999998</v>
      </c>
      <c r="R142" s="19">
        <v>19233.147000000001</v>
      </c>
      <c r="S142" s="19">
        <v>-5.5349000000000004</v>
      </c>
      <c r="T142" s="19">
        <v>45119.938699999999</v>
      </c>
      <c r="U142" s="19">
        <v>44839.482199999999</v>
      </c>
      <c r="V142">
        <v>26.2</v>
      </c>
      <c r="W142" s="19">
        <v>78.571399999999997</v>
      </c>
      <c r="X142">
        <v>97</v>
      </c>
      <c r="Y142">
        <v>96</v>
      </c>
      <c r="Z142">
        <v>94</v>
      </c>
      <c r="AA142">
        <v>2.4</v>
      </c>
      <c r="AB142">
        <v>81.3</v>
      </c>
      <c r="AC142">
        <v>78.226799999999997</v>
      </c>
      <c r="AD142">
        <v>93.363100000000003</v>
      </c>
      <c r="AE142">
        <v>3</v>
      </c>
      <c r="AF142">
        <v>90.235500000000002</v>
      </c>
      <c r="AH142">
        <v>0.4</v>
      </c>
      <c r="AI142">
        <v>2.9</v>
      </c>
      <c r="AJ142">
        <v>2.6</v>
      </c>
      <c r="AK142">
        <v>3.2</v>
      </c>
      <c r="AL142">
        <v>64.593400000000003</v>
      </c>
      <c r="AM142">
        <v>1.5</v>
      </c>
      <c r="AN142">
        <v>4336</v>
      </c>
      <c r="AO142">
        <v>0</v>
      </c>
      <c r="AP142">
        <v>99.880600000000001</v>
      </c>
      <c r="AQ142">
        <v>99.136899999999997</v>
      </c>
      <c r="AR142">
        <v>97.882499999999993</v>
      </c>
      <c r="AU142">
        <v>14.1111</v>
      </c>
      <c r="AV142" s="19">
        <v>77.830200000000005</v>
      </c>
      <c r="AW142">
        <v>0</v>
      </c>
      <c r="AX142">
        <v>8.6</v>
      </c>
      <c r="AY142">
        <v>3</v>
      </c>
      <c r="AZ142">
        <v>5</v>
      </c>
      <c r="BA142">
        <v>89.0261</v>
      </c>
      <c r="BB142">
        <v>22.5</v>
      </c>
      <c r="BC142">
        <v>8.0564999999999998</v>
      </c>
      <c r="BD142" s="19">
        <v>-5.3049999999999997</v>
      </c>
      <c r="BE142" s="19">
        <v>86.666700000000006</v>
      </c>
      <c r="BF142">
        <v>14.3377</v>
      </c>
      <c r="BG142">
        <v>17</v>
      </c>
      <c r="BH142" s="20">
        <v>1.986</v>
      </c>
      <c r="BI142" s="20">
        <v>4187.1845999999996</v>
      </c>
      <c r="BJ142" s="19">
        <v>82.857100000000003</v>
      </c>
      <c r="BK142">
        <v>1.0028999999999999</v>
      </c>
      <c r="BL142">
        <v>1.0069999999999999</v>
      </c>
      <c r="BM142">
        <v>1.0097</v>
      </c>
      <c r="BN142">
        <v>8</v>
      </c>
      <c r="BO142">
        <v>6.6820000000000004</v>
      </c>
      <c r="BP142">
        <v>12.73</v>
      </c>
      <c r="BQ142" s="19">
        <v>100.804</v>
      </c>
      <c r="BR142">
        <v>93.2029</v>
      </c>
      <c r="BS142" s="20">
        <v>2.5499999999999998</v>
      </c>
      <c r="BT142" s="20">
        <v>2.5510000000000002</v>
      </c>
      <c r="BU142" s="20">
        <v>7.9359999999999999</v>
      </c>
      <c r="BV142" s="20">
        <v>7.9550000000000001</v>
      </c>
      <c r="BW142" s="19">
        <v>78.744</v>
      </c>
      <c r="BX142">
        <v>16.47</v>
      </c>
      <c r="BY142" s="6">
        <v>10836444</v>
      </c>
      <c r="BZ142" s="5">
        <v>31382494</v>
      </c>
      <c r="CA142" s="7">
        <f t="shared" si="10"/>
        <v>2.8960140429831038</v>
      </c>
      <c r="CB142">
        <v>10697858</v>
      </c>
      <c r="CC142" s="8">
        <f t="shared" si="11"/>
        <v>2.933530618933248</v>
      </c>
      <c r="CD142" s="8">
        <f t="shared" si="12"/>
        <v>1.0129545559494246</v>
      </c>
      <c r="CE142">
        <v>78871</v>
      </c>
      <c r="CF142" s="8">
        <f t="shared" si="13"/>
        <v>137.39453030898557</v>
      </c>
      <c r="CG142" s="8">
        <f t="shared" si="14"/>
        <v>397.89648920388987</v>
      </c>
      <c r="CH142">
        <v>109.36262000000001</v>
      </c>
    </row>
    <row r="143" spans="1:86" ht="15.5" x14ac:dyDescent="0.35">
      <c r="A143" t="s">
        <v>91</v>
      </c>
      <c r="B143">
        <v>2021</v>
      </c>
      <c r="C143" s="2">
        <v>57.7438</v>
      </c>
      <c r="D143">
        <v>104058</v>
      </c>
      <c r="E143">
        <v>0.19750000000000001</v>
      </c>
      <c r="F143">
        <v>9.4375</v>
      </c>
      <c r="G143">
        <v>126000</v>
      </c>
      <c r="H143">
        <v>10</v>
      </c>
      <c r="I143" s="19">
        <v>116.05800000000001</v>
      </c>
      <c r="J143" s="19">
        <v>119.3</v>
      </c>
      <c r="K143" s="19">
        <v>6.2510000000000003</v>
      </c>
      <c r="L143" s="19">
        <v>71.904799999999994</v>
      </c>
      <c r="M143" s="19">
        <v>-5983000000</v>
      </c>
      <c r="N143" s="19">
        <v>143.4066</v>
      </c>
      <c r="O143">
        <v>27.57</v>
      </c>
      <c r="P143">
        <v>37.4985</v>
      </c>
      <c r="Q143" s="19">
        <v>27667.664000000001</v>
      </c>
      <c r="R143" s="19">
        <v>20373.8783</v>
      </c>
      <c r="S143" s="19">
        <v>5.9310999999999998</v>
      </c>
      <c r="T143" s="19">
        <v>47796.0337</v>
      </c>
      <c r="U143" s="19">
        <v>47796.0337</v>
      </c>
      <c r="V143">
        <v>26.2</v>
      </c>
      <c r="W143" s="19">
        <v>81.428600000000003</v>
      </c>
      <c r="X143">
        <v>94</v>
      </c>
      <c r="Y143">
        <v>94</v>
      </c>
      <c r="Z143">
        <v>97</v>
      </c>
      <c r="AA143">
        <v>2.2999999999999998</v>
      </c>
      <c r="AB143">
        <v>82.7</v>
      </c>
      <c r="AC143">
        <v>77.221999999999994</v>
      </c>
      <c r="AD143">
        <v>96.586100000000002</v>
      </c>
      <c r="AE143">
        <v>4</v>
      </c>
      <c r="AH143">
        <v>0.56999999999999995</v>
      </c>
      <c r="AI143">
        <v>2.8</v>
      </c>
      <c r="AJ143">
        <v>2.4</v>
      </c>
      <c r="AK143">
        <v>3.1</v>
      </c>
      <c r="AL143">
        <v>64.666200000000003</v>
      </c>
      <c r="AM143">
        <v>1.4</v>
      </c>
      <c r="AN143">
        <v>4111</v>
      </c>
      <c r="AO143">
        <v>0</v>
      </c>
      <c r="AP143">
        <v>99.880700000000004</v>
      </c>
      <c r="AQ143">
        <v>99.136600000000001</v>
      </c>
      <c r="AR143">
        <v>97.882900000000006</v>
      </c>
      <c r="AV143" s="19">
        <v>81.603800000000007</v>
      </c>
      <c r="AW143">
        <v>0.1</v>
      </c>
      <c r="AX143">
        <v>10.199999999999999</v>
      </c>
      <c r="AY143">
        <v>3</v>
      </c>
      <c r="AZ143">
        <v>5</v>
      </c>
      <c r="BA143">
        <v>89.358199999999997</v>
      </c>
      <c r="BB143">
        <v>25</v>
      </c>
      <c r="BC143">
        <v>8.1769999999999996</v>
      </c>
      <c r="BD143" s="19">
        <v>4.0289999999999999</v>
      </c>
      <c r="BE143" s="19">
        <v>87.619</v>
      </c>
      <c r="BF143">
        <v>14.0235</v>
      </c>
      <c r="BG143">
        <v>17.2</v>
      </c>
      <c r="BH143" s="20">
        <v>1.996</v>
      </c>
      <c r="BI143" s="20">
        <v>4560.4512000000004</v>
      </c>
      <c r="BJ143" s="19">
        <v>83.333299999999994</v>
      </c>
      <c r="BN143">
        <v>8</v>
      </c>
      <c r="BO143">
        <v>6.61</v>
      </c>
      <c r="BP143">
        <v>13.33</v>
      </c>
      <c r="BQ143" s="19">
        <v>98.853300000000004</v>
      </c>
      <c r="BS143" s="20">
        <v>2.8029999999999999</v>
      </c>
      <c r="BT143" s="20">
        <v>2.8029999999999999</v>
      </c>
      <c r="BU143" s="20">
        <v>8.1340000000000003</v>
      </c>
      <c r="BV143" s="20">
        <v>8.1509999999999998</v>
      </c>
      <c r="BW143" s="19">
        <v>79.710099999999997</v>
      </c>
      <c r="BX143">
        <v>17.670000000000002</v>
      </c>
      <c r="BY143" s="6">
        <v>11383601</v>
      </c>
      <c r="BZ143" s="5">
        <v>31924242</v>
      </c>
      <c r="CA143" s="7">
        <f t="shared" si="10"/>
        <v>2.8044062682801338</v>
      </c>
      <c r="CB143">
        <v>10505772</v>
      </c>
      <c r="CC143" s="8">
        <f t="shared" si="11"/>
        <v>3.0387335647489779</v>
      </c>
      <c r="CD143" s="8">
        <f t="shared" si="12"/>
        <v>1.0835568295219047</v>
      </c>
      <c r="CE143">
        <v>78871</v>
      </c>
      <c r="CF143" s="8">
        <f t="shared" si="13"/>
        <v>144.33189638777245</v>
      </c>
      <c r="CG143" s="8">
        <f t="shared" si="14"/>
        <v>404.76527494262785</v>
      </c>
      <c r="CH143">
        <v>113.31744</v>
      </c>
    </row>
    <row r="144" spans="1:86" ht="15.5" x14ac:dyDescent="0.35">
      <c r="A144" t="s">
        <v>91</v>
      </c>
      <c r="B144">
        <v>2022</v>
      </c>
      <c r="C144" s="2">
        <v>57.396099999999997</v>
      </c>
      <c r="E144">
        <v>0.1925</v>
      </c>
      <c r="F144">
        <v>9.3170000000000002</v>
      </c>
      <c r="H144">
        <v>10</v>
      </c>
      <c r="I144" s="19">
        <v>133.583</v>
      </c>
      <c r="J144" s="19">
        <v>138.1</v>
      </c>
      <c r="K144" s="19">
        <v>8.7970000000000006</v>
      </c>
      <c r="L144" s="19">
        <v>74.528300000000002</v>
      </c>
      <c r="M144" s="19">
        <v>-14141000000</v>
      </c>
      <c r="N144" s="19"/>
      <c r="O144">
        <v>25.844999999999999</v>
      </c>
      <c r="P144">
        <v>37.713700000000003</v>
      </c>
      <c r="Q144" s="19">
        <v>27876.28</v>
      </c>
      <c r="R144" s="19">
        <v>20627.348600000001</v>
      </c>
      <c r="S144" s="19">
        <v>1.2441</v>
      </c>
      <c r="T144" s="19">
        <v>48390.661699999997</v>
      </c>
      <c r="U144" s="19">
        <v>51709.837399999997</v>
      </c>
      <c r="W144" s="19">
        <v>81.132099999999994</v>
      </c>
      <c r="X144">
        <v>94</v>
      </c>
      <c r="Y144">
        <v>94</v>
      </c>
      <c r="Z144">
        <v>97</v>
      </c>
      <c r="AA144">
        <v>2.2000000000000002</v>
      </c>
      <c r="AB144">
        <v>84.5</v>
      </c>
      <c r="AC144">
        <v>78.929299999999998</v>
      </c>
      <c r="AD144">
        <v>93.234700000000004</v>
      </c>
      <c r="AE144">
        <v>3</v>
      </c>
      <c r="AI144">
        <v>2.7</v>
      </c>
      <c r="AJ144">
        <v>2.2999999999999998</v>
      </c>
      <c r="AK144">
        <v>3</v>
      </c>
      <c r="AL144">
        <v>64.651300000000006</v>
      </c>
      <c r="AM144">
        <v>1.4</v>
      </c>
      <c r="AN144">
        <v>329739</v>
      </c>
      <c r="AO144">
        <v>0</v>
      </c>
      <c r="AP144">
        <v>99.880899999999997</v>
      </c>
      <c r="AQ144">
        <v>99.136399999999995</v>
      </c>
      <c r="AR144">
        <v>97.883399999999995</v>
      </c>
      <c r="AV144" s="19">
        <v>75</v>
      </c>
      <c r="AY144">
        <v>3</v>
      </c>
      <c r="AZ144">
        <v>5</v>
      </c>
      <c r="BA144">
        <v>89.691100000000006</v>
      </c>
      <c r="BB144">
        <v>25.5</v>
      </c>
      <c r="BC144">
        <v>7.4591000000000003</v>
      </c>
      <c r="BD144" s="19">
        <v>2.847</v>
      </c>
      <c r="BE144" s="19">
        <v>88.679199999999994</v>
      </c>
      <c r="BG144" s="23">
        <v>18.123000000000001</v>
      </c>
      <c r="BH144" s="20">
        <v>1.9641999999999999</v>
      </c>
      <c r="BI144" s="20">
        <v>4696.6845999999996</v>
      </c>
      <c r="BJ144" s="19">
        <v>83.490600000000001</v>
      </c>
      <c r="BN144">
        <v>8</v>
      </c>
      <c r="BO144">
        <v>7.58</v>
      </c>
      <c r="BQ144" s="19"/>
      <c r="BS144" s="20">
        <v>2.2240000000000002</v>
      </c>
      <c r="BT144" s="20">
        <v>2.2240000000000002</v>
      </c>
      <c r="BU144" s="20">
        <v>6.72</v>
      </c>
      <c r="BV144" s="20">
        <v>6.7450000000000001</v>
      </c>
      <c r="BW144" s="19">
        <v>81.159400000000005</v>
      </c>
      <c r="BX144">
        <v>20.46</v>
      </c>
      <c r="BY144" s="6">
        <v>19424164</v>
      </c>
      <c r="BZ144" s="5">
        <v>50599312</v>
      </c>
      <c r="CA144" s="7">
        <f t="shared" si="10"/>
        <v>2.6049672974342681</v>
      </c>
      <c r="CB144">
        <v>10672118</v>
      </c>
      <c r="CC144" s="8">
        <f t="shared" si="11"/>
        <v>4.7412624185752072</v>
      </c>
      <c r="CD144" s="8">
        <f t="shared" si="12"/>
        <v>1.8200851977086461</v>
      </c>
      <c r="CE144">
        <v>78871</v>
      </c>
      <c r="CF144" s="8">
        <f t="shared" si="13"/>
        <v>246.27764324022772</v>
      </c>
      <c r="CG144" s="8">
        <f t="shared" si="14"/>
        <v>641.54520672997683</v>
      </c>
      <c r="CH144">
        <v>124.73345999999999</v>
      </c>
    </row>
    <row r="145" spans="1:86" ht="15.5" x14ac:dyDescent="0.35">
      <c r="A145" t="s">
        <v>91</v>
      </c>
      <c r="B145">
        <v>2023</v>
      </c>
      <c r="C145" s="26">
        <v>56.787799999999997</v>
      </c>
      <c r="E145">
        <v>0.1754</v>
      </c>
      <c r="F145">
        <v>8.3314000000000004</v>
      </c>
      <c r="H145">
        <v>10</v>
      </c>
      <c r="I145" s="19">
        <v>147.82499999999999</v>
      </c>
      <c r="J145" s="19">
        <v>147.6</v>
      </c>
      <c r="K145" s="19">
        <v>6.0270000000000001</v>
      </c>
      <c r="L145" s="19">
        <v>76.886799999999994</v>
      </c>
      <c r="M145" s="19">
        <v>-382000000</v>
      </c>
      <c r="N145" s="19"/>
      <c r="O145">
        <v>26.896000000000001</v>
      </c>
      <c r="P145">
        <v>37.924900000000001</v>
      </c>
      <c r="Q145" s="19">
        <v>31630.133999999998</v>
      </c>
      <c r="R145" s="19">
        <v>20245.6558</v>
      </c>
      <c r="S145" s="19">
        <v>-1.8504</v>
      </c>
      <c r="T145" s="19">
        <v>47495.230600000003</v>
      </c>
      <c r="U145" s="19">
        <v>53217.421699999999</v>
      </c>
      <c r="W145" s="19">
        <v>82.547200000000004</v>
      </c>
      <c r="X145">
        <v>94</v>
      </c>
      <c r="Y145">
        <v>94</v>
      </c>
      <c r="Z145">
        <v>87</v>
      </c>
      <c r="AA145">
        <v>2.1</v>
      </c>
      <c r="AB145">
        <v>86</v>
      </c>
      <c r="AC145">
        <v>79.878</v>
      </c>
      <c r="AE145">
        <v>3</v>
      </c>
      <c r="AI145">
        <v>2.6</v>
      </c>
      <c r="AJ145">
        <v>2.2999999999999998</v>
      </c>
      <c r="AK145">
        <v>2.8</v>
      </c>
      <c r="AL145" s="24">
        <v>64.651300000000006</v>
      </c>
      <c r="AM145">
        <v>1.3</v>
      </c>
      <c r="AN145">
        <v>-14638</v>
      </c>
      <c r="AV145" s="19">
        <v>82.464500000000001</v>
      </c>
      <c r="AY145" s="25">
        <v>3</v>
      </c>
      <c r="AZ145">
        <v>5</v>
      </c>
      <c r="BB145">
        <v>26</v>
      </c>
      <c r="BD145" s="19">
        <v>-5.5E-2</v>
      </c>
      <c r="BE145" s="19">
        <v>87.735799999999998</v>
      </c>
      <c r="BG145" s="23">
        <v>18.585999999999999</v>
      </c>
      <c r="BH145" s="20"/>
      <c r="BI145" s="20"/>
      <c r="BJ145" s="19">
        <v>84.433999999999997</v>
      </c>
      <c r="BN145">
        <v>8</v>
      </c>
      <c r="BO145">
        <v>7.0339999999999998</v>
      </c>
      <c r="BQ145" s="19"/>
      <c r="BS145" s="20">
        <v>2.5790000000000002</v>
      </c>
      <c r="BT145" s="20">
        <v>2.58</v>
      </c>
      <c r="BU145" s="20">
        <v>8.2690000000000001</v>
      </c>
      <c r="BV145" s="20">
        <v>8.5020000000000007</v>
      </c>
      <c r="BW145" s="19">
        <v>82.352900000000005</v>
      </c>
      <c r="BX145">
        <v>18.149999999999999</v>
      </c>
      <c r="BY145" s="6">
        <v>21977671</v>
      </c>
      <c r="BZ145" s="5">
        <v>55842471</v>
      </c>
      <c r="CA145" s="7">
        <f t="shared" si="10"/>
        <v>2.5408730069714847</v>
      </c>
      <c r="CB145">
        <v>10864042</v>
      </c>
      <c r="CC145" s="8">
        <f t="shared" si="11"/>
        <v>5.1401192116157137</v>
      </c>
      <c r="CD145" s="8">
        <f t="shared" si="12"/>
        <v>2.0229736777527187</v>
      </c>
      <c r="CE145">
        <v>78871</v>
      </c>
      <c r="CF145" s="8">
        <f t="shared" si="13"/>
        <v>278.65338337284936</v>
      </c>
      <c r="CG145" s="8">
        <f t="shared" si="14"/>
        <v>708.02286011334968</v>
      </c>
      <c r="CH145">
        <v>134.21145999999999</v>
      </c>
    </row>
    <row r="146" spans="1:86" ht="15.5" x14ac:dyDescent="0.35">
      <c r="A146" t="s">
        <v>92</v>
      </c>
      <c r="B146">
        <v>2000</v>
      </c>
      <c r="C146" s="2">
        <v>49.964399999999998</v>
      </c>
      <c r="D146">
        <v>82291.53</v>
      </c>
      <c r="E146">
        <v>0.17330000000000001</v>
      </c>
      <c r="F146">
        <v>9.9550000000000001</v>
      </c>
      <c r="G146">
        <v>70600</v>
      </c>
      <c r="H146">
        <v>9</v>
      </c>
      <c r="I146" s="19">
        <v>77.492000000000004</v>
      </c>
      <c r="J146" s="19">
        <v>78.400000000000006</v>
      </c>
      <c r="K146" s="19">
        <v>4.9669999999999996</v>
      </c>
      <c r="L146" s="19">
        <v>99.468100000000007</v>
      </c>
      <c r="M146" s="19">
        <v>3265000000</v>
      </c>
      <c r="N146" s="19">
        <v>53.600700000000003</v>
      </c>
      <c r="O146">
        <v>19.741</v>
      </c>
      <c r="P146">
        <v>1.2547999999999999</v>
      </c>
      <c r="Q146" s="19">
        <v>30777.178</v>
      </c>
      <c r="R146" s="19">
        <v>49266.988299999997</v>
      </c>
      <c r="S146" s="19">
        <v>3.3778999999999999</v>
      </c>
      <c r="T146" s="19">
        <v>57431.9709</v>
      </c>
      <c r="U146" s="19">
        <v>28641.699000000001</v>
      </c>
      <c r="V146">
        <v>23.8</v>
      </c>
      <c r="W146" s="19">
        <v>97.267799999999994</v>
      </c>
      <c r="X146">
        <v>97</v>
      </c>
      <c r="Z146">
        <v>99</v>
      </c>
      <c r="AA146">
        <v>4.7</v>
      </c>
      <c r="AB146">
        <v>39.200000000000003</v>
      </c>
      <c r="AC146">
        <v>76.592699999999994</v>
      </c>
      <c r="AE146">
        <v>9</v>
      </c>
      <c r="AF146">
        <v>88.724999999999994</v>
      </c>
      <c r="AG146">
        <v>9.6</v>
      </c>
      <c r="AH146">
        <v>0.28999999999999998</v>
      </c>
      <c r="AI146">
        <v>5.6</v>
      </c>
      <c r="AJ146">
        <v>5.0999999999999996</v>
      </c>
      <c r="AK146">
        <v>6.2</v>
      </c>
      <c r="AL146">
        <v>66.827399999999997</v>
      </c>
      <c r="AM146">
        <v>3.5</v>
      </c>
      <c r="AN146">
        <v>10441</v>
      </c>
      <c r="AO146">
        <v>0</v>
      </c>
      <c r="AP146">
        <v>100</v>
      </c>
      <c r="AQ146">
        <v>99.597200000000001</v>
      </c>
      <c r="AR146">
        <v>94.021500000000003</v>
      </c>
      <c r="AU146">
        <v>15.6478</v>
      </c>
      <c r="AV146" s="19">
        <v>95.767200000000003</v>
      </c>
      <c r="AW146">
        <v>0</v>
      </c>
      <c r="AZ146">
        <v>6</v>
      </c>
      <c r="BA146">
        <v>94.471900000000005</v>
      </c>
      <c r="BB146">
        <v>37.430199999999999</v>
      </c>
      <c r="BC146">
        <v>6.7352999999999996</v>
      </c>
      <c r="BD146" s="19">
        <v>3.72</v>
      </c>
      <c r="BE146" s="19">
        <v>95.652199999999993</v>
      </c>
      <c r="BF146">
        <v>15.455</v>
      </c>
      <c r="BG146">
        <v>10.7</v>
      </c>
      <c r="BH146" s="20">
        <v>2.1861999999999999</v>
      </c>
      <c r="BI146" s="20"/>
      <c r="BJ146" s="19">
        <v>97.5124</v>
      </c>
      <c r="BK146">
        <v>1.0028999999999999</v>
      </c>
      <c r="BL146">
        <v>1.0239</v>
      </c>
      <c r="BM146">
        <v>1.0408999999999999</v>
      </c>
      <c r="BN146">
        <v>6</v>
      </c>
      <c r="BO146">
        <v>4.9470000000000001</v>
      </c>
      <c r="BP146">
        <v>15.54</v>
      </c>
      <c r="BQ146" s="19">
        <v>99.027100000000004</v>
      </c>
      <c r="BR146">
        <v>89.384600000000006</v>
      </c>
      <c r="BS146" s="20">
        <v>4.476</v>
      </c>
      <c r="BT146" s="20">
        <v>4.476</v>
      </c>
      <c r="BU146" s="20">
        <v>6.726</v>
      </c>
      <c r="BV146" s="20">
        <v>6.7240000000000002</v>
      </c>
      <c r="BW146" s="19">
        <v>97.5124</v>
      </c>
      <c r="BX146">
        <v>18.309999999999999</v>
      </c>
      <c r="BY146" s="5">
        <v>5126675</v>
      </c>
      <c r="BZ146" s="6">
        <v>25164945</v>
      </c>
      <c r="CA146" s="7">
        <f t="shared" si="10"/>
        <v>4.9086288871442019</v>
      </c>
      <c r="CB146">
        <v>5339616</v>
      </c>
      <c r="CC146" s="8">
        <f t="shared" si="11"/>
        <v>4.7128754202549397</v>
      </c>
      <c r="CD146" s="8">
        <f t="shared" si="12"/>
        <v>0.9601205405032871</v>
      </c>
      <c r="CE146">
        <v>42925</v>
      </c>
      <c r="CF146" s="8">
        <f t="shared" si="13"/>
        <v>119.43331391962725</v>
      </c>
      <c r="CG146" s="8">
        <f t="shared" si="14"/>
        <v>586.25381479324403</v>
      </c>
      <c r="CH146">
        <v>100.51361</v>
      </c>
    </row>
    <row r="147" spans="1:86" ht="15.5" x14ac:dyDescent="0.35">
      <c r="A147" t="s">
        <v>92</v>
      </c>
      <c r="B147">
        <v>2001</v>
      </c>
      <c r="C147" s="2">
        <v>50.289499999999997</v>
      </c>
      <c r="D147">
        <v>74608.33</v>
      </c>
      <c r="E147">
        <v>0.1769</v>
      </c>
      <c r="F147">
        <v>10.217700000000001</v>
      </c>
      <c r="G147">
        <v>72300</v>
      </c>
      <c r="H147">
        <v>9</v>
      </c>
      <c r="I147" s="19">
        <v>79.25</v>
      </c>
      <c r="J147" s="19">
        <v>80</v>
      </c>
      <c r="K147" s="19">
        <v>3.9790000000000001</v>
      </c>
      <c r="L147" s="19"/>
      <c r="M147" s="19">
        <v>6008000000</v>
      </c>
      <c r="N147" s="19">
        <v>54.165399999999998</v>
      </c>
      <c r="O147">
        <v>17.574000000000002</v>
      </c>
      <c r="P147">
        <v>4.4413</v>
      </c>
      <c r="Q147" s="19">
        <v>30823.474999999999</v>
      </c>
      <c r="R147" s="19">
        <v>49557.150999999998</v>
      </c>
      <c r="S147" s="19">
        <v>0.58899999999999997</v>
      </c>
      <c r="T147" s="19">
        <v>57770.222099999999</v>
      </c>
      <c r="U147" s="19">
        <v>29462.123299999999</v>
      </c>
      <c r="W147" s="19"/>
      <c r="X147">
        <v>97</v>
      </c>
      <c r="Z147">
        <v>94</v>
      </c>
      <c r="AA147">
        <v>4.5999999999999996</v>
      </c>
      <c r="AB147">
        <v>43</v>
      </c>
      <c r="AC147">
        <v>76.792699999999996</v>
      </c>
      <c r="AE147">
        <v>9</v>
      </c>
      <c r="AF147">
        <v>88.831500000000005</v>
      </c>
      <c r="AG147">
        <v>8.6</v>
      </c>
      <c r="AH147">
        <v>0.31</v>
      </c>
      <c r="AI147">
        <v>5.5</v>
      </c>
      <c r="AJ147">
        <v>5</v>
      </c>
      <c r="AK147">
        <v>6</v>
      </c>
      <c r="AL147">
        <v>67.023600000000002</v>
      </c>
      <c r="AM147">
        <v>3.3</v>
      </c>
      <c r="AN147">
        <v>12192</v>
      </c>
      <c r="AO147">
        <v>0</v>
      </c>
      <c r="AP147">
        <v>100</v>
      </c>
      <c r="AQ147">
        <v>99.597200000000001</v>
      </c>
      <c r="AR147">
        <v>94.021500000000003</v>
      </c>
      <c r="AU147">
        <v>15.3954</v>
      </c>
      <c r="AV147" s="19"/>
      <c r="AZ147">
        <v>6</v>
      </c>
      <c r="BA147">
        <v>94.471900000000005</v>
      </c>
      <c r="BC147">
        <v>7.0464000000000002</v>
      </c>
      <c r="BD147" s="19">
        <v>0.95399999999999996</v>
      </c>
      <c r="BE147" s="19"/>
      <c r="BF147">
        <v>15.4947</v>
      </c>
      <c r="BG147">
        <v>11.1</v>
      </c>
      <c r="BH147" s="20">
        <v>2.3247</v>
      </c>
      <c r="BI147" s="20">
        <v>3636.5626999999999</v>
      </c>
      <c r="BJ147" s="19"/>
      <c r="BK147">
        <v>1.0031000000000001</v>
      </c>
      <c r="BL147">
        <v>1.0270999999999999</v>
      </c>
      <c r="BM147">
        <v>1.0474000000000001</v>
      </c>
      <c r="BN147">
        <v>6</v>
      </c>
      <c r="BO147">
        <v>5.2469999999999999</v>
      </c>
      <c r="BP147">
        <v>15.78</v>
      </c>
      <c r="BQ147" s="19">
        <v>99.695599999999999</v>
      </c>
      <c r="BR147">
        <v>88.632300000000001</v>
      </c>
      <c r="BS147" s="20">
        <v>4.1639999999999997</v>
      </c>
      <c r="BT147" s="20">
        <v>4.1639999999999997</v>
      </c>
      <c r="BU147" s="20">
        <v>8.2289999999999992</v>
      </c>
      <c r="BV147" s="20">
        <v>8.2509999999999994</v>
      </c>
      <c r="BW147" s="19"/>
      <c r="BX147">
        <v>15.17</v>
      </c>
      <c r="BY147" s="5">
        <v>5119424</v>
      </c>
      <c r="BZ147" s="6">
        <v>25186597</v>
      </c>
      <c r="CA147" s="7">
        <f t="shared" si="10"/>
        <v>4.9198107052668423</v>
      </c>
      <c r="CB147">
        <v>5358783</v>
      </c>
      <c r="CC147" s="8">
        <f t="shared" si="11"/>
        <v>4.7000591365614168</v>
      </c>
      <c r="CD147" s="8">
        <f t="shared" si="12"/>
        <v>0.95533332848148544</v>
      </c>
      <c r="CE147">
        <v>42925</v>
      </c>
      <c r="CF147" s="8">
        <f t="shared" si="13"/>
        <v>119.26439138031451</v>
      </c>
      <c r="CG147" s="8">
        <f t="shared" si="14"/>
        <v>586.75822947000586</v>
      </c>
      <c r="CH147">
        <v>101.12269000000001</v>
      </c>
    </row>
    <row r="148" spans="1:86" ht="15.5" x14ac:dyDescent="0.35">
      <c r="A148" t="s">
        <v>92</v>
      </c>
      <c r="B148">
        <v>2002</v>
      </c>
      <c r="C148" s="2">
        <v>50.5749</v>
      </c>
      <c r="D148">
        <v>81411.289999999994</v>
      </c>
      <c r="E148">
        <v>0.17449999999999999</v>
      </c>
      <c r="F148">
        <v>10.096</v>
      </c>
      <c r="G148">
        <v>71800</v>
      </c>
      <c r="H148">
        <v>9</v>
      </c>
      <c r="I148" s="19">
        <v>81.150000000000006</v>
      </c>
      <c r="J148" s="19">
        <v>82.1</v>
      </c>
      <c r="K148" s="19">
        <v>4.1139999999999999</v>
      </c>
      <c r="L148" s="19">
        <v>99.4709</v>
      </c>
      <c r="M148" s="19">
        <v>5358000000</v>
      </c>
      <c r="N148" s="19">
        <v>60.230899999999998</v>
      </c>
      <c r="O148">
        <v>17.878</v>
      </c>
      <c r="P148">
        <v>8.3947000000000003</v>
      </c>
      <c r="Q148" s="19">
        <v>33304.059000000001</v>
      </c>
      <c r="R148" s="19">
        <v>49624.5965</v>
      </c>
      <c r="S148" s="19">
        <v>0.1361</v>
      </c>
      <c r="T148" s="19">
        <v>57848.845300000001</v>
      </c>
      <c r="U148" s="19">
        <v>30666.596799999999</v>
      </c>
      <c r="W148" s="19">
        <v>99.459500000000006</v>
      </c>
      <c r="X148">
        <v>98</v>
      </c>
      <c r="Z148">
        <v>95</v>
      </c>
      <c r="AA148">
        <v>4.5</v>
      </c>
      <c r="AB148">
        <v>64.3</v>
      </c>
      <c r="AC148">
        <v>76.895099999999999</v>
      </c>
      <c r="AE148">
        <v>9</v>
      </c>
      <c r="AF148">
        <v>88.990399999999994</v>
      </c>
      <c r="AG148">
        <v>8.9</v>
      </c>
      <c r="AH148">
        <v>0.2</v>
      </c>
      <c r="AI148">
        <v>5.4</v>
      </c>
      <c r="AJ148">
        <v>4.9000000000000004</v>
      </c>
      <c r="AK148">
        <v>5.9</v>
      </c>
      <c r="AL148">
        <v>67.392300000000006</v>
      </c>
      <c r="AM148">
        <v>3.2</v>
      </c>
      <c r="AN148">
        <v>9629</v>
      </c>
      <c r="AO148">
        <v>0</v>
      </c>
      <c r="AP148">
        <v>100</v>
      </c>
      <c r="AQ148">
        <v>99.597200000000001</v>
      </c>
      <c r="AR148">
        <v>94.021500000000003</v>
      </c>
      <c r="AU148">
        <v>15.081799999999999</v>
      </c>
      <c r="AV148" s="19">
        <v>96.825400000000002</v>
      </c>
      <c r="AZ148">
        <v>6</v>
      </c>
      <c r="BA148">
        <v>94.471900000000005</v>
      </c>
      <c r="BB148">
        <v>37.988799999999998</v>
      </c>
      <c r="BC148">
        <v>7.2931999999999997</v>
      </c>
      <c r="BD148" s="19">
        <v>0.45400000000000001</v>
      </c>
      <c r="BE148" s="19">
        <v>96.756799999999998</v>
      </c>
      <c r="BF148">
        <v>17.2805</v>
      </c>
      <c r="BG148">
        <v>11.9</v>
      </c>
      <c r="BH148" s="20">
        <v>2.4415</v>
      </c>
      <c r="BI148" s="20">
        <v>4758.7777999999998</v>
      </c>
      <c r="BJ148" s="19">
        <v>99.004999999999995</v>
      </c>
      <c r="BK148">
        <v>1.0026999999999999</v>
      </c>
      <c r="BL148">
        <v>1.0266</v>
      </c>
      <c r="BM148">
        <v>1.0489999999999999</v>
      </c>
      <c r="BN148">
        <v>6</v>
      </c>
      <c r="BO148">
        <v>4.8579999999999997</v>
      </c>
      <c r="BP148">
        <v>14.97</v>
      </c>
      <c r="BQ148" s="19">
        <v>99.566100000000006</v>
      </c>
      <c r="BR148">
        <v>89.391999999999996</v>
      </c>
      <c r="BS148" s="20">
        <v>4.274</v>
      </c>
      <c r="BT148" s="20">
        <v>4.274</v>
      </c>
      <c r="BU148" s="20">
        <v>7.0430000000000001</v>
      </c>
      <c r="BV148" s="20">
        <v>7.0739999999999998</v>
      </c>
      <c r="BW148" s="19">
        <v>99.004999999999995</v>
      </c>
      <c r="BX148">
        <v>14.86</v>
      </c>
      <c r="BY148" s="5">
        <v>5231383</v>
      </c>
      <c r="BZ148" s="6">
        <v>25673644</v>
      </c>
      <c r="CA148" s="7">
        <f t="shared" si="10"/>
        <v>4.9076207954951876</v>
      </c>
      <c r="CB148">
        <v>5375931</v>
      </c>
      <c r="CC148" s="8">
        <f t="shared" si="11"/>
        <v>4.7756647174228988</v>
      </c>
      <c r="CD148" s="8">
        <f t="shared" si="12"/>
        <v>0.97311200608787574</v>
      </c>
      <c r="CE148">
        <v>42925</v>
      </c>
      <c r="CF148" s="8">
        <f t="shared" si="13"/>
        <v>121.87263832265579</v>
      </c>
      <c r="CG148" s="8">
        <f t="shared" si="14"/>
        <v>598.10469423412928</v>
      </c>
      <c r="CH148">
        <v>101.49527999999999</v>
      </c>
    </row>
    <row r="149" spans="1:86" ht="15.5" x14ac:dyDescent="0.35">
      <c r="A149" t="s">
        <v>92</v>
      </c>
      <c r="B149">
        <v>2003</v>
      </c>
      <c r="C149" s="2">
        <v>50.839799999999997</v>
      </c>
      <c r="D149">
        <v>104183.4</v>
      </c>
      <c r="E149">
        <v>0.19109999999999999</v>
      </c>
      <c r="F149">
        <v>11.0756</v>
      </c>
      <c r="G149">
        <v>76900</v>
      </c>
      <c r="H149">
        <v>9</v>
      </c>
      <c r="I149" s="19">
        <v>82.742000000000004</v>
      </c>
      <c r="J149" s="19">
        <v>83.1</v>
      </c>
      <c r="K149" s="19">
        <v>3.5779999999999998</v>
      </c>
      <c r="L149" s="19">
        <v>99.4709</v>
      </c>
      <c r="M149" s="19">
        <v>8574000000</v>
      </c>
      <c r="N149" s="19">
        <v>69.677599999999998</v>
      </c>
      <c r="O149">
        <v>20.48</v>
      </c>
      <c r="P149">
        <v>13.324999999999999</v>
      </c>
      <c r="Q149" s="19">
        <v>40572.442999999999</v>
      </c>
      <c r="R149" s="19">
        <v>49708.090900000003</v>
      </c>
      <c r="S149" s="19">
        <v>0.16830000000000001</v>
      </c>
      <c r="T149" s="19">
        <v>57946.177100000001</v>
      </c>
      <c r="U149" s="19">
        <v>30868.045600000001</v>
      </c>
      <c r="V149">
        <v>25.6</v>
      </c>
      <c r="W149" s="19">
        <v>99.459500000000006</v>
      </c>
      <c r="X149">
        <v>96</v>
      </c>
      <c r="Z149">
        <v>96</v>
      </c>
      <c r="AA149">
        <v>4.4000000000000004</v>
      </c>
      <c r="AB149">
        <v>76.3</v>
      </c>
      <c r="AC149">
        <v>77.143900000000002</v>
      </c>
      <c r="AE149">
        <v>8</v>
      </c>
      <c r="AF149">
        <v>89.145899999999997</v>
      </c>
      <c r="AG149">
        <v>8.3000000000000007</v>
      </c>
      <c r="AH149">
        <v>0.26</v>
      </c>
      <c r="AI149">
        <v>5.2</v>
      </c>
      <c r="AJ149">
        <v>4.7</v>
      </c>
      <c r="AK149">
        <v>5.7</v>
      </c>
      <c r="AL149">
        <v>67.5291</v>
      </c>
      <c r="AM149">
        <v>3.2</v>
      </c>
      <c r="AN149">
        <v>7228</v>
      </c>
      <c r="AO149">
        <v>0</v>
      </c>
      <c r="AP149">
        <v>100</v>
      </c>
      <c r="AQ149">
        <v>99.597200000000001</v>
      </c>
      <c r="AR149">
        <v>94.021500000000003</v>
      </c>
      <c r="AU149">
        <v>14.742699999999999</v>
      </c>
      <c r="AV149" s="19">
        <v>93.969800000000006</v>
      </c>
      <c r="AW149">
        <v>0.3</v>
      </c>
      <c r="AZ149">
        <v>6</v>
      </c>
      <c r="BA149">
        <v>94.471900000000005</v>
      </c>
      <c r="BB149">
        <v>37.988799999999998</v>
      </c>
      <c r="BC149">
        <v>7.4710000000000001</v>
      </c>
      <c r="BD149" s="19">
        <v>0.441</v>
      </c>
      <c r="BE149" s="19">
        <v>97.837800000000001</v>
      </c>
      <c r="BF149">
        <v>17.490100000000002</v>
      </c>
      <c r="BG149">
        <v>12.7</v>
      </c>
      <c r="BH149" s="20">
        <v>2.5108000000000001</v>
      </c>
      <c r="BI149" s="20">
        <v>4621.8603999999996</v>
      </c>
      <c r="BJ149" s="19">
        <v>99.502499999999998</v>
      </c>
      <c r="BM149">
        <v>1.0551999999999999</v>
      </c>
      <c r="BN149">
        <v>6</v>
      </c>
      <c r="BO149">
        <v>6.2789999999999999</v>
      </c>
      <c r="BP149">
        <v>13.68</v>
      </c>
      <c r="BQ149" s="19">
        <v>99.375900000000001</v>
      </c>
      <c r="BR149">
        <v>85.81</v>
      </c>
      <c r="BS149" s="20">
        <v>5.3979999999999997</v>
      </c>
      <c r="BT149" s="20">
        <v>5.3979999999999997</v>
      </c>
      <c r="BU149" s="20">
        <v>9.8040000000000003</v>
      </c>
      <c r="BV149" s="20">
        <v>9.8279999999999994</v>
      </c>
      <c r="BW149" s="19">
        <v>99.502499999999998</v>
      </c>
      <c r="BX149">
        <v>15.35</v>
      </c>
      <c r="BY149" s="5">
        <v>5239262</v>
      </c>
      <c r="BZ149" s="6">
        <v>26289125</v>
      </c>
      <c r="CA149" s="7">
        <f t="shared" si="10"/>
        <v>5.0177152812743477</v>
      </c>
      <c r="CB149">
        <v>5390574</v>
      </c>
      <c r="CC149" s="8">
        <f t="shared" si="11"/>
        <v>4.8768693278303941</v>
      </c>
      <c r="CD149" s="8">
        <f t="shared" si="12"/>
        <v>0.97193026197210164</v>
      </c>
      <c r="CE149">
        <v>42925</v>
      </c>
      <c r="CF149" s="8">
        <f t="shared" si="13"/>
        <v>122.05619103086779</v>
      </c>
      <c r="CG149" s="8">
        <f t="shared" si="14"/>
        <v>612.44321490972629</v>
      </c>
      <c r="CH149">
        <v>101.88843</v>
      </c>
    </row>
    <row r="150" spans="1:86" ht="15.5" x14ac:dyDescent="0.35">
      <c r="A150" t="s">
        <v>92</v>
      </c>
      <c r="B150">
        <v>2004</v>
      </c>
      <c r="C150" s="2">
        <v>51.048400000000001</v>
      </c>
      <c r="D150">
        <v>95432.71</v>
      </c>
      <c r="E150">
        <v>0.1686</v>
      </c>
      <c r="F150">
        <v>10.0174</v>
      </c>
      <c r="G150">
        <v>70800</v>
      </c>
      <c r="H150">
        <v>9</v>
      </c>
      <c r="I150" s="19">
        <v>83.516999999999996</v>
      </c>
      <c r="J150" s="19">
        <v>83.9</v>
      </c>
      <c r="K150" s="19">
        <v>4.0730000000000004</v>
      </c>
      <c r="L150" s="19">
        <v>99.507400000000004</v>
      </c>
      <c r="M150" s="19">
        <v>10168000000</v>
      </c>
      <c r="N150" s="19">
        <v>80.747500000000002</v>
      </c>
      <c r="O150">
        <v>20.620999999999999</v>
      </c>
      <c r="P150">
        <v>18.828299999999999</v>
      </c>
      <c r="Q150" s="19">
        <v>46684.834999999999</v>
      </c>
      <c r="R150" s="19">
        <v>50956.304600000003</v>
      </c>
      <c r="S150" s="19">
        <v>2.5110999999999999</v>
      </c>
      <c r="T150" s="19">
        <v>59401.256300000001</v>
      </c>
      <c r="U150" s="19">
        <v>33019.977299999999</v>
      </c>
      <c r="V150">
        <v>24.9</v>
      </c>
      <c r="W150" s="19">
        <v>100</v>
      </c>
      <c r="X150">
        <v>95</v>
      </c>
      <c r="Z150">
        <v>96</v>
      </c>
      <c r="AA150">
        <v>4.2</v>
      </c>
      <c r="AB150">
        <v>80.900000000000006</v>
      </c>
      <c r="AC150">
        <v>77.492699999999999</v>
      </c>
      <c r="AE150">
        <v>8</v>
      </c>
      <c r="AF150">
        <v>89.307900000000004</v>
      </c>
      <c r="AG150">
        <v>7</v>
      </c>
      <c r="AH150">
        <v>0.27</v>
      </c>
      <c r="AI150">
        <v>5</v>
      </c>
      <c r="AJ150">
        <v>4.5</v>
      </c>
      <c r="AK150">
        <v>5.5</v>
      </c>
      <c r="AL150">
        <v>67.832999999999998</v>
      </c>
      <c r="AM150">
        <v>3.1</v>
      </c>
      <c r="AN150">
        <v>5166</v>
      </c>
      <c r="AO150">
        <v>0</v>
      </c>
      <c r="AP150">
        <v>100</v>
      </c>
      <c r="AQ150">
        <v>99.597200000000001</v>
      </c>
      <c r="AR150">
        <v>94.418400000000005</v>
      </c>
      <c r="AU150">
        <v>14.414</v>
      </c>
      <c r="AV150" s="19">
        <v>83.980599999999995</v>
      </c>
      <c r="AW150">
        <v>0.3</v>
      </c>
      <c r="AZ150">
        <v>6</v>
      </c>
      <c r="BA150">
        <v>94.471900000000005</v>
      </c>
      <c r="BB150">
        <v>37.988799999999998</v>
      </c>
      <c r="BC150">
        <v>7.5255999999999998</v>
      </c>
      <c r="BD150" s="19">
        <v>2.778</v>
      </c>
      <c r="BE150" s="19">
        <v>97.014899999999997</v>
      </c>
      <c r="BF150">
        <v>23.5444</v>
      </c>
      <c r="BG150">
        <v>14.4</v>
      </c>
      <c r="BH150" s="20">
        <v>2.4192</v>
      </c>
      <c r="BI150" s="20">
        <v>4847.7978999999996</v>
      </c>
      <c r="BJ150" s="19">
        <v>99.038499999999999</v>
      </c>
      <c r="BK150">
        <v>0.99870000000000003</v>
      </c>
      <c r="BL150">
        <v>1.0244</v>
      </c>
      <c r="BM150">
        <v>1.0494000000000001</v>
      </c>
      <c r="BN150">
        <v>6</v>
      </c>
      <c r="BO150">
        <v>5.9189999999999996</v>
      </c>
      <c r="BP150">
        <v>14.37</v>
      </c>
      <c r="BQ150" s="19">
        <v>97.0184</v>
      </c>
      <c r="BR150">
        <v>87.625500000000002</v>
      </c>
      <c r="BS150" s="20">
        <v>5.2039999999999997</v>
      </c>
      <c r="BT150" s="20">
        <v>5.2039999999999997</v>
      </c>
      <c r="BU150" s="20">
        <v>7.7759999999999998</v>
      </c>
      <c r="BV150" s="20">
        <v>7.7869999999999999</v>
      </c>
      <c r="BW150" s="19">
        <v>100</v>
      </c>
      <c r="BX150">
        <v>14.59</v>
      </c>
      <c r="BY150" s="5">
        <v>5356366</v>
      </c>
      <c r="BZ150" s="6">
        <v>26119065</v>
      </c>
      <c r="CA150" s="7">
        <f t="shared" si="10"/>
        <v>4.8762659235757972</v>
      </c>
      <c r="CB150">
        <v>5404523</v>
      </c>
      <c r="CC150" s="8">
        <f t="shared" si="11"/>
        <v>4.8328159580410706</v>
      </c>
      <c r="CD150" s="8">
        <f t="shared" si="12"/>
        <v>0.99108950040549371</v>
      </c>
      <c r="CE150">
        <v>42925</v>
      </c>
      <c r="CF150" s="8">
        <f t="shared" si="13"/>
        <v>124.78429819452533</v>
      </c>
      <c r="CG150" s="8">
        <f t="shared" si="14"/>
        <v>608.48142108328477</v>
      </c>
      <c r="CH150">
        <v>100.81247</v>
      </c>
    </row>
    <row r="151" spans="1:86" ht="15.5" x14ac:dyDescent="0.35">
      <c r="A151" t="s">
        <v>92</v>
      </c>
      <c r="B151">
        <v>2005</v>
      </c>
      <c r="C151" s="2">
        <v>51.190600000000003</v>
      </c>
      <c r="D151">
        <v>89780.82</v>
      </c>
      <c r="E151">
        <v>0.1542</v>
      </c>
      <c r="F151">
        <v>9.3497000000000003</v>
      </c>
      <c r="G151">
        <v>67000</v>
      </c>
      <c r="H151">
        <v>9</v>
      </c>
      <c r="I151" s="19">
        <v>84.957999999999998</v>
      </c>
      <c r="J151" s="19">
        <v>85.8</v>
      </c>
      <c r="K151" s="19">
        <v>3.875</v>
      </c>
      <c r="L151" s="19">
        <v>99.0244</v>
      </c>
      <c r="M151" s="19">
        <v>10745000000</v>
      </c>
      <c r="N151" s="19">
        <v>89.171599999999998</v>
      </c>
      <c r="O151">
        <v>21.356000000000002</v>
      </c>
      <c r="P151">
        <v>24.796399999999998</v>
      </c>
      <c r="Q151" s="19">
        <v>48998.313999999998</v>
      </c>
      <c r="R151" s="19">
        <v>52015.184099999999</v>
      </c>
      <c r="S151" s="19">
        <v>2.0779999999999998</v>
      </c>
      <c r="T151" s="19">
        <v>60635.623200000002</v>
      </c>
      <c r="U151" s="19">
        <v>34238.321799999998</v>
      </c>
      <c r="V151">
        <v>25.2</v>
      </c>
      <c r="W151" s="19">
        <v>99.509799999999998</v>
      </c>
      <c r="X151">
        <v>93</v>
      </c>
      <c r="Z151">
        <v>95</v>
      </c>
      <c r="AA151">
        <v>4.0999999999999996</v>
      </c>
      <c r="AB151">
        <v>82.7</v>
      </c>
      <c r="AC151">
        <v>77.843900000000005</v>
      </c>
      <c r="AE151">
        <v>8</v>
      </c>
      <c r="AF151">
        <v>91.123400000000004</v>
      </c>
      <c r="AG151">
        <v>6.5</v>
      </c>
      <c r="AH151">
        <v>0.27</v>
      </c>
      <c r="AI151">
        <v>4.8</v>
      </c>
      <c r="AJ151">
        <v>4.4000000000000004</v>
      </c>
      <c r="AK151">
        <v>5.3</v>
      </c>
      <c r="AL151">
        <v>68.110299999999995</v>
      </c>
      <c r="AM151">
        <v>3.1</v>
      </c>
      <c r="AN151">
        <v>6887</v>
      </c>
      <c r="AO151">
        <v>0</v>
      </c>
      <c r="AP151">
        <v>100</v>
      </c>
      <c r="AQ151">
        <v>99.597200000000001</v>
      </c>
      <c r="AR151">
        <v>94.815399999999997</v>
      </c>
      <c r="AU151">
        <v>14.131600000000001</v>
      </c>
      <c r="AV151" s="19">
        <v>85.436899999999994</v>
      </c>
      <c r="AW151">
        <v>0.3</v>
      </c>
      <c r="AZ151">
        <v>6</v>
      </c>
      <c r="BA151">
        <v>94.471900000000005</v>
      </c>
      <c r="BB151">
        <v>36.871499999999997</v>
      </c>
      <c r="BC151">
        <v>7.6128</v>
      </c>
      <c r="BD151" s="19">
        <v>2.3570000000000002</v>
      </c>
      <c r="BE151" s="19">
        <v>98.039199999999994</v>
      </c>
      <c r="BF151">
        <v>27.070599999999999</v>
      </c>
      <c r="BG151">
        <v>16.100000000000001</v>
      </c>
      <c r="BH151" s="20">
        <v>2.3934000000000002</v>
      </c>
      <c r="BI151" s="20">
        <v>5207.2466000000004</v>
      </c>
      <c r="BJ151" s="19">
        <v>99.043099999999995</v>
      </c>
      <c r="BK151">
        <v>0.99890000000000001</v>
      </c>
      <c r="BL151">
        <v>1.0188999999999999</v>
      </c>
      <c r="BM151">
        <v>1.0378000000000001</v>
      </c>
      <c r="BN151">
        <v>6</v>
      </c>
      <c r="BO151">
        <v>4.3659999999999997</v>
      </c>
      <c r="BP151">
        <v>14.7</v>
      </c>
      <c r="BQ151" s="19">
        <v>98.904700000000005</v>
      </c>
      <c r="BR151">
        <v>87.479799999999997</v>
      </c>
      <c r="BS151" s="20">
        <v>4.83</v>
      </c>
      <c r="BT151" s="20">
        <v>4.83</v>
      </c>
      <c r="BU151" s="20">
        <v>8.6029999999999998</v>
      </c>
      <c r="BV151" s="20">
        <v>8.6140000000000008</v>
      </c>
      <c r="BW151" s="19">
        <v>100</v>
      </c>
      <c r="BX151">
        <v>13.18</v>
      </c>
      <c r="BY151" s="5">
        <v>5525101</v>
      </c>
      <c r="BZ151" s="6">
        <v>26227436</v>
      </c>
      <c r="CA151" s="7">
        <f t="shared" si="10"/>
        <v>4.7469604628042097</v>
      </c>
      <c r="CB151">
        <v>5419432</v>
      </c>
      <c r="CC151" s="8">
        <f t="shared" si="11"/>
        <v>4.8395174992508441</v>
      </c>
      <c r="CD151" s="8">
        <f t="shared" si="12"/>
        <v>1.019498168811787</v>
      </c>
      <c r="CE151">
        <v>42925</v>
      </c>
      <c r="CF151" s="8">
        <f t="shared" si="13"/>
        <v>128.71522422830517</v>
      </c>
      <c r="CG151" s="8">
        <f t="shared" si="14"/>
        <v>611.00608037274321</v>
      </c>
      <c r="CH151">
        <v>100.25769</v>
      </c>
    </row>
    <row r="152" spans="1:86" ht="15.5" x14ac:dyDescent="0.35">
      <c r="A152" t="s">
        <v>92</v>
      </c>
      <c r="B152">
        <v>2006</v>
      </c>
      <c r="C152" s="2">
        <v>51.320900000000002</v>
      </c>
      <c r="D152">
        <v>91054.99</v>
      </c>
      <c r="E152">
        <v>0.17180000000000001</v>
      </c>
      <c r="F152">
        <v>10.781499999999999</v>
      </c>
      <c r="G152">
        <v>74100</v>
      </c>
      <c r="H152">
        <v>9</v>
      </c>
      <c r="I152" s="19">
        <v>86.525000000000006</v>
      </c>
      <c r="J152" s="19">
        <v>87.2</v>
      </c>
      <c r="K152" s="19">
        <v>3.7789999999999999</v>
      </c>
      <c r="L152" s="19">
        <v>100</v>
      </c>
      <c r="M152" s="19">
        <v>9011000000</v>
      </c>
      <c r="N152" s="19">
        <v>96.962599999999995</v>
      </c>
      <c r="O152">
        <v>20.364999999999998</v>
      </c>
      <c r="P152">
        <v>31.914300000000001</v>
      </c>
      <c r="Q152" s="19">
        <v>52213.64</v>
      </c>
      <c r="R152" s="19">
        <v>53823.159</v>
      </c>
      <c r="S152" s="19">
        <v>3.4759000000000002</v>
      </c>
      <c r="T152" s="19">
        <v>62743.232499999998</v>
      </c>
      <c r="U152" s="19">
        <v>37400.307500000003</v>
      </c>
      <c r="V152">
        <v>25.9</v>
      </c>
      <c r="W152" s="19">
        <v>99.512200000000007</v>
      </c>
      <c r="X152">
        <v>93</v>
      </c>
      <c r="Z152">
        <v>90</v>
      </c>
      <c r="AA152">
        <v>3.9</v>
      </c>
      <c r="AB152">
        <v>86.7</v>
      </c>
      <c r="AC152">
        <v>78.095100000000002</v>
      </c>
      <c r="AE152">
        <v>7</v>
      </c>
      <c r="AF152">
        <v>91.279399999999995</v>
      </c>
      <c r="AG152">
        <v>5.8</v>
      </c>
      <c r="AH152">
        <v>0.28000000000000003</v>
      </c>
      <c r="AI152">
        <v>4.5999999999999996</v>
      </c>
      <c r="AJ152">
        <v>4.2</v>
      </c>
      <c r="AK152">
        <v>5.0999999999999996</v>
      </c>
      <c r="AL152">
        <v>71.123800000000003</v>
      </c>
      <c r="AM152">
        <v>3</v>
      </c>
      <c r="AN152">
        <v>10491</v>
      </c>
      <c r="AO152">
        <v>0</v>
      </c>
      <c r="AP152">
        <v>100</v>
      </c>
      <c r="AQ152">
        <v>99.597200000000001</v>
      </c>
      <c r="AR152">
        <v>95.212299999999999</v>
      </c>
      <c r="AU152">
        <v>13.8645</v>
      </c>
      <c r="AV152" s="19">
        <v>85.024199999999993</v>
      </c>
      <c r="AW152">
        <v>0.1</v>
      </c>
      <c r="AZ152">
        <v>6</v>
      </c>
      <c r="BA152">
        <v>94.471900000000005</v>
      </c>
      <c r="BB152">
        <v>36.871499999999997</v>
      </c>
      <c r="BC152">
        <v>7.6898999999999997</v>
      </c>
      <c r="BD152" s="19">
        <v>3.82</v>
      </c>
      <c r="BE152" s="19">
        <v>98.529399999999995</v>
      </c>
      <c r="BF152">
        <v>20.172799999999999</v>
      </c>
      <c r="BG152">
        <v>15.3</v>
      </c>
      <c r="BH152" s="20">
        <v>2.403</v>
      </c>
      <c r="BI152" s="20">
        <v>5314.7295000000004</v>
      </c>
      <c r="BJ152" s="19">
        <v>100</v>
      </c>
      <c r="BK152">
        <v>1.0004999999999999</v>
      </c>
      <c r="BL152">
        <v>1.0181</v>
      </c>
      <c r="BM152">
        <v>1.0347999999999999</v>
      </c>
      <c r="BN152">
        <v>6</v>
      </c>
      <c r="BO152">
        <v>3.6419999999999999</v>
      </c>
      <c r="BP152">
        <v>14.68</v>
      </c>
      <c r="BQ152" s="19">
        <v>98.673400000000001</v>
      </c>
      <c r="BR152">
        <v>89.407499999999999</v>
      </c>
      <c r="BS152" s="20">
        <v>3.8969999999999998</v>
      </c>
      <c r="BT152" s="20">
        <v>3.8969999999999998</v>
      </c>
      <c r="BU152" s="20">
        <v>7.6859999999999999</v>
      </c>
      <c r="BV152" s="20">
        <v>7.6820000000000004</v>
      </c>
      <c r="BW152" s="19">
        <v>100</v>
      </c>
      <c r="BX152">
        <v>14.03</v>
      </c>
      <c r="BY152" s="5">
        <v>5790165</v>
      </c>
      <c r="BZ152" s="6">
        <v>27267050</v>
      </c>
      <c r="CA152" s="7">
        <f t="shared" si="10"/>
        <v>4.7092008604245299</v>
      </c>
      <c r="CB152">
        <v>5437272</v>
      </c>
      <c r="CC152" s="8">
        <f t="shared" si="11"/>
        <v>5.0148401624932504</v>
      </c>
      <c r="CD152" s="8">
        <f t="shared" si="12"/>
        <v>1.0649025835014323</v>
      </c>
      <c r="CE152">
        <v>42925</v>
      </c>
      <c r="CF152" s="8">
        <f t="shared" si="13"/>
        <v>134.89027373325567</v>
      </c>
      <c r="CG152" s="8">
        <f t="shared" si="14"/>
        <v>635.22539312754805</v>
      </c>
      <c r="CH152">
        <v>99.820580000000007</v>
      </c>
    </row>
    <row r="153" spans="1:86" ht="15.5" x14ac:dyDescent="0.35">
      <c r="A153" t="s">
        <v>92</v>
      </c>
      <c r="B153">
        <v>2007</v>
      </c>
      <c r="C153" s="2">
        <v>51.481900000000003</v>
      </c>
      <c r="D153">
        <v>89879.48</v>
      </c>
      <c r="E153">
        <v>0.15640000000000001</v>
      </c>
      <c r="F153">
        <v>9.8661999999999992</v>
      </c>
      <c r="G153">
        <v>69600</v>
      </c>
      <c r="H153">
        <v>9</v>
      </c>
      <c r="I153" s="19">
        <v>87.957999999999998</v>
      </c>
      <c r="J153" s="19">
        <v>89.4</v>
      </c>
      <c r="K153" s="19">
        <v>5.1950000000000003</v>
      </c>
      <c r="L153" s="19">
        <v>100</v>
      </c>
      <c r="M153" s="19">
        <v>4136000000</v>
      </c>
      <c r="N153" s="19">
        <v>108.08110000000001</v>
      </c>
      <c r="O153">
        <v>25.303999999999998</v>
      </c>
      <c r="P153">
        <v>34.853099999999998</v>
      </c>
      <c r="Q153" s="19">
        <v>58786.14</v>
      </c>
      <c r="R153" s="19">
        <v>54113.977099999996</v>
      </c>
      <c r="S153" s="19">
        <v>0.5403</v>
      </c>
      <c r="T153" s="19">
        <v>63082.2477</v>
      </c>
      <c r="U153" s="19">
        <v>39111.519</v>
      </c>
      <c r="V153">
        <v>26.2</v>
      </c>
      <c r="W153" s="19">
        <v>99.514600000000002</v>
      </c>
      <c r="X153">
        <v>87</v>
      </c>
      <c r="Z153">
        <v>89</v>
      </c>
      <c r="AA153">
        <v>3.8</v>
      </c>
      <c r="AB153">
        <v>85</v>
      </c>
      <c r="AC153">
        <v>78.195099999999996</v>
      </c>
      <c r="AE153">
        <v>7</v>
      </c>
      <c r="AF153">
        <v>91.308099999999996</v>
      </c>
      <c r="AG153">
        <v>7.7</v>
      </c>
      <c r="AH153">
        <v>0.28999999999999998</v>
      </c>
      <c r="AI153">
        <v>4.5</v>
      </c>
      <c r="AJ153">
        <v>4.0999999999999996</v>
      </c>
      <c r="AK153">
        <v>4.9000000000000004</v>
      </c>
      <c r="AL153">
        <v>71.451899999999995</v>
      </c>
      <c r="AM153">
        <v>2.9</v>
      </c>
      <c r="AN153">
        <v>20560</v>
      </c>
      <c r="AO153">
        <v>0</v>
      </c>
      <c r="AP153">
        <v>100</v>
      </c>
      <c r="AQ153">
        <v>99.597200000000001</v>
      </c>
      <c r="AR153">
        <v>95.609200000000001</v>
      </c>
      <c r="AU153">
        <v>13.5854</v>
      </c>
      <c r="AV153" s="19">
        <v>91.304299999999998</v>
      </c>
      <c r="AW153">
        <v>0</v>
      </c>
      <c r="AZ153">
        <v>6</v>
      </c>
      <c r="BA153">
        <v>94.471900000000005</v>
      </c>
      <c r="BB153">
        <v>37.988799999999998</v>
      </c>
      <c r="BC153">
        <v>7.8059000000000003</v>
      </c>
      <c r="BD153" s="19">
        <v>0.98699999999999999</v>
      </c>
      <c r="BE153" s="19">
        <v>99.514600000000002</v>
      </c>
      <c r="BF153">
        <v>26.210699999999999</v>
      </c>
      <c r="BG153">
        <v>17.7</v>
      </c>
      <c r="BH153" s="20">
        <v>2.5154000000000001</v>
      </c>
      <c r="BI153" s="20">
        <v>5539.3344999999999</v>
      </c>
      <c r="BJ153" s="19">
        <v>100</v>
      </c>
      <c r="BK153">
        <v>1.0006999999999999</v>
      </c>
      <c r="BL153">
        <v>1.0170999999999999</v>
      </c>
      <c r="BM153">
        <v>1.0319</v>
      </c>
      <c r="BN153">
        <v>6</v>
      </c>
      <c r="BO153">
        <v>4.3259999999999996</v>
      </c>
      <c r="BP153">
        <v>12.74</v>
      </c>
      <c r="BQ153" s="19">
        <v>100.1254</v>
      </c>
      <c r="BR153">
        <v>89.6661</v>
      </c>
      <c r="BS153" s="20">
        <v>3.8010000000000002</v>
      </c>
      <c r="BT153" s="20">
        <v>3.8010000000000002</v>
      </c>
      <c r="BU153" s="20">
        <v>7.4950000000000001</v>
      </c>
      <c r="BV153" s="20">
        <v>7.524</v>
      </c>
      <c r="BW153" s="19">
        <v>97.115399999999994</v>
      </c>
      <c r="BX153">
        <v>15.66</v>
      </c>
      <c r="BY153" s="5">
        <v>6083055</v>
      </c>
      <c r="BZ153" s="6">
        <v>28067594</v>
      </c>
      <c r="CA153" s="7">
        <f t="shared" si="10"/>
        <v>4.6140621776393607</v>
      </c>
      <c r="CB153">
        <v>5461438</v>
      </c>
      <c r="CC153" s="8">
        <f t="shared" si="11"/>
        <v>5.1392314624829574</v>
      </c>
      <c r="CD153" s="8">
        <f t="shared" si="12"/>
        <v>1.1138192908168141</v>
      </c>
      <c r="CE153">
        <v>42925</v>
      </c>
      <c r="CF153" s="8">
        <f t="shared" si="13"/>
        <v>141.71357018054746</v>
      </c>
      <c r="CG153" s="8">
        <f t="shared" si="14"/>
        <v>653.87522422830523</v>
      </c>
      <c r="CH153">
        <v>99.150970000000001</v>
      </c>
    </row>
    <row r="154" spans="1:86" ht="15.5" x14ac:dyDescent="0.35">
      <c r="A154" t="s">
        <v>92</v>
      </c>
      <c r="B154">
        <v>2008</v>
      </c>
      <c r="C154" s="2">
        <v>51.749099999999999</v>
      </c>
      <c r="D154">
        <v>87951.88</v>
      </c>
      <c r="E154">
        <v>0.14760000000000001</v>
      </c>
      <c r="F154">
        <v>9.2169000000000008</v>
      </c>
      <c r="G154">
        <v>65900</v>
      </c>
      <c r="H154">
        <v>9</v>
      </c>
      <c r="I154" s="19">
        <v>91.158000000000001</v>
      </c>
      <c r="J154" s="19">
        <v>91.6</v>
      </c>
      <c r="K154" s="19">
        <v>4.5810000000000004</v>
      </c>
      <c r="L154" s="19">
        <v>100</v>
      </c>
      <c r="M154" s="19">
        <v>10171000000</v>
      </c>
      <c r="N154" s="19">
        <v>122.4868</v>
      </c>
      <c r="O154">
        <v>19.420000000000002</v>
      </c>
      <c r="P154">
        <v>36.508299999999998</v>
      </c>
      <c r="Q154" s="19">
        <v>64826.680999999997</v>
      </c>
      <c r="R154" s="19">
        <v>53572.534699999997</v>
      </c>
      <c r="S154" s="19">
        <v>-1.0005999999999999</v>
      </c>
      <c r="T154" s="19">
        <v>62451.072399999997</v>
      </c>
      <c r="U154" s="19">
        <v>41467.386200000001</v>
      </c>
      <c r="V154">
        <v>25.2</v>
      </c>
      <c r="W154" s="19">
        <v>99.514600000000002</v>
      </c>
      <c r="X154">
        <v>88</v>
      </c>
      <c r="Z154">
        <v>87</v>
      </c>
      <c r="AA154">
        <v>3.7</v>
      </c>
      <c r="AB154">
        <v>85</v>
      </c>
      <c r="AC154">
        <v>78.446299999999994</v>
      </c>
      <c r="AD154">
        <v>98.156599999999997</v>
      </c>
      <c r="AE154">
        <v>7</v>
      </c>
      <c r="AF154">
        <v>91.341399999999993</v>
      </c>
      <c r="AG154">
        <v>7.6</v>
      </c>
      <c r="AH154">
        <v>0.1</v>
      </c>
      <c r="AI154">
        <v>4.3</v>
      </c>
      <c r="AJ154">
        <v>3.9</v>
      </c>
      <c r="AK154">
        <v>4.7</v>
      </c>
      <c r="AL154">
        <v>71.350999999999999</v>
      </c>
      <c r="AM154">
        <v>2.8</v>
      </c>
      <c r="AN154">
        <v>25775</v>
      </c>
      <c r="AO154">
        <v>0</v>
      </c>
      <c r="AP154">
        <v>100</v>
      </c>
      <c r="AQ154">
        <v>99.597200000000001</v>
      </c>
      <c r="AR154">
        <v>96.006100000000004</v>
      </c>
      <c r="AU154">
        <v>13.3353</v>
      </c>
      <c r="AV154" s="19">
        <v>86.057699999999997</v>
      </c>
      <c r="AW154">
        <v>0.1</v>
      </c>
      <c r="AZ154">
        <v>6</v>
      </c>
      <c r="BA154">
        <v>94.838899999999995</v>
      </c>
      <c r="BB154">
        <v>37.988799999999998</v>
      </c>
      <c r="BC154">
        <v>7.9913999999999996</v>
      </c>
      <c r="BD154" s="19">
        <v>-0.41699999999999998</v>
      </c>
      <c r="BE154" s="19">
        <v>99.0291</v>
      </c>
      <c r="BF154">
        <v>27.572600000000001</v>
      </c>
      <c r="BG154">
        <v>18.5</v>
      </c>
      <c r="BH154" s="20">
        <v>2.7734999999999999</v>
      </c>
      <c r="BI154" s="20">
        <v>6519.6826000000001</v>
      </c>
      <c r="BJ154" s="19">
        <v>99.519199999999998</v>
      </c>
      <c r="BK154">
        <v>1.0056</v>
      </c>
      <c r="BL154">
        <v>1.0181</v>
      </c>
      <c r="BM154">
        <v>1.0289999999999999</v>
      </c>
      <c r="BN154">
        <v>6</v>
      </c>
      <c r="BO154">
        <v>5.2140000000000004</v>
      </c>
      <c r="BP154">
        <v>13.06</v>
      </c>
      <c r="BQ154" s="19">
        <v>100.6074</v>
      </c>
      <c r="BR154">
        <v>89.033799999999999</v>
      </c>
      <c r="BS154" s="20">
        <v>3.6829999999999998</v>
      </c>
      <c r="BT154" s="20">
        <v>3.6829999999999998</v>
      </c>
      <c r="BU154" s="20">
        <v>9.4710000000000001</v>
      </c>
      <c r="BV154" s="20">
        <v>9.516</v>
      </c>
      <c r="BW154" s="19">
        <v>99.038499999999999</v>
      </c>
      <c r="BX154">
        <v>12.19</v>
      </c>
      <c r="BY154" s="5">
        <v>6040169</v>
      </c>
      <c r="BZ154" s="6">
        <v>28027029</v>
      </c>
      <c r="CA154" s="7">
        <f t="shared" si="10"/>
        <v>4.6401067586022844</v>
      </c>
      <c r="CB154">
        <v>5493621</v>
      </c>
      <c r="CC154" s="8">
        <f t="shared" si="11"/>
        <v>5.1017405459896121</v>
      </c>
      <c r="CD154" s="8">
        <f t="shared" si="12"/>
        <v>1.0994877513392352</v>
      </c>
      <c r="CE154">
        <v>42925</v>
      </c>
      <c r="CF154" s="8">
        <f t="shared" si="13"/>
        <v>140.71447874199185</v>
      </c>
      <c r="CG154" s="8">
        <f t="shared" si="14"/>
        <v>652.93020384391377</v>
      </c>
      <c r="CH154">
        <v>99.359279999999998</v>
      </c>
    </row>
    <row r="155" spans="1:86" ht="15.5" x14ac:dyDescent="0.35">
      <c r="A155" t="s">
        <v>92</v>
      </c>
      <c r="B155">
        <v>2009</v>
      </c>
      <c r="C155" s="2">
        <v>52.189</v>
      </c>
      <c r="D155">
        <v>82410.37</v>
      </c>
      <c r="E155">
        <v>0.14860000000000001</v>
      </c>
      <c r="F155">
        <v>8.7710000000000008</v>
      </c>
      <c r="G155">
        <v>63000</v>
      </c>
      <c r="H155">
        <v>9</v>
      </c>
      <c r="I155" s="19">
        <v>92.108000000000004</v>
      </c>
      <c r="J155" s="19">
        <v>92.7</v>
      </c>
      <c r="K155" s="19">
        <v>3.16</v>
      </c>
      <c r="L155" s="19">
        <v>100</v>
      </c>
      <c r="M155" s="19">
        <v>11570000000</v>
      </c>
      <c r="N155" s="19">
        <v>98.456500000000005</v>
      </c>
      <c r="O155">
        <v>19.887</v>
      </c>
      <c r="P155">
        <v>36.622199999999999</v>
      </c>
      <c r="Q155" s="19">
        <v>58536.553</v>
      </c>
      <c r="R155" s="19">
        <v>50635.911800000002</v>
      </c>
      <c r="S155" s="19">
        <v>-5.4816000000000003</v>
      </c>
      <c r="T155" s="19">
        <v>59027.765099999997</v>
      </c>
      <c r="U155" s="19">
        <v>40503.204599999997</v>
      </c>
      <c r="V155">
        <v>26.7</v>
      </c>
      <c r="W155" s="19">
        <v>99.521500000000003</v>
      </c>
      <c r="X155">
        <v>89</v>
      </c>
      <c r="Z155">
        <v>84</v>
      </c>
      <c r="AA155">
        <v>3.6</v>
      </c>
      <c r="AB155">
        <v>86.8</v>
      </c>
      <c r="AC155">
        <v>78.5976</v>
      </c>
      <c r="AD155">
        <v>98.356200000000001</v>
      </c>
      <c r="AE155">
        <v>7</v>
      </c>
      <c r="AF155">
        <v>91.414000000000001</v>
      </c>
      <c r="AG155">
        <v>5.6</v>
      </c>
      <c r="AH155">
        <v>0.32</v>
      </c>
      <c r="AI155">
        <v>4.2</v>
      </c>
      <c r="AJ155">
        <v>3.8</v>
      </c>
      <c r="AK155">
        <v>4.5999999999999996</v>
      </c>
      <c r="AL155">
        <v>71.144900000000007</v>
      </c>
      <c r="AM155">
        <v>2.8</v>
      </c>
      <c r="AN155">
        <v>15551</v>
      </c>
      <c r="AO155">
        <v>0</v>
      </c>
      <c r="AP155">
        <v>100</v>
      </c>
      <c r="AQ155">
        <v>99.597200000000001</v>
      </c>
      <c r="AR155">
        <v>96.403000000000006</v>
      </c>
      <c r="AU155">
        <v>13.155200000000001</v>
      </c>
      <c r="AV155" s="19">
        <v>85.308099999999996</v>
      </c>
      <c r="AW155">
        <v>0.5</v>
      </c>
      <c r="AZ155">
        <v>6</v>
      </c>
      <c r="BA155">
        <v>95.203500000000005</v>
      </c>
      <c r="BB155">
        <v>37.988799999999998</v>
      </c>
      <c r="BC155">
        <v>9.0153999999999996</v>
      </c>
      <c r="BD155" s="19">
        <v>-4.9779999999999998</v>
      </c>
      <c r="BE155" s="19">
        <v>100</v>
      </c>
      <c r="BF155">
        <v>27.659099999999999</v>
      </c>
      <c r="BG155">
        <v>19.3</v>
      </c>
      <c r="BH155" s="20">
        <v>3.0550999999999999</v>
      </c>
      <c r="BI155" s="20">
        <v>6674.9004000000004</v>
      </c>
      <c r="BJ155" s="19">
        <v>98.578199999999995</v>
      </c>
      <c r="BK155">
        <v>1.0037</v>
      </c>
      <c r="BL155">
        <v>1.0124</v>
      </c>
      <c r="BM155">
        <v>1.0197000000000001</v>
      </c>
      <c r="BN155">
        <v>6</v>
      </c>
      <c r="BO155">
        <v>6.48</v>
      </c>
      <c r="BP155">
        <v>12.71</v>
      </c>
      <c r="BQ155" s="19">
        <v>98.993399999999994</v>
      </c>
      <c r="BR155">
        <v>82.595100000000002</v>
      </c>
      <c r="BS155" s="20">
        <v>6.4089999999999998</v>
      </c>
      <c r="BT155" s="20">
        <v>6.4089999999999998</v>
      </c>
      <c r="BU155" s="20">
        <v>13.441000000000001</v>
      </c>
      <c r="BV155" s="20">
        <v>13.475</v>
      </c>
      <c r="BW155" s="19">
        <v>97.630300000000005</v>
      </c>
      <c r="BX155">
        <v>14.24</v>
      </c>
      <c r="BY155" s="5">
        <v>5587055</v>
      </c>
      <c r="BZ155" s="6">
        <v>26491463</v>
      </c>
      <c r="CA155" s="7">
        <f t="shared" si="10"/>
        <v>4.7415790608827013</v>
      </c>
      <c r="CB155">
        <v>5523095</v>
      </c>
      <c r="CC155" s="8">
        <f t="shared" si="11"/>
        <v>4.7964887440828017</v>
      </c>
      <c r="CD155" s="8">
        <f t="shared" si="12"/>
        <v>1.0115804634901264</v>
      </c>
      <c r="CE155">
        <v>42925</v>
      </c>
      <c r="CF155" s="8">
        <f t="shared" si="13"/>
        <v>130.15853232382062</v>
      </c>
      <c r="CG155" s="8">
        <f t="shared" si="14"/>
        <v>617.15697146185209</v>
      </c>
      <c r="CH155">
        <v>102.04768</v>
      </c>
    </row>
    <row r="156" spans="1:86" ht="15.5" x14ac:dyDescent="0.35">
      <c r="A156" t="s">
        <v>92</v>
      </c>
      <c r="B156">
        <v>2010</v>
      </c>
      <c r="C156" s="2">
        <v>52.787500000000001</v>
      </c>
      <c r="D156">
        <v>81702.86</v>
      </c>
      <c r="E156">
        <v>0.14660000000000001</v>
      </c>
      <c r="F156">
        <v>8.7525999999999993</v>
      </c>
      <c r="G156">
        <v>63600</v>
      </c>
      <c r="H156">
        <v>10</v>
      </c>
      <c r="I156" s="19">
        <v>94.132999999999996</v>
      </c>
      <c r="J156" s="19">
        <v>95.3</v>
      </c>
      <c r="K156" s="19">
        <v>4.1509999999999998</v>
      </c>
      <c r="L156" s="19">
        <v>100</v>
      </c>
      <c r="M156" s="19">
        <v>20678000000</v>
      </c>
      <c r="N156" s="19">
        <v>101.02970000000001</v>
      </c>
      <c r="O156">
        <v>19.14</v>
      </c>
      <c r="P156">
        <v>38.076000000000001</v>
      </c>
      <c r="Q156" s="19">
        <v>58240.45</v>
      </c>
      <c r="R156" s="19">
        <v>51209.4493</v>
      </c>
      <c r="S156" s="19">
        <v>1.1327</v>
      </c>
      <c r="T156" s="19">
        <v>59696.354500000001</v>
      </c>
      <c r="U156" s="19">
        <v>43042.3946</v>
      </c>
      <c r="V156">
        <v>27.2</v>
      </c>
      <c r="W156" s="19">
        <v>99.043099999999995</v>
      </c>
      <c r="X156">
        <v>90</v>
      </c>
      <c r="Z156">
        <v>85</v>
      </c>
      <c r="AA156">
        <v>3.5</v>
      </c>
      <c r="AB156">
        <v>88.7</v>
      </c>
      <c r="AC156">
        <v>79.099999999999994</v>
      </c>
      <c r="AD156">
        <v>95.823300000000003</v>
      </c>
      <c r="AE156">
        <v>7</v>
      </c>
      <c r="AF156">
        <v>93.218500000000006</v>
      </c>
      <c r="AG156">
        <v>5</v>
      </c>
      <c r="AH156">
        <v>0.22</v>
      </c>
      <c r="AI156">
        <v>4.0999999999999996</v>
      </c>
      <c r="AJ156">
        <v>3.8</v>
      </c>
      <c r="AK156">
        <v>4.5</v>
      </c>
      <c r="AL156">
        <v>71.620800000000003</v>
      </c>
      <c r="AM156">
        <v>2.8</v>
      </c>
      <c r="AN156">
        <v>17533</v>
      </c>
      <c r="AO156">
        <v>0</v>
      </c>
      <c r="AP156">
        <v>100</v>
      </c>
      <c r="AQ156">
        <v>99.597200000000001</v>
      </c>
      <c r="AR156">
        <v>96.799899999999994</v>
      </c>
      <c r="AU156">
        <v>13.086</v>
      </c>
      <c r="AV156" s="19">
        <v>86.255899999999997</v>
      </c>
      <c r="AW156">
        <v>0.1</v>
      </c>
      <c r="AZ156">
        <v>6</v>
      </c>
      <c r="BA156">
        <v>95.565700000000007</v>
      </c>
      <c r="BB156">
        <v>37.988799999999998</v>
      </c>
      <c r="BC156">
        <v>8.9388000000000005</v>
      </c>
      <c r="BD156" s="19">
        <v>1.5840000000000001</v>
      </c>
      <c r="BE156" s="19">
        <v>99.521500000000003</v>
      </c>
      <c r="BF156">
        <v>31.9834</v>
      </c>
      <c r="BG156">
        <v>21.2</v>
      </c>
      <c r="BH156" s="20">
        <v>2.9171</v>
      </c>
      <c r="BI156" s="20">
        <v>6763.5829999999996</v>
      </c>
      <c r="BJ156" s="19">
        <v>99.052099999999996</v>
      </c>
      <c r="BK156">
        <v>1.002</v>
      </c>
      <c r="BL156">
        <v>1.0057</v>
      </c>
      <c r="BM156">
        <v>1.0088999999999999</v>
      </c>
      <c r="BN156">
        <v>6</v>
      </c>
      <c r="BO156">
        <v>6.8570000000000002</v>
      </c>
      <c r="BP156">
        <v>11.69</v>
      </c>
      <c r="BQ156" s="19">
        <v>99.632800000000003</v>
      </c>
      <c r="BR156">
        <v>79.135199999999998</v>
      </c>
      <c r="BS156" s="20">
        <v>7.7460000000000004</v>
      </c>
      <c r="BT156" s="20">
        <v>7.7469999999999999</v>
      </c>
      <c r="BU156" s="20">
        <v>15.554</v>
      </c>
      <c r="BV156" s="20">
        <v>15.596</v>
      </c>
      <c r="BW156" s="19">
        <v>97.630300000000005</v>
      </c>
      <c r="BX156">
        <v>14.09</v>
      </c>
      <c r="BY156" s="5">
        <v>5839785</v>
      </c>
      <c r="BZ156" s="6">
        <v>27146947</v>
      </c>
      <c r="CA156" s="7">
        <f t="shared" si="10"/>
        <v>4.648620968066461</v>
      </c>
      <c r="CB156">
        <v>5547683</v>
      </c>
      <c r="CC156" s="8">
        <f t="shared" si="11"/>
        <v>4.8933846796942078</v>
      </c>
      <c r="CD156" s="8">
        <f t="shared" si="12"/>
        <v>1.0526529724210991</v>
      </c>
      <c r="CE156">
        <v>42925</v>
      </c>
      <c r="CF156" s="8">
        <f t="shared" si="13"/>
        <v>136.04624344787419</v>
      </c>
      <c r="CG156" s="8">
        <f t="shared" si="14"/>
        <v>632.42741991846242</v>
      </c>
      <c r="CH156">
        <v>101.00275000000001</v>
      </c>
    </row>
    <row r="157" spans="1:86" ht="15.5" x14ac:dyDescent="0.35">
      <c r="A157" t="s">
        <v>92</v>
      </c>
      <c r="B157">
        <v>2011</v>
      </c>
      <c r="C157" s="2">
        <v>53.517600000000002</v>
      </c>
      <c r="D157">
        <v>77650.94</v>
      </c>
      <c r="E157">
        <v>0.12959999999999999</v>
      </c>
      <c r="F157">
        <v>7.8066000000000004</v>
      </c>
      <c r="G157">
        <v>58600</v>
      </c>
      <c r="H157">
        <v>10</v>
      </c>
      <c r="I157" s="19">
        <v>96.632999999999996</v>
      </c>
      <c r="J157" s="19">
        <v>97.6</v>
      </c>
      <c r="K157" s="19">
        <v>4.6689999999999996</v>
      </c>
      <c r="L157" s="19">
        <v>100</v>
      </c>
      <c r="M157" s="19">
        <v>21849000000</v>
      </c>
      <c r="N157" s="19">
        <v>117.1874</v>
      </c>
      <c r="O157">
        <v>28.504000000000001</v>
      </c>
      <c r="P157">
        <v>38.472499999999997</v>
      </c>
      <c r="Q157" s="19">
        <v>61920.300999999999</v>
      </c>
      <c r="R157" s="19">
        <v>51667.531300000002</v>
      </c>
      <c r="S157" s="19">
        <v>0.89449999999999996</v>
      </c>
      <c r="T157" s="19">
        <v>60230.354200000002</v>
      </c>
      <c r="U157" s="19">
        <v>44443.716399999998</v>
      </c>
      <c r="V157">
        <v>27.3</v>
      </c>
      <c r="W157" s="19">
        <v>99.052099999999996</v>
      </c>
      <c r="X157">
        <v>91</v>
      </c>
      <c r="Z157">
        <v>87</v>
      </c>
      <c r="AA157">
        <v>3.5</v>
      </c>
      <c r="AB157">
        <v>89.8</v>
      </c>
      <c r="AC157">
        <v>79.8</v>
      </c>
      <c r="AD157">
        <v>97.328199999999995</v>
      </c>
      <c r="AE157">
        <v>6</v>
      </c>
      <c r="AF157">
        <v>93.419799999999995</v>
      </c>
      <c r="AG157">
        <v>4.0999999999999996</v>
      </c>
      <c r="AH157">
        <v>0.32</v>
      </c>
      <c r="AI157">
        <v>4.0999999999999996</v>
      </c>
      <c r="AJ157">
        <v>3.7</v>
      </c>
      <c r="AK157">
        <v>4.4000000000000004</v>
      </c>
      <c r="AL157">
        <v>72.159300000000002</v>
      </c>
      <c r="AM157">
        <v>3</v>
      </c>
      <c r="AN157">
        <v>13495</v>
      </c>
      <c r="AO157">
        <v>0</v>
      </c>
      <c r="AP157">
        <v>100</v>
      </c>
      <c r="AQ157">
        <v>99.597200000000001</v>
      </c>
      <c r="AR157">
        <v>97.196799999999996</v>
      </c>
      <c r="AU157">
        <v>13.355700000000001</v>
      </c>
      <c r="AV157" s="19">
        <v>87.203800000000001</v>
      </c>
      <c r="AW157">
        <v>0</v>
      </c>
      <c r="AZ157">
        <v>7</v>
      </c>
      <c r="BA157">
        <v>95.9255</v>
      </c>
      <c r="BB157">
        <v>39.106099999999998</v>
      </c>
      <c r="BC157">
        <v>8.7352000000000007</v>
      </c>
      <c r="BD157" s="19">
        <v>1.3129999999999999</v>
      </c>
      <c r="BE157" s="19">
        <v>99.5261</v>
      </c>
      <c r="BF157">
        <v>40.253900000000002</v>
      </c>
      <c r="BG157">
        <v>23.8</v>
      </c>
      <c r="BH157" s="20">
        <v>2.9445999999999999</v>
      </c>
      <c r="BI157" s="20">
        <v>7045.7739000000001</v>
      </c>
      <c r="BJ157" s="19">
        <v>99.530500000000004</v>
      </c>
      <c r="BK157">
        <v>0.99409999999999998</v>
      </c>
      <c r="BL157">
        <v>1.0056</v>
      </c>
      <c r="BM157">
        <v>1.0166999999999999</v>
      </c>
      <c r="BN157">
        <v>6</v>
      </c>
      <c r="BO157">
        <v>7.1859999999999999</v>
      </c>
      <c r="BP157">
        <v>12.43</v>
      </c>
      <c r="BQ157" s="19">
        <v>99.735699999999994</v>
      </c>
      <c r="BR157">
        <v>78.659400000000005</v>
      </c>
      <c r="BS157" s="20">
        <v>7.7690000000000001</v>
      </c>
      <c r="BT157" s="20">
        <v>7.7690000000000001</v>
      </c>
      <c r="BU157" s="20">
        <v>16.306000000000001</v>
      </c>
      <c r="BV157" s="20">
        <v>16.352</v>
      </c>
      <c r="BW157" s="19">
        <v>97.183099999999996</v>
      </c>
      <c r="BX157">
        <v>11.77</v>
      </c>
      <c r="BY157" s="5">
        <v>6164984</v>
      </c>
      <c r="BZ157" s="6">
        <v>28211086</v>
      </c>
      <c r="CA157" s="7">
        <f t="shared" si="10"/>
        <v>4.5760193376008758</v>
      </c>
      <c r="CB157">
        <v>5570572</v>
      </c>
      <c r="CC157" s="8">
        <f t="shared" si="11"/>
        <v>5.0643068611266493</v>
      </c>
      <c r="CD157" s="8">
        <f t="shared" si="12"/>
        <v>1.1067057386566406</v>
      </c>
      <c r="CE157">
        <v>42925</v>
      </c>
      <c r="CF157" s="8">
        <f t="shared" si="13"/>
        <v>143.62222481071638</v>
      </c>
      <c r="CG157" s="8">
        <f t="shared" si="14"/>
        <v>657.21807804309844</v>
      </c>
      <c r="CH157">
        <v>100.41565</v>
      </c>
    </row>
    <row r="158" spans="1:86" ht="15.5" x14ac:dyDescent="0.35">
      <c r="A158" s="9" t="s">
        <v>92</v>
      </c>
      <c r="B158" s="9">
        <v>2012</v>
      </c>
      <c r="C158" s="10">
        <v>54.236899999999999</v>
      </c>
      <c r="D158" s="9">
        <v>74456.91</v>
      </c>
      <c r="E158" s="9">
        <v>0.115</v>
      </c>
      <c r="F158" s="9">
        <v>6.9017999999999997</v>
      </c>
      <c r="G158" s="9">
        <v>54000</v>
      </c>
      <c r="H158" s="9">
        <v>10</v>
      </c>
      <c r="I158" s="21">
        <v>98.908000000000001</v>
      </c>
      <c r="J158" s="21">
        <v>99.3</v>
      </c>
      <c r="K158" s="21">
        <v>3.8420000000000001</v>
      </c>
      <c r="L158" s="21">
        <v>100</v>
      </c>
      <c r="M158" s="21">
        <v>19818000000</v>
      </c>
      <c r="N158" s="21">
        <v>110.4883</v>
      </c>
      <c r="O158" s="9">
        <v>28.561</v>
      </c>
      <c r="P158" s="9">
        <v>38.976700000000001</v>
      </c>
      <c r="Q158" s="21">
        <v>58559.563000000002</v>
      </c>
      <c r="R158" s="21">
        <v>51470.6898</v>
      </c>
      <c r="S158" s="21">
        <v>-0.38100000000000001</v>
      </c>
      <c r="T158" s="21">
        <v>60000.890299999999</v>
      </c>
      <c r="U158" s="21">
        <v>44755.162400000001</v>
      </c>
      <c r="V158" s="9">
        <v>27.8</v>
      </c>
      <c r="W158" s="21">
        <v>99.052099999999996</v>
      </c>
      <c r="X158" s="9">
        <v>94</v>
      </c>
      <c r="Y158" s="9"/>
      <c r="Z158" s="9">
        <v>90</v>
      </c>
      <c r="AA158" s="9">
        <v>3.5</v>
      </c>
      <c r="AB158" s="9">
        <v>92.3</v>
      </c>
      <c r="AC158" s="9">
        <v>80.051199999999994</v>
      </c>
      <c r="AD158" s="9">
        <v>97.922399999999996</v>
      </c>
      <c r="AE158" s="9">
        <v>6</v>
      </c>
      <c r="AF158" s="9">
        <v>93.489099999999993</v>
      </c>
      <c r="AG158" s="9">
        <v>3.1</v>
      </c>
      <c r="AH158" s="9">
        <v>0.18</v>
      </c>
      <c r="AI158" s="9">
        <v>4.0999999999999996</v>
      </c>
      <c r="AJ158" s="9">
        <v>3.7</v>
      </c>
      <c r="AK158" s="9">
        <v>4.4000000000000004</v>
      </c>
      <c r="AL158" s="9">
        <v>72.376000000000005</v>
      </c>
      <c r="AM158" s="9">
        <v>3.1</v>
      </c>
      <c r="AN158" s="9">
        <v>16871</v>
      </c>
      <c r="AO158" s="9">
        <v>0</v>
      </c>
      <c r="AP158" s="9">
        <v>100</v>
      </c>
      <c r="AQ158" s="9">
        <v>99.597200000000001</v>
      </c>
      <c r="AR158" s="9">
        <v>97.593699999999998</v>
      </c>
      <c r="AS158" s="9"/>
      <c r="AT158" s="9"/>
      <c r="AU158" s="9">
        <v>10.811500000000001</v>
      </c>
      <c r="AV158" s="21">
        <v>75.829400000000007</v>
      </c>
      <c r="AW158" s="9">
        <v>0</v>
      </c>
      <c r="AX158" s="9"/>
      <c r="AY158" s="9"/>
      <c r="AZ158" s="9">
        <v>7</v>
      </c>
      <c r="BA158" s="9">
        <v>96.282899999999998</v>
      </c>
      <c r="BB158" s="9">
        <v>39.106099999999998</v>
      </c>
      <c r="BC158" s="9">
        <v>8.8770000000000007</v>
      </c>
      <c r="BD158" s="21">
        <v>-5.0000000000000001E-3</v>
      </c>
      <c r="BE158" s="21">
        <v>97.630300000000005</v>
      </c>
      <c r="BF158" s="9">
        <v>48.330399999999997</v>
      </c>
      <c r="BG158" s="9">
        <v>26.9</v>
      </c>
      <c r="BH158" s="22">
        <v>2.9813000000000001</v>
      </c>
      <c r="BI158" s="22">
        <v>7181.8505999999998</v>
      </c>
      <c r="BJ158" s="21">
        <v>98.122100000000003</v>
      </c>
      <c r="BK158" s="9">
        <v>0.99109999999999998</v>
      </c>
      <c r="BL158" s="9">
        <v>1.0024</v>
      </c>
      <c r="BM158" s="9">
        <v>1.0135000000000001</v>
      </c>
      <c r="BN158" s="9">
        <v>6</v>
      </c>
      <c r="BO158" s="9">
        <v>7.3460000000000001</v>
      </c>
      <c r="BP158" s="9">
        <v>12.84</v>
      </c>
      <c r="BQ158" s="21">
        <v>100.3969</v>
      </c>
      <c r="BR158" s="9">
        <v>78.9191</v>
      </c>
      <c r="BS158" s="22">
        <v>7.798</v>
      </c>
      <c r="BT158" s="22">
        <v>7.798</v>
      </c>
      <c r="BU158" s="22">
        <v>15.775</v>
      </c>
      <c r="BV158" s="22">
        <v>15.814</v>
      </c>
      <c r="BW158" s="21">
        <v>99.061000000000007</v>
      </c>
      <c r="BX158" s="9">
        <v>11.64</v>
      </c>
      <c r="BY158" s="14">
        <v>6281712</v>
      </c>
      <c r="BZ158" s="6">
        <v>28040235</v>
      </c>
      <c r="CA158" s="7">
        <f t="shared" si="10"/>
        <v>4.4637886932734263</v>
      </c>
      <c r="CB158">
        <v>5591572</v>
      </c>
      <c r="CC158" s="8">
        <f t="shared" si="11"/>
        <v>5.0147319930781542</v>
      </c>
      <c r="CD158" s="8">
        <f t="shared" si="12"/>
        <v>1.1234250404000878</v>
      </c>
      <c r="CE158">
        <v>42925</v>
      </c>
      <c r="CF158" s="8">
        <f t="shared" si="13"/>
        <v>146.34157251019221</v>
      </c>
      <c r="CG158" s="8">
        <f t="shared" si="14"/>
        <v>653.23785672684915</v>
      </c>
      <c r="CH158" s="9">
        <v>100.18998999999999</v>
      </c>
    </row>
    <row r="159" spans="1:86" ht="15.5" x14ac:dyDescent="0.35">
      <c r="A159" t="s">
        <v>92</v>
      </c>
      <c r="B159">
        <v>2013</v>
      </c>
      <c r="C159" s="2">
        <v>54.7577</v>
      </c>
      <c r="D159">
        <v>75008.52</v>
      </c>
      <c r="E159">
        <v>0.1186</v>
      </c>
      <c r="F159">
        <v>7.1843000000000004</v>
      </c>
      <c r="G159">
        <v>55400</v>
      </c>
      <c r="H159">
        <v>10</v>
      </c>
      <c r="I159" s="19">
        <v>99.424999999999997</v>
      </c>
      <c r="J159" s="19">
        <v>99.8</v>
      </c>
      <c r="K159" s="19">
        <v>3.1909999999999998</v>
      </c>
      <c r="L159" s="19">
        <v>100</v>
      </c>
      <c r="M159" s="19">
        <v>25392000000</v>
      </c>
      <c r="N159" s="19">
        <v>116.229</v>
      </c>
      <c r="O159">
        <v>26.960999999999999</v>
      </c>
      <c r="P159">
        <v>40.467799999999997</v>
      </c>
      <c r="Q159" s="19">
        <v>61512.411</v>
      </c>
      <c r="R159" s="19">
        <v>51970.390899999999</v>
      </c>
      <c r="S159" s="19">
        <v>0.9708</v>
      </c>
      <c r="T159" s="19">
        <v>60583.406499999997</v>
      </c>
      <c r="U159" s="19">
        <v>46869.193299999999</v>
      </c>
      <c r="V159">
        <v>28.5</v>
      </c>
      <c r="W159" s="19">
        <v>99.052099999999996</v>
      </c>
      <c r="X159">
        <v>94</v>
      </c>
      <c r="Z159">
        <v>89</v>
      </c>
      <c r="AA159">
        <v>3.5</v>
      </c>
      <c r="AB159">
        <v>94.6</v>
      </c>
      <c r="AC159">
        <v>80.3</v>
      </c>
      <c r="AD159">
        <v>99.545900000000003</v>
      </c>
      <c r="AE159">
        <v>5</v>
      </c>
      <c r="AF159">
        <v>93.905900000000003</v>
      </c>
      <c r="AG159">
        <v>3.5</v>
      </c>
      <c r="AH159">
        <v>0.18</v>
      </c>
      <c r="AI159">
        <v>4.0999999999999996</v>
      </c>
      <c r="AJ159">
        <v>3.7</v>
      </c>
      <c r="AK159">
        <v>4.4000000000000004</v>
      </c>
      <c r="AL159">
        <v>72.485600000000005</v>
      </c>
      <c r="AM159">
        <v>3.1</v>
      </c>
      <c r="AN159">
        <v>21359</v>
      </c>
      <c r="AO159">
        <v>0</v>
      </c>
      <c r="AP159">
        <v>100</v>
      </c>
      <c r="AQ159">
        <v>99.597200000000001</v>
      </c>
      <c r="AR159">
        <v>97.990600000000001</v>
      </c>
      <c r="AU159">
        <v>10.3963</v>
      </c>
      <c r="AV159" s="19">
        <v>80.094800000000006</v>
      </c>
      <c r="AW159">
        <v>0.3</v>
      </c>
      <c r="AY159">
        <v>6</v>
      </c>
      <c r="AZ159">
        <v>7</v>
      </c>
      <c r="BA159">
        <v>96.637900000000002</v>
      </c>
      <c r="BB159">
        <v>39.106099999999998</v>
      </c>
      <c r="BC159">
        <v>8.7241999999999997</v>
      </c>
      <c r="BD159" s="19">
        <v>1.393</v>
      </c>
      <c r="BE159" s="19">
        <v>97.630300000000005</v>
      </c>
      <c r="BF159">
        <v>45.960900000000002</v>
      </c>
      <c r="BG159">
        <v>27</v>
      </c>
      <c r="BH159" s="20">
        <v>2.9704999999999999</v>
      </c>
      <c r="BI159" s="20">
        <v>7115.4193999999998</v>
      </c>
      <c r="BJ159" s="19">
        <v>98.5916</v>
      </c>
      <c r="BK159">
        <v>0.98970000000000002</v>
      </c>
      <c r="BL159">
        <v>1.0091000000000001</v>
      </c>
      <c r="BM159">
        <v>1.0270999999999999</v>
      </c>
      <c r="BN159">
        <v>6</v>
      </c>
      <c r="BO159">
        <v>6.633</v>
      </c>
      <c r="BP159">
        <v>12.06</v>
      </c>
      <c r="BQ159" s="19">
        <v>100.869</v>
      </c>
      <c r="BR159">
        <v>80.339600000000004</v>
      </c>
      <c r="BS159" s="20">
        <v>7.3840000000000003</v>
      </c>
      <c r="BT159" s="20">
        <v>7.3840000000000003</v>
      </c>
      <c r="BU159" s="20">
        <v>14.773999999999999</v>
      </c>
      <c r="BV159" s="20">
        <v>14.808</v>
      </c>
      <c r="BW159" s="19">
        <v>99.530500000000004</v>
      </c>
      <c r="BX159">
        <v>12.24</v>
      </c>
      <c r="BY159" s="5">
        <v>6437015</v>
      </c>
      <c r="BZ159" s="6">
        <v>28500837</v>
      </c>
      <c r="CA159" s="7">
        <f t="shared" si="10"/>
        <v>4.4276480635822661</v>
      </c>
      <c r="CB159">
        <v>5614932</v>
      </c>
      <c r="CC159" s="8">
        <f t="shared" si="11"/>
        <v>5.0759006520470775</v>
      </c>
      <c r="CD159" s="8">
        <f t="shared" si="12"/>
        <v>1.1464101435244451</v>
      </c>
      <c r="CE159">
        <v>42925</v>
      </c>
      <c r="CF159" s="8">
        <f t="shared" si="13"/>
        <v>149.95958066394874</v>
      </c>
      <c r="CG159" s="8">
        <f t="shared" si="14"/>
        <v>663.96824694234124</v>
      </c>
      <c r="CH159">
        <v>99.176720000000003</v>
      </c>
    </row>
    <row r="160" spans="1:86" ht="15.5" x14ac:dyDescent="0.35">
      <c r="A160" t="s">
        <v>92</v>
      </c>
      <c r="B160">
        <v>2014</v>
      </c>
      <c r="C160" s="2">
        <v>55.099400000000003</v>
      </c>
      <c r="D160">
        <v>70800.09</v>
      </c>
      <c r="E160">
        <v>0.1051</v>
      </c>
      <c r="F160">
        <v>6.4151999999999996</v>
      </c>
      <c r="G160">
        <v>51300</v>
      </c>
      <c r="H160">
        <v>10</v>
      </c>
      <c r="I160" s="19">
        <v>99.775000000000006</v>
      </c>
      <c r="J160" s="19">
        <v>99.8</v>
      </c>
      <c r="K160" s="19">
        <v>2.8130000000000002</v>
      </c>
      <c r="L160" s="19">
        <v>100</v>
      </c>
      <c r="M160" s="19">
        <v>29643000000</v>
      </c>
      <c r="N160" s="19">
        <v>116.7989</v>
      </c>
      <c r="O160">
        <v>25.861000000000001</v>
      </c>
      <c r="P160">
        <v>41.492600000000003</v>
      </c>
      <c r="Q160" s="19">
        <v>62700.908000000003</v>
      </c>
      <c r="R160" s="19">
        <v>52368.3626</v>
      </c>
      <c r="S160" s="19">
        <v>0.76580000000000004</v>
      </c>
      <c r="T160" s="19">
        <v>61047.333700000003</v>
      </c>
      <c r="U160" s="19">
        <v>47879.595600000001</v>
      </c>
      <c r="V160">
        <v>28.4</v>
      </c>
      <c r="W160" s="19">
        <v>96.153800000000004</v>
      </c>
      <c r="X160">
        <v>94</v>
      </c>
      <c r="Z160">
        <v>90</v>
      </c>
      <c r="AA160">
        <v>3.5</v>
      </c>
      <c r="AB160">
        <v>96</v>
      </c>
      <c r="AC160">
        <v>80.7</v>
      </c>
      <c r="AD160">
        <v>99.251900000000006</v>
      </c>
      <c r="AE160">
        <v>5</v>
      </c>
      <c r="AF160">
        <v>93.911299999999997</v>
      </c>
      <c r="AG160">
        <v>3.5</v>
      </c>
      <c r="AH160">
        <v>0.2</v>
      </c>
      <c r="AI160">
        <v>4.0999999999999996</v>
      </c>
      <c r="AJ160">
        <v>3.7</v>
      </c>
      <c r="AK160">
        <v>4.4000000000000004</v>
      </c>
      <c r="AL160">
        <v>72.731099999999998</v>
      </c>
      <c r="AM160">
        <v>3.1</v>
      </c>
      <c r="AN160">
        <v>27242</v>
      </c>
      <c r="AO160">
        <v>0</v>
      </c>
      <c r="AP160">
        <v>100</v>
      </c>
      <c r="AQ160">
        <v>99.597200000000001</v>
      </c>
      <c r="AR160">
        <v>98.387500000000003</v>
      </c>
      <c r="AU160">
        <v>10.810499999999999</v>
      </c>
      <c r="AV160" s="19">
        <v>78.571399999999997</v>
      </c>
      <c r="AW160">
        <v>0.2</v>
      </c>
      <c r="AY160">
        <v>6</v>
      </c>
      <c r="AZ160">
        <v>7</v>
      </c>
      <c r="BA160">
        <v>96.990600000000001</v>
      </c>
      <c r="BB160">
        <v>39.106099999999998</v>
      </c>
      <c r="BC160">
        <v>8.7053999999999991</v>
      </c>
      <c r="BD160" s="19">
        <v>1.278</v>
      </c>
      <c r="BE160" s="19">
        <v>93.75</v>
      </c>
      <c r="BF160">
        <v>55.877699999999997</v>
      </c>
      <c r="BG160">
        <v>30.2</v>
      </c>
      <c r="BH160" s="20">
        <v>2.9140999999999999</v>
      </c>
      <c r="BI160" s="20">
        <v>7358.1885000000002</v>
      </c>
      <c r="BJ160" s="19">
        <v>99.519199999999998</v>
      </c>
      <c r="BK160">
        <v>0.98860000000000003</v>
      </c>
      <c r="BL160">
        <v>1.0168999999999999</v>
      </c>
      <c r="BM160">
        <v>1.0428999999999999</v>
      </c>
      <c r="BN160">
        <v>6</v>
      </c>
      <c r="BO160">
        <v>6.3940000000000001</v>
      </c>
      <c r="BP160">
        <v>11.97</v>
      </c>
      <c r="BQ160" s="19">
        <v>99.376499999999993</v>
      </c>
      <c r="BR160">
        <v>81.299099999999996</v>
      </c>
      <c r="BS160" s="20">
        <v>6.9249999999999998</v>
      </c>
      <c r="BT160" s="20">
        <v>6.9249999999999998</v>
      </c>
      <c r="BU160" s="20">
        <v>14.196</v>
      </c>
      <c r="BV160" s="20">
        <v>14.231</v>
      </c>
      <c r="BW160" s="19">
        <v>97.044300000000007</v>
      </c>
      <c r="BX160">
        <v>10.36</v>
      </c>
      <c r="BY160" s="5">
        <v>6708461</v>
      </c>
      <c r="BZ160" s="6">
        <v>29646899</v>
      </c>
      <c r="CA160" s="7">
        <f t="shared" si="10"/>
        <v>4.4193294110228862</v>
      </c>
      <c r="CB160">
        <v>5643475</v>
      </c>
      <c r="CC160" s="8">
        <f t="shared" si="11"/>
        <v>5.2533056317251337</v>
      </c>
      <c r="CD160" s="8">
        <f t="shared" si="12"/>
        <v>1.1887110335387328</v>
      </c>
      <c r="CE160">
        <v>42925</v>
      </c>
      <c r="CF160" s="8">
        <f t="shared" si="13"/>
        <v>156.28330809551542</v>
      </c>
      <c r="CG160" s="8">
        <f t="shared" si="14"/>
        <v>690.66741991846243</v>
      </c>
      <c r="CH160">
        <v>99.828720000000004</v>
      </c>
    </row>
    <row r="161" spans="1:86" ht="15.5" x14ac:dyDescent="0.35">
      <c r="A161" t="s">
        <v>92</v>
      </c>
      <c r="B161">
        <v>2015</v>
      </c>
      <c r="C161" s="2">
        <v>55.326900000000002</v>
      </c>
      <c r="D161">
        <v>69651.69</v>
      </c>
      <c r="E161">
        <v>9.69E-2</v>
      </c>
      <c r="F161">
        <v>5.9951999999999996</v>
      </c>
      <c r="G161">
        <v>48800</v>
      </c>
      <c r="H161">
        <v>10</v>
      </c>
      <c r="I161" s="19">
        <v>100</v>
      </c>
      <c r="J161" s="19">
        <v>100.1</v>
      </c>
      <c r="K161" s="19">
        <v>2.79</v>
      </c>
      <c r="L161" s="19">
        <v>98.571399999999997</v>
      </c>
      <c r="M161" s="19">
        <v>24011000000</v>
      </c>
      <c r="N161" s="19">
        <v>100</v>
      </c>
      <c r="O161">
        <v>26.189</v>
      </c>
      <c r="P161">
        <v>42.313299999999998</v>
      </c>
      <c r="Q161" s="19">
        <v>53316.983999999997</v>
      </c>
      <c r="R161" s="19">
        <v>53094.013400000003</v>
      </c>
      <c r="S161" s="19">
        <v>1.3856999999999999</v>
      </c>
      <c r="T161" s="19">
        <v>61893.246099999997</v>
      </c>
      <c r="U161" s="19">
        <v>48910.332399999999</v>
      </c>
      <c r="V161">
        <v>28.2</v>
      </c>
      <c r="W161" s="19">
        <v>96.666700000000006</v>
      </c>
      <c r="X161">
        <v>93</v>
      </c>
      <c r="Z161">
        <v>91</v>
      </c>
      <c r="AA161">
        <v>3.5</v>
      </c>
      <c r="AB161">
        <v>96.3</v>
      </c>
      <c r="AC161">
        <v>80.702399999999997</v>
      </c>
      <c r="AD161">
        <v>100.2437</v>
      </c>
      <c r="AE161">
        <v>5</v>
      </c>
      <c r="AF161">
        <v>94.947900000000004</v>
      </c>
      <c r="AG161">
        <v>3.5</v>
      </c>
      <c r="AH161">
        <v>0.22</v>
      </c>
      <c r="AI161">
        <v>4.0999999999999996</v>
      </c>
      <c r="AJ161">
        <v>3.7</v>
      </c>
      <c r="AK161">
        <v>4.4000000000000004</v>
      </c>
      <c r="AL161">
        <v>72.736000000000004</v>
      </c>
      <c r="AM161">
        <v>3.1</v>
      </c>
      <c r="AN161">
        <v>42284</v>
      </c>
      <c r="AO161">
        <v>0</v>
      </c>
      <c r="AP161">
        <v>100</v>
      </c>
      <c r="AQ161">
        <v>99.597200000000001</v>
      </c>
      <c r="AR161">
        <v>98.784400000000005</v>
      </c>
      <c r="AU161">
        <v>10.226699999999999</v>
      </c>
      <c r="AV161" s="19">
        <v>76.666700000000006</v>
      </c>
      <c r="AW161">
        <v>0.2</v>
      </c>
      <c r="AY161">
        <v>6</v>
      </c>
      <c r="AZ161">
        <v>7</v>
      </c>
      <c r="BA161">
        <v>97.340900000000005</v>
      </c>
      <c r="BB161">
        <v>37.430199999999999</v>
      </c>
      <c r="BC161">
        <v>8.7155000000000005</v>
      </c>
      <c r="BD161" s="19">
        <v>2.101</v>
      </c>
      <c r="BE161" s="19">
        <v>94.761899999999997</v>
      </c>
      <c r="BF161">
        <v>65.435599999999994</v>
      </c>
      <c r="BG161">
        <v>32.5</v>
      </c>
      <c r="BH161" s="20">
        <v>3.0550000000000002</v>
      </c>
      <c r="BI161" s="20">
        <v>7566.4579999999996</v>
      </c>
      <c r="BJ161" s="19">
        <v>99.523799999999994</v>
      </c>
      <c r="BK161">
        <v>0.98670000000000002</v>
      </c>
      <c r="BL161">
        <v>1.0185</v>
      </c>
      <c r="BM161">
        <v>1.0475000000000001</v>
      </c>
      <c r="BN161">
        <v>6</v>
      </c>
      <c r="BO161">
        <v>7.032</v>
      </c>
      <c r="BP161">
        <v>11.03</v>
      </c>
      <c r="BQ161" s="19">
        <v>100</v>
      </c>
      <c r="BR161">
        <v>83.457999999999998</v>
      </c>
      <c r="BS161" s="20">
        <v>6.2779999999999996</v>
      </c>
      <c r="BT161" s="20">
        <v>6.2779999999999996</v>
      </c>
      <c r="BU161" s="20">
        <v>12.151999999999999</v>
      </c>
      <c r="BV161" s="20">
        <v>12.175000000000001</v>
      </c>
      <c r="BW161" s="19">
        <v>97.536900000000003</v>
      </c>
      <c r="BX161">
        <v>9.82</v>
      </c>
      <c r="BY161" s="5">
        <v>7164604</v>
      </c>
      <c r="BZ161" s="6">
        <v>30809340</v>
      </c>
      <c r="CA161" s="7">
        <f t="shared" si="10"/>
        <v>4.3002153363954241</v>
      </c>
      <c r="CB161">
        <v>5683483</v>
      </c>
      <c r="CC161" s="8">
        <f t="shared" si="11"/>
        <v>5.4208554859757649</v>
      </c>
      <c r="CD161" s="8">
        <f t="shared" si="12"/>
        <v>1.2606009378404053</v>
      </c>
      <c r="CE161">
        <v>42925</v>
      </c>
      <c r="CF161" s="8">
        <f t="shared" si="13"/>
        <v>166.9098194525335</v>
      </c>
      <c r="CG161" s="8">
        <f t="shared" si="14"/>
        <v>717.74816540477582</v>
      </c>
      <c r="CH161">
        <v>100</v>
      </c>
    </row>
    <row r="162" spans="1:86" ht="15.5" x14ac:dyDescent="0.35">
      <c r="A162" t="s">
        <v>92</v>
      </c>
      <c r="B162">
        <v>2016</v>
      </c>
      <c r="C162" s="2">
        <v>55.563200000000002</v>
      </c>
      <c r="D162">
        <v>79508.81</v>
      </c>
      <c r="E162">
        <v>9.8500000000000004E-2</v>
      </c>
      <c r="F162">
        <v>6.2336</v>
      </c>
      <c r="G162">
        <v>48800</v>
      </c>
      <c r="H162">
        <v>10</v>
      </c>
      <c r="I162" s="19">
        <v>100.017</v>
      </c>
      <c r="J162" s="19">
        <v>100.4</v>
      </c>
      <c r="K162" s="19">
        <v>2.9319999999999999</v>
      </c>
      <c r="L162" s="19">
        <v>99.523799999999994</v>
      </c>
      <c r="M162" s="19">
        <v>22126000000</v>
      </c>
      <c r="N162" s="19">
        <v>99.862799999999993</v>
      </c>
      <c r="O162">
        <v>28.007000000000001</v>
      </c>
      <c r="P162">
        <v>42.969900000000003</v>
      </c>
      <c r="Q162" s="19">
        <v>54699.182000000001</v>
      </c>
      <c r="R162" s="19">
        <v>54300.203999999998</v>
      </c>
      <c r="S162" s="19">
        <v>2.2717999999999998</v>
      </c>
      <c r="T162" s="19">
        <v>63299.337800000001</v>
      </c>
      <c r="U162" s="19">
        <v>51820.952100000002</v>
      </c>
      <c r="V162">
        <v>28.2</v>
      </c>
      <c r="W162" s="19">
        <v>98.095200000000006</v>
      </c>
      <c r="X162">
        <v>94</v>
      </c>
      <c r="Z162">
        <v>94</v>
      </c>
      <c r="AA162">
        <v>3.5</v>
      </c>
      <c r="AB162">
        <v>97</v>
      </c>
      <c r="AC162">
        <v>80.853700000000003</v>
      </c>
      <c r="AD162">
        <v>99.476299999999995</v>
      </c>
      <c r="AE162">
        <v>5</v>
      </c>
      <c r="AF162">
        <v>95.170400000000001</v>
      </c>
      <c r="AG162">
        <v>4</v>
      </c>
      <c r="AH162">
        <v>0.12</v>
      </c>
      <c r="AI162">
        <v>4</v>
      </c>
      <c r="AJ162">
        <v>3.7</v>
      </c>
      <c r="AK162">
        <v>4.4000000000000004</v>
      </c>
      <c r="AL162">
        <v>71.5715</v>
      </c>
      <c r="AM162">
        <v>3</v>
      </c>
      <c r="AN162">
        <v>33391</v>
      </c>
      <c r="AO162">
        <v>0</v>
      </c>
      <c r="AP162">
        <v>100</v>
      </c>
      <c r="AQ162">
        <v>99.597200000000001</v>
      </c>
      <c r="AR162">
        <v>99.181299999999993</v>
      </c>
      <c r="AU162">
        <v>9.2342999999999993</v>
      </c>
      <c r="AV162" s="19">
        <v>75.238100000000003</v>
      </c>
      <c r="AW162">
        <v>0.3</v>
      </c>
      <c r="AY162">
        <v>6</v>
      </c>
      <c r="AZ162">
        <v>7</v>
      </c>
      <c r="BA162">
        <v>97.688800000000001</v>
      </c>
      <c r="BB162">
        <v>37.430199999999999</v>
      </c>
      <c r="BC162">
        <v>8.6300000000000008</v>
      </c>
      <c r="BD162" s="19">
        <v>3.0760000000000001</v>
      </c>
      <c r="BE162" s="19">
        <v>92.381</v>
      </c>
      <c r="BF162">
        <v>60.220100000000002</v>
      </c>
      <c r="BG162">
        <v>32</v>
      </c>
      <c r="BH162" s="20">
        <v>3.0928</v>
      </c>
      <c r="BI162" s="20">
        <v>7852.0565999999999</v>
      </c>
      <c r="BJ162" s="19">
        <v>97.619</v>
      </c>
      <c r="BK162">
        <v>0.98829999999999996</v>
      </c>
      <c r="BL162">
        <v>1.0097</v>
      </c>
      <c r="BM162">
        <v>1.0295000000000001</v>
      </c>
      <c r="BN162">
        <v>6</v>
      </c>
      <c r="BO162">
        <v>6.72</v>
      </c>
      <c r="BP162">
        <v>10.82</v>
      </c>
      <c r="BQ162" s="19">
        <v>99.765100000000004</v>
      </c>
      <c r="BR162">
        <v>83.196299999999994</v>
      </c>
      <c r="BS162" s="20">
        <v>5.9889999999999999</v>
      </c>
      <c r="BT162" s="20">
        <v>5.9889999999999999</v>
      </c>
      <c r="BU162" s="20">
        <v>12.147</v>
      </c>
      <c r="BV162" s="20">
        <v>12.175000000000001</v>
      </c>
      <c r="BW162" s="19">
        <v>99.014799999999994</v>
      </c>
      <c r="BX162">
        <v>9.8000000000000007</v>
      </c>
      <c r="BY162" s="5">
        <v>7518778</v>
      </c>
      <c r="BZ162" s="6">
        <v>31896255</v>
      </c>
      <c r="CA162" s="7">
        <f t="shared" si="10"/>
        <v>4.2422126308291057</v>
      </c>
      <c r="CB162">
        <v>5728010</v>
      </c>
      <c r="CC162" s="8">
        <f t="shared" si="11"/>
        <v>5.5684705508544852</v>
      </c>
      <c r="CD162" s="8">
        <f t="shared" si="12"/>
        <v>1.3126335324135259</v>
      </c>
      <c r="CE162">
        <v>42925</v>
      </c>
      <c r="CF162" s="8">
        <f t="shared" si="13"/>
        <v>175.1608153756552</v>
      </c>
      <c r="CG162" s="8">
        <f t="shared" si="14"/>
        <v>743.0694234129295</v>
      </c>
      <c r="CH162">
        <v>100.11698</v>
      </c>
    </row>
    <row r="163" spans="1:86" ht="15.5" x14ac:dyDescent="0.35">
      <c r="A163" t="s">
        <v>92</v>
      </c>
      <c r="B163">
        <v>2017</v>
      </c>
      <c r="C163" s="2">
        <v>55.889800000000001</v>
      </c>
      <c r="D163">
        <v>82052.61</v>
      </c>
      <c r="E163">
        <v>8.9800000000000005E-2</v>
      </c>
      <c r="F163">
        <v>5.8235000000000001</v>
      </c>
      <c r="G163">
        <v>48800</v>
      </c>
      <c r="H163">
        <v>10</v>
      </c>
      <c r="I163" s="19">
        <v>101.075</v>
      </c>
      <c r="J163" s="19">
        <v>101.3</v>
      </c>
      <c r="K163" s="19">
        <v>3.3260000000000001</v>
      </c>
      <c r="L163" s="19">
        <v>99.047600000000003</v>
      </c>
      <c r="M163" s="19">
        <v>24284000000</v>
      </c>
      <c r="N163" s="19">
        <v>107.3839</v>
      </c>
      <c r="O163">
        <v>26.998999999999999</v>
      </c>
      <c r="P163">
        <v>43.569800000000001</v>
      </c>
      <c r="Q163" s="19">
        <v>57683.745999999999</v>
      </c>
      <c r="R163" s="19">
        <v>55601.014600000002</v>
      </c>
      <c r="S163" s="19">
        <v>2.3956</v>
      </c>
      <c r="T163" s="19">
        <v>64815.730799999998</v>
      </c>
      <c r="U163" s="19">
        <v>55271.597600000001</v>
      </c>
      <c r="V163">
        <v>28.7</v>
      </c>
      <c r="W163" s="19">
        <v>95.714299999999994</v>
      </c>
      <c r="X163">
        <v>98</v>
      </c>
      <c r="Z163">
        <v>97</v>
      </c>
      <c r="AA163">
        <v>3.4</v>
      </c>
      <c r="AB163">
        <v>97.1</v>
      </c>
      <c r="AC163">
        <v>81.102400000000003</v>
      </c>
      <c r="AD163">
        <v>100.47069999999999</v>
      </c>
      <c r="AE163">
        <v>5</v>
      </c>
      <c r="AF163">
        <v>95.188999999999993</v>
      </c>
      <c r="AG163">
        <v>3.3</v>
      </c>
      <c r="AH163">
        <v>4.5999999999999999E-2</v>
      </c>
      <c r="AI163">
        <v>4</v>
      </c>
      <c r="AJ163">
        <v>3.6</v>
      </c>
      <c r="AK163">
        <v>4.3</v>
      </c>
      <c r="AL163">
        <v>71.609200000000001</v>
      </c>
      <c r="AM163">
        <v>2.8</v>
      </c>
      <c r="AN163">
        <v>24561</v>
      </c>
      <c r="AO163">
        <v>0</v>
      </c>
      <c r="AP163">
        <v>100</v>
      </c>
      <c r="AQ163">
        <v>99.597200000000001</v>
      </c>
      <c r="AR163">
        <v>99.578199999999995</v>
      </c>
      <c r="AU163">
        <v>10.0946</v>
      </c>
      <c r="AV163" s="19">
        <v>75.238100000000003</v>
      </c>
      <c r="AW163">
        <v>0.1</v>
      </c>
      <c r="AY163">
        <v>6</v>
      </c>
      <c r="AZ163">
        <v>7</v>
      </c>
      <c r="BA163">
        <v>98.034300000000002</v>
      </c>
      <c r="BB163">
        <v>37.430199999999999</v>
      </c>
      <c r="BC163">
        <v>8.4781999999999993</v>
      </c>
      <c r="BD163" s="19">
        <v>3.056</v>
      </c>
      <c r="BE163" s="19">
        <v>92.381</v>
      </c>
      <c r="BF163">
        <v>70.266000000000005</v>
      </c>
      <c r="BG163">
        <v>35</v>
      </c>
      <c r="BH163" s="20">
        <v>2.9312</v>
      </c>
      <c r="BI163" s="20">
        <v>7647.6176999999998</v>
      </c>
      <c r="BJ163" s="19">
        <v>97.619</v>
      </c>
      <c r="BK163">
        <v>0.99360000000000004</v>
      </c>
      <c r="BL163">
        <v>1.0028999999999999</v>
      </c>
      <c r="BM163">
        <v>1.0108999999999999</v>
      </c>
      <c r="BN163">
        <v>6</v>
      </c>
      <c r="BO163">
        <v>7.5819999999999999</v>
      </c>
      <c r="BP163">
        <v>11.18</v>
      </c>
      <c r="BQ163" s="19">
        <v>99.384699999999995</v>
      </c>
      <c r="BR163">
        <v>83.854100000000003</v>
      </c>
      <c r="BS163" s="20">
        <v>5.8330000000000002</v>
      </c>
      <c r="BT163" s="20">
        <v>5.8330000000000002</v>
      </c>
      <c r="BU163" s="20">
        <v>12.384</v>
      </c>
      <c r="BV163" s="20">
        <v>12.409000000000001</v>
      </c>
      <c r="BW163" s="19">
        <v>97.044300000000007</v>
      </c>
      <c r="BX163">
        <v>9.0399999999999991</v>
      </c>
      <c r="BY163" s="5">
        <v>7673208</v>
      </c>
      <c r="BZ163" s="6">
        <v>32157794</v>
      </c>
      <c r="CA163" s="7">
        <f t="shared" si="10"/>
        <v>4.1909191044997085</v>
      </c>
      <c r="CB163">
        <v>5764980</v>
      </c>
      <c r="CC163" s="8">
        <f t="shared" si="11"/>
        <v>5.5781275910757717</v>
      </c>
      <c r="CD163" s="8">
        <f t="shared" si="12"/>
        <v>1.3310034033075571</v>
      </c>
      <c r="CE163">
        <v>42925</v>
      </c>
      <c r="CF163" s="8">
        <f t="shared" si="13"/>
        <v>178.75848573092603</v>
      </c>
      <c r="CG163" s="8">
        <f t="shared" si="14"/>
        <v>749.16235294117644</v>
      </c>
      <c r="CH163">
        <v>99.71002</v>
      </c>
    </row>
    <row r="164" spans="1:86" ht="15.5" x14ac:dyDescent="0.35">
      <c r="A164" t="s">
        <v>92</v>
      </c>
      <c r="B164">
        <v>2018</v>
      </c>
      <c r="C164" s="2">
        <v>56.231499999999997</v>
      </c>
      <c r="D164">
        <v>71006.66</v>
      </c>
      <c r="E164">
        <v>8.8400000000000006E-2</v>
      </c>
      <c r="F164">
        <v>5.8089000000000004</v>
      </c>
      <c r="G164">
        <v>48800</v>
      </c>
      <c r="H164">
        <v>10</v>
      </c>
      <c r="I164" s="19">
        <v>101.792</v>
      </c>
      <c r="J164" s="19">
        <v>102.1</v>
      </c>
      <c r="K164" s="19">
        <v>3.5790000000000002</v>
      </c>
      <c r="L164" s="19">
        <v>99.523799999999994</v>
      </c>
      <c r="M164" s="19">
        <v>22409000000</v>
      </c>
      <c r="N164" s="19">
        <v>114.9158</v>
      </c>
      <c r="O164">
        <v>26.329000000000001</v>
      </c>
      <c r="P164">
        <v>43.769100000000002</v>
      </c>
      <c r="Q164" s="19">
        <v>61456.783000000003</v>
      </c>
      <c r="R164" s="19">
        <v>56355.073299999996</v>
      </c>
      <c r="S164" s="19">
        <v>1.3562000000000001</v>
      </c>
      <c r="T164" s="19">
        <v>65694.759099999996</v>
      </c>
      <c r="U164" s="19">
        <v>57233.623200000002</v>
      </c>
      <c r="V164">
        <v>28.2</v>
      </c>
      <c r="W164" s="19">
        <v>96.666700000000006</v>
      </c>
      <c r="X164">
        <v>97</v>
      </c>
      <c r="Z164">
        <v>95</v>
      </c>
      <c r="AA164">
        <v>3.4</v>
      </c>
      <c r="AB164">
        <v>97.3</v>
      </c>
      <c r="AC164">
        <v>80.953699999999998</v>
      </c>
      <c r="AD164">
        <v>99.879900000000006</v>
      </c>
      <c r="AE164">
        <v>5</v>
      </c>
      <c r="AF164">
        <v>95.170900000000003</v>
      </c>
      <c r="AG164">
        <v>3.2</v>
      </c>
      <c r="AH164">
        <v>0.12</v>
      </c>
      <c r="AI164">
        <v>3.9</v>
      </c>
      <c r="AJ164">
        <v>3.5</v>
      </c>
      <c r="AK164">
        <v>4.2</v>
      </c>
      <c r="AL164">
        <v>71.353999999999999</v>
      </c>
      <c r="AM164">
        <v>2.7</v>
      </c>
      <c r="AN164">
        <v>18919</v>
      </c>
      <c r="AO164">
        <v>0</v>
      </c>
      <c r="AP164">
        <v>100</v>
      </c>
      <c r="AQ164">
        <v>99.597200000000001</v>
      </c>
      <c r="AR164">
        <v>99.918800000000005</v>
      </c>
      <c r="AU164">
        <v>10.353899999999999</v>
      </c>
      <c r="AV164" s="19">
        <v>80.188699999999997</v>
      </c>
      <c r="AW164">
        <v>0.2</v>
      </c>
      <c r="AY164">
        <v>6</v>
      </c>
      <c r="AZ164">
        <v>7</v>
      </c>
      <c r="BA164">
        <v>98.377499999999998</v>
      </c>
      <c r="BB164">
        <v>37.430199999999999</v>
      </c>
      <c r="BC164">
        <v>8.4567999999999994</v>
      </c>
      <c r="BD164" s="19">
        <v>1.859</v>
      </c>
      <c r="BE164" s="19">
        <v>93.8095</v>
      </c>
      <c r="BF164">
        <v>68.357399999999998</v>
      </c>
      <c r="BG164">
        <v>34.6</v>
      </c>
      <c r="BH164" s="20">
        <v>2.9660000000000002</v>
      </c>
      <c r="BI164" s="20">
        <v>7597.5254000000004</v>
      </c>
      <c r="BJ164" s="19">
        <v>96.666700000000006</v>
      </c>
      <c r="BK164">
        <v>0.99890000000000001</v>
      </c>
      <c r="BL164">
        <v>0.99980000000000002</v>
      </c>
      <c r="BM164">
        <v>0.99939999999999996</v>
      </c>
      <c r="BN164">
        <v>6</v>
      </c>
      <c r="BO164">
        <v>7.6829999999999998</v>
      </c>
      <c r="BP164">
        <v>11.2</v>
      </c>
      <c r="BQ164" s="19">
        <v>98.726299999999995</v>
      </c>
      <c r="BR164">
        <v>86.17</v>
      </c>
      <c r="BS164" s="20">
        <v>5.1310000000000002</v>
      </c>
      <c r="BT164" s="20">
        <v>5.1310000000000002</v>
      </c>
      <c r="BU164" s="20">
        <v>10.52</v>
      </c>
      <c r="BV164" s="20">
        <v>10.544</v>
      </c>
      <c r="BW164" s="19">
        <v>97.572800000000001</v>
      </c>
      <c r="BX164">
        <v>8.93</v>
      </c>
      <c r="BY164" s="5">
        <v>7966674</v>
      </c>
      <c r="BZ164" s="6">
        <v>33280395</v>
      </c>
      <c r="CA164" s="7">
        <f t="shared" si="10"/>
        <v>4.1774515939776125</v>
      </c>
      <c r="CB164">
        <v>5793636</v>
      </c>
      <c r="CC164" s="8">
        <f t="shared" si="11"/>
        <v>5.7443020238068119</v>
      </c>
      <c r="CD164" s="8">
        <f t="shared" si="12"/>
        <v>1.3750732700501032</v>
      </c>
      <c r="CE164">
        <v>42925</v>
      </c>
      <c r="CF164" s="8">
        <f t="shared" si="13"/>
        <v>185.5952009318579</v>
      </c>
      <c r="CG164" s="8">
        <f t="shared" si="14"/>
        <v>775.31496796738497</v>
      </c>
      <c r="CH164">
        <v>99.102239999999995</v>
      </c>
    </row>
    <row r="165" spans="1:86" ht="15.5" x14ac:dyDescent="0.35">
      <c r="A165" t="s">
        <v>92</v>
      </c>
      <c r="B165">
        <v>2019</v>
      </c>
      <c r="C165" s="2">
        <v>56.6</v>
      </c>
      <c r="D165">
        <v>69986.2</v>
      </c>
      <c r="E165">
        <v>7.8E-2</v>
      </c>
      <c r="F165">
        <v>5.1943999999999999</v>
      </c>
      <c r="G165">
        <v>48800</v>
      </c>
      <c r="H165">
        <v>10</v>
      </c>
      <c r="I165" s="19">
        <v>102.533</v>
      </c>
      <c r="J165" s="19">
        <v>103</v>
      </c>
      <c r="K165" s="19">
        <v>3.831</v>
      </c>
      <c r="L165" s="19">
        <v>99.523799999999994</v>
      </c>
      <c r="M165" s="19">
        <v>25719000000</v>
      </c>
      <c r="N165" s="19">
        <v>116.36190000000001</v>
      </c>
      <c r="O165">
        <v>26.632000000000001</v>
      </c>
      <c r="P165">
        <v>43.622999999999998</v>
      </c>
      <c r="Q165" s="19">
        <v>59489.614000000001</v>
      </c>
      <c r="R165" s="19">
        <v>57114.6227</v>
      </c>
      <c r="S165" s="19">
        <v>1.3478000000000001</v>
      </c>
      <c r="T165" s="19">
        <v>66580.188099999999</v>
      </c>
      <c r="U165" s="19">
        <v>60594.966399999998</v>
      </c>
      <c r="V165">
        <v>27.7</v>
      </c>
      <c r="W165" s="19">
        <v>98.571399999999997</v>
      </c>
      <c r="X165">
        <v>97</v>
      </c>
      <c r="Z165">
        <v>96</v>
      </c>
      <c r="AA165">
        <v>3.3</v>
      </c>
      <c r="AB165">
        <v>98</v>
      </c>
      <c r="AC165">
        <v>81.4512</v>
      </c>
      <c r="AD165">
        <v>101.5834</v>
      </c>
      <c r="AE165">
        <v>4</v>
      </c>
      <c r="AF165">
        <v>95.170900000000003</v>
      </c>
      <c r="AG165">
        <v>3.7</v>
      </c>
      <c r="AH165">
        <v>0.21</v>
      </c>
      <c r="AI165">
        <v>3.8</v>
      </c>
      <c r="AJ165">
        <v>3.4</v>
      </c>
      <c r="AK165">
        <v>4.0999999999999996</v>
      </c>
      <c r="AL165">
        <v>70.989099999999993</v>
      </c>
      <c r="AM165">
        <v>2.5</v>
      </c>
      <c r="AN165">
        <v>9488</v>
      </c>
      <c r="AO165">
        <v>0</v>
      </c>
      <c r="AP165">
        <v>100</v>
      </c>
      <c r="AQ165">
        <v>99.597200000000001</v>
      </c>
      <c r="AR165">
        <v>99.918800000000005</v>
      </c>
      <c r="AU165">
        <v>9.6120000000000001</v>
      </c>
      <c r="AV165" s="19">
        <v>81.132099999999994</v>
      </c>
      <c r="AW165">
        <v>0.3</v>
      </c>
      <c r="AX165">
        <v>12.1</v>
      </c>
      <c r="AY165">
        <v>6</v>
      </c>
      <c r="AZ165">
        <v>7</v>
      </c>
      <c r="BA165">
        <v>98.555300000000003</v>
      </c>
      <c r="BB165">
        <v>39.106099999999998</v>
      </c>
      <c r="BC165">
        <v>8.4984999999999999</v>
      </c>
      <c r="BD165" s="19">
        <v>1.7130000000000001</v>
      </c>
      <c r="BE165" s="19">
        <v>92.381</v>
      </c>
      <c r="BF165">
        <v>78.171800000000005</v>
      </c>
      <c r="BG165">
        <v>37.200000000000003</v>
      </c>
      <c r="BH165" s="20">
        <v>2.8969</v>
      </c>
      <c r="BI165" s="20">
        <v>7693.5487999999996</v>
      </c>
      <c r="BJ165" s="19">
        <v>97.142899999999997</v>
      </c>
      <c r="BK165">
        <v>0.99839999999999995</v>
      </c>
      <c r="BL165">
        <v>0.99560000000000004</v>
      </c>
      <c r="BM165">
        <v>0.99150000000000005</v>
      </c>
      <c r="BN165">
        <v>6</v>
      </c>
      <c r="BO165">
        <v>7.7220000000000004</v>
      </c>
      <c r="BP165">
        <v>11.42</v>
      </c>
      <c r="BQ165" s="19">
        <v>102.34010000000001</v>
      </c>
      <c r="BR165">
        <v>86.284700000000001</v>
      </c>
      <c r="BS165" s="20">
        <v>5.0179999999999998</v>
      </c>
      <c r="BT165" s="20">
        <v>5.0179999999999998</v>
      </c>
      <c r="BU165" s="20">
        <v>10.041</v>
      </c>
      <c r="BV165" s="20">
        <v>10.058</v>
      </c>
      <c r="BW165" s="19">
        <v>98.550700000000006</v>
      </c>
      <c r="BX165">
        <v>7.48</v>
      </c>
      <c r="BY165" s="5">
        <v>8279387</v>
      </c>
      <c r="BZ165" s="6">
        <v>34325625</v>
      </c>
      <c r="CA165" s="7">
        <f t="shared" si="10"/>
        <v>4.1459138218807743</v>
      </c>
      <c r="CB165">
        <v>5814422</v>
      </c>
      <c r="CC165" s="8">
        <f t="shared" si="11"/>
        <v>5.9035317697958627</v>
      </c>
      <c r="CD165" s="8">
        <f t="shared" si="12"/>
        <v>1.4239398172337681</v>
      </c>
      <c r="CE165">
        <v>42925</v>
      </c>
      <c r="CF165" s="8">
        <f t="shared" si="13"/>
        <v>192.88030285381478</v>
      </c>
      <c r="CG165" s="8">
        <f t="shared" si="14"/>
        <v>799.66511357018055</v>
      </c>
      <c r="CH165">
        <v>98.576239999999999</v>
      </c>
    </row>
    <row r="166" spans="1:86" ht="15.5" x14ac:dyDescent="0.35">
      <c r="A166" t="s">
        <v>92</v>
      </c>
      <c r="B166">
        <v>2020</v>
      </c>
      <c r="C166" s="2">
        <v>57.003799999999998</v>
      </c>
      <c r="D166">
        <v>69770.92</v>
      </c>
      <c r="E166">
        <v>7.3099999999999998E-2</v>
      </c>
      <c r="F166">
        <v>4.7667000000000002</v>
      </c>
      <c r="G166">
        <v>48800</v>
      </c>
      <c r="H166">
        <v>10</v>
      </c>
      <c r="I166" s="19">
        <v>102.875</v>
      </c>
      <c r="J166" s="19">
        <v>103.5</v>
      </c>
      <c r="K166" s="19">
        <v>2.9140000000000001</v>
      </c>
      <c r="L166" s="19">
        <v>100</v>
      </c>
      <c r="M166" s="19">
        <v>25700000000</v>
      </c>
      <c r="N166" s="19">
        <v>113.6148</v>
      </c>
      <c r="O166">
        <v>28.03</v>
      </c>
      <c r="P166">
        <v>44.418599999999998</v>
      </c>
      <c r="Q166" s="19">
        <v>61075.932000000001</v>
      </c>
      <c r="R166" s="19">
        <v>55934.5556</v>
      </c>
      <c r="S166" s="19">
        <v>-2.0661</v>
      </c>
      <c r="T166" s="19">
        <v>65204.549299999999</v>
      </c>
      <c r="U166" s="19">
        <v>62682.289900000003</v>
      </c>
      <c r="V166">
        <v>27.5</v>
      </c>
      <c r="W166" s="19">
        <v>97.619</v>
      </c>
      <c r="X166">
        <v>97</v>
      </c>
      <c r="Z166">
        <v>94</v>
      </c>
      <c r="AA166">
        <v>3.2</v>
      </c>
      <c r="AB166">
        <v>96.5</v>
      </c>
      <c r="AC166">
        <v>81.602400000000003</v>
      </c>
      <c r="AD166">
        <v>101.94929999999999</v>
      </c>
      <c r="AE166">
        <v>4</v>
      </c>
      <c r="AF166">
        <v>95.170900000000003</v>
      </c>
      <c r="AH166">
        <v>8.6999999999999994E-2</v>
      </c>
      <c r="AI166">
        <v>3.7</v>
      </c>
      <c r="AJ166">
        <v>3.4</v>
      </c>
      <c r="AK166">
        <v>4</v>
      </c>
      <c r="AL166">
        <v>71.245999999999995</v>
      </c>
      <c r="AM166">
        <v>2.2999999999999998</v>
      </c>
      <c r="AN166">
        <v>10851</v>
      </c>
      <c r="AO166">
        <v>0</v>
      </c>
      <c r="AP166">
        <v>100</v>
      </c>
      <c r="AQ166">
        <v>99.597200000000001</v>
      </c>
      <c r="AR166">
        <v>99.918800000000005</v>
      </c>
      <c r="AU166">
        <v>9.0698000000000008</v>
      </c>
      <c r="AV166" s="19">
        <v>78.301900000000003</v>
      </c>
      <c r="AW166">
        <v>0.2</v>
      </c>
      <c r="AX166">
        <v>12.3</v>
      </c>
      <c r="AY166">
        <v>6</v>
      </c>
      <c r="AZ166">
        <v>7</v>
      </c>
      <c r="BA166">
        <v>98.640500000000003</v>
      </c>
      <c r="BB166">
        <v>39.6648</v>
      </c>
      <c r="BC166">
        <v>8.9619999999999997</v>
      </c>
      <c r="BD166" s="19">
        <v>-1.7809999999999999</v>
      </c>
      <c r="BE166" s="19">
        <v>97.619</v>
      </c>
      <c r="BF166">
        <v>81.616799999999998</v>
      </c>
      <c r="BG166">
        <v>39.5</v>
      </c>
      <c r="BH166" s="20">
        <v>2.9725999999999999</v>
      </c>
      <c r="BI166" s="20">
        <v>7651.2842000000001</v>
      </c>
      <c r="BJ166" s="19">
        <v>98.095200000000006</v>
      </c>
      <c r="BK166">
        <v>0.99950000000000006</v>
      </c>
      <c r="BL166">
        <v>0.99690000000000001</v>
      </c>
      <c r="BM166">
        <v>0.99270000000000003</v>
      </c>
      <c r="BN166">
        <v>6</v>
      </c>
      <c r="BO166">
        <v>7.444</v>
      </c>
      <c r="BP166">
        <v>10.9</v>
      </c>
      <c r="BQ166" s="19">
        <v>102.0566</v>
      </c>
      <c r="BR166">
        <v>86.284700000000001</v>
      </c>
      <c r="BS166" s="20">
        <v>5.6369999999999996</v>
      </c>
      <c r="BT166" s="20">
        <v>5.6369999999999996</v>
      </c>
      <c r="BU166" s="20">
        <v>11.587999999999999</v>
      </c>
      <c r="BV166" s="20">
        <v>11.612</v>
      </c>
      <c r="BW166" s="19">
        <v>97.584500000000006</v>
      </c>
      <c r="BX166">
        <v>8.2100000000000009</v>
      </c>
      <c r="BY166" s="5">
        <v>5035833</v>
      </c>
      <c r="BZ166" s="6">
        <v>23670530</v>
      </c>
      <c r="CA166" s="7">
        <f t="shared" si="10"/>
        <v>4.7004199702412688</v>
      </c>
      <c r="CB166">
        <v>5831404</v>
      </c>
      <c r="CC166" s="8">
        <f t="shared" si="11"/>
        <v>4.0591476769573847</v>
      </c>
      <c r="CD166" s="8">
        <f t="shared" si="12"/>
        <v>0.86357127717441629</v>
      </c>
      <c r="CE166">
        <v>42925</v>
      </c>
      <c r="CF166" s="8">
        <f t="shared" si="13"/>
        <v>117.31701805474665</v>
      </c>
      <c r="CG166" s="8">
        <f t="shared" si="14"/>
        <v>551.43925451368671</v>
      </c>
      <c r="CH166">
        <v>98.641930000000002</v>
      </c>
    </row>
    <row r="167" spans="1:86" ht="15.5" x14ac:dyDescent="0.35">
      <c r="A167" t="s">
        <v>92</v>
      </c>
      <c r="B167">
        <v>2021</v>
      </c>
      <c r="C167" s="2">
        <v>57.287300000000002</v>
      </c>
      <c r="D167">
        <v>69616.59</v>
      </c>
      <c r="E167">
        <v>7.1999999999999995E-2</v>
      </c>
      <c r="F167">
        <v>5.0191999999999997</v>
      </c>
      <c r="G167">
        <v>48800</v>
      </c>
      <c r="H167">
        <v>10</v>
      </c>
      <c r="I167" s="19">
        <v>104.875</v>
      </c>
      <c r="J167" s="19">
        <v>107.1</v>
      </c>
      <c r="K167" s="19">
        <v>6.2510000000000003</v>
      </c>
      <c r="L167" s="19">
        <v>100</v>
      </c>
      <c r="M167" s="19">
        <v>35440000000</v>
      </c>
      <c r="N167" s="19">
        <v>131.93819999999999</v>
      </c>
      <c r="O167">
        <v>29.434999999999999</v>
      </c>
      <c r="P167">
        <v>44.959800000000001</v>
      </c>
      <c r="Q167" s="19">
        <v>69927.263999999996</v>
      </c>
      <c r="R167" s="19">
        <v>59803.9202</v>
      </c>
      <c r="S167" s="19">
        <v>6.9177</v>
      </c>
      <c r="T167" s="19">
        <v>69715.180999999997</v>
      </c>
      <c r="U167" s="19">
        <v>69715.180999999997</v>
      </c>
      <c r="V167">
        <v>28.3</v>
      </c>
      <c r="W167" s="19">
        <v>98.571399999999997</v>
      </c>
      <c r="X167">
        <v>97</v>
      </c>
      <c r="Z167">
        <v>95</v>
      </c>
      <c r="AA167">
        <v>3.2</v>
      </c>
      <c r="AB167">
        <v>98.9</v>
      </c>
      <c r="AC167">
        <v>81.404899999999998</v>
      </c>
      <c r="AD167">
        <v>100.37569999999999</v>
      </c>
      <c r="AE167">
        <v>8</v>
      </c>
      <c r="AH167">
        <v>5.0000000000000001E-4</v>
      </c>
      <c r="AI167">
        <v>3.6</v>
      </c>
      <c r="AJ167">
        <v>3.3</v>
      </c>
      <c r="AK167">
        <v>3.9</v>
      </c>
      <c r="AL167">
        <v>71.191900000000004</v>
      </c>
      <c r="AM167">
        <v>2.1</v>
      </c>
      <c r="AN167">
        <v>26887</v>
      </c>
      <c r="AO167">
        <v>0</v>
      </c>
      <c r="AP167">
        <v>100</v>
      </c>
      <c r="AQ167">
        <v>99.597200000000001</v>
      </c>
      <c r="AR167">
        <v>99.918800000000005</v>
      </c>
      <c r="AV167" s="19">
        <v>80.188699999999997</v>
      </c>
      <c r="AW167">
        <v>0.2</v>
      </c>
      <c r="AX167">
        <v>12.4</v>
      </c>
      <c r="AY167">
        <v>6</v>
      </c>
      <c r="AZ167">
        <v>7</v>
      </c>
      <c r="BA167">
        <v>98.722700000000003</v>
      </c>
      <c r="BB167">
        <v>39.6648</v>
      </c>
      <c r="BC167">
        <v>9.0548999999999999</v>
      </c>
      <c r="BD167" s="19">
        <v>7.38</v>
      </c>
      <c r="BE167" s="19">
        <v>97.619</v>
      </c>
      <c r="BF167">
        <v>78.9589</v>
      </c>
      <c r="BG167">
        <v>39.5</v>
      </c>
      <c r="BH167" s="20">
        <v>2.7614000000000001</v>
      </c>
      <c r="BI167" s="20">
        <v>7708.2372999999998</v>
      </c>
      <c r="BJ167" s="19">
        <v>99.047600000000003</v>
      </c>
      <c r="BN167">
        <v>6</v>
      </c>
      <c r="BO167">
        <v>7.1120000000000001</v>
      </c>
      <c r="BP167">
        <v>10.46</v>
      </c>
      <c r="BQ167" s="19">
        <v>99.12</v>
      </c>
      <c r="BS167" s="20">
        <v>5.0430000000000001</v>
      </c>
      <c r="BT167" s="20">
        <v>5.0430000000000001</v>
      </c>
      <c r="BU167" s="20">
        <v>10.808</v>
      </c>
      <c r="BV167" s="20">
        <v>10.833</v>
      </c>
      <c r="BW167" s="19">
        <v>98.550700000000006</v>
      </c>
      <c r="BX167">
        <v>7.18</v>
      </c>
      <c r="BY167" s="5">
        <v>6417528</v>
      </c>
      <c r="BZ167" s="6">
        <v>28556054</v>
      </c>
      <c r="CA167" s="7">
        <f t="shared" si="10"/>
        <v>4.4496968303059994</v>
      </c>
      <c r="CB167">
        <v>5856733</v>
      </c>
      <c r="CC167" s="8">
        <f t="shared" si="11"/>
        <v>4.8757650382901181</v>
      </c>
      <c r="CD167" s="8">
        <f t="shared" si="12"/>
        <v>1.0957521881226273</v>
      </c>
      <c r="CE167">
        <v>42925</v>
      </c>
      <c r="CF167" s="8">
        <f t="shared" si="13"/>
        <v>149.50560279557368</v>
      </c>
      <c r="CG167" s="8">
        <f t="shared" si="14"/>
        <v>665.25460687245197</v>
      </c>
      <c r="CH167">
        <v>97.740290000000002</v>
      </c>
    </row>
    <row r="168" spans="1:86" ht="15.5" x14ac:dyDescent="0.35">
      <c r="A168" t="s">
        <v>92</v>
      </c>
      <c r="B168">
        <v>2022</v>
      </c>
      <c r="C168" s="2">
        <v>57.324300000000001</v>
      </c>
      <c r="E168">
        <v>6.7900000000000002E-2</v>
      </c>
      <c r="F168">
        <v>4.7672999999999996</v>
      </c>
      <c r="H168">
        <v>10</v>
      </c>
      <c r="I168" s="19">
        <v>113.825</v>
      </c>
      <c r="J168" s="19">
        <v>117.5</v>
      </c>
      <c r="K168" s="19">
        <v>8.7970000000000006</v>
      </c>
      <c r="L168" s="19">
        <v>100</v>
      </c>
      <c r="M168" s="19">
        <v>46860000000</v>
      </c>
      <c r="N168" s="19"/>
      <c r="O168">
        <v>31.166</v>
      </c>
      <c r="P168">
        <v>44.823700000000002</v>
      </c>
      <c r="Q168" s="19">
        <v>68434.673999999999</v>
      </c>
      <c r="R168" s="19">
        <v>60248.671199999997</v>
      </c>
      <c r="S168" s="19">
        <v>0.74370000000000003</v>
      </c>
      <c r="T168" s="19">
        <v>70233.640299999999</v>
      </c>
      <c r="U168" s="19">
        <v>77400.334799999997</v>
      </c>
      <c r="W168" s="19">
        <v>98.584900000000005</v>
      </c>
      <c r="X168">
        <v>97</v>
      </c>
      <c r="Z168">
        <v>95</v>
      </c>
      <c r="AA168">
        <v>3.1</v>
      </c>
      <c r="AB168">
        <v>97.9</v>
      </c>
      <c r="AC168">
        <v>81.304900000000004</v>
      </c>
      <c r="AD168">
        <v>100.15940000000001</v>
      </c>
      <c r="AE168">
        <v>6</v>
      </c>
      <c r="AI168">
        <v>3.5</v>
      </c>
      <c r="AJ168">
        <v>3.2</v>
      </c>
      <c r="AK168">
        <v>3.8</v>
      </c>
      <c r="AL168">
        <v>71.095299999999995</v>
      </c>
      <c r="AM168">
        <v>1.9</v>
      </c>
      <c r="AN168">
        <v>60219</v>
      </c>
      <c r="AO168">
        <v>0</v>
      </c>
      <c r="AP168">
        <v>100</v>
      </c>
      <c r="AQ168">
        <v>99.597200000000001</v>
      </c>
      <c r="AR168">
        <v>99.918800000000005</v>
      </c>
      <c r="AV168" s="19">
        <v>76.886799999999994</v>
      </c>
      <c r="AY168">
        <v>6</v>
      </c>
      <c r="AZ168">
        <v>7</v>
      </c>
      <c r="BA168">
        <v>98.8018</v>
      </c>
      <c r="BB168">
        <v>43.575400000000002</v>
      </c>
      <c r="BC168">
        <v>7.9554</v>
      </c>
      <c r="BD168" s="19">
        <v>1.5409999999999999</v>
      </c>
      <c r="BE168" s="19">
        <v>98.584900000000005</v>
      </c>
      <c r="BG168" s="23">
        <v>42.383000000000003</v>
      </c>
      <c r="BH168" s="20">
        <v>2.8904999999999998</v>
      </c>
      <c r="BI168" s="20">
        <v>8735.6005999999998</v>
      </c>
      <c r="BJ168" s="19">
        <v>99.528300000000002</v>
      </c>
      <c r="BN168">
        <v>6</v>
      </c>
      <c r="BO168">
        <v>6.766</v>
      </c>
      <c r="BQ168" s="19"/>
      <c r="BS168" s="20">
        <v>4.4340000000000002</v>
      </c>
      <c r="BT168" s="20">
        <v>4.4340000000000002</v>
      </c>
      <c r="BU168" s="20">
        <v>10.532999999999999</v>
      </c>
      <c r="BV168" s="20">
        <v>10.573</v>
      </c>
      <c r="BW168" s="19">
        <v>98.067599999999999</v>
      </c>
      <c r="BX168">
        <v>6.67</v>
      </c>
      <c r="BY168" s="5">
        <v>9217928</v>
      </c>
      <c r="BZ168" s="6">
        <v>38439848</v>
      </c>
      <c r="CA168" s="7">
        <f t="shared" si="10"/>
        <v>4.1701180568995548</v>
      </c>
      <c r="CB168">
        <v>5903037</v>
      </c>
      <c r="CC168" s="8">
        <f t="shared" si="11"/>
        <v>6.5118765137335242</v>
      </c>
      <c r="CD168" s="8">
        <f t="shared" si="12"/>
        <v>1.5615568731823974</v>
      </c>
      <c r="CE168">
        <v>42925</v>
      </c>
      <c r="CF168" s="8">
        <f t="shared" si="13"/>
        <v>214.74497379149679</v>
      </c>
      <c r="CG168" s="8">
        <f t="shared" si="14"/>
        <v>895.51189283634244</v>
      </c>
      <c r="CH168">
        <v>97.632239999999996</v>
      </c>
    </row>
    <row r="169" spans="1:86" ht="15.5" x14ac:dyDescent="0.35">
      <c r="A169" t="s">
        <v>92</v>
      </c>
      <c r="B169">
        <v>2023</v>
      </c>
      <c r="C169" s="26">
        <v>57.398899999999998</v>
      </c>
      <c r="E169">
        <v>6.3E-2</v>
      </c>
      <c r="F169">
        <v>4.5019999999999998</v>
      </c>
      <c r="H169">
        <v>10</v>
      </c>
      <c r="I169" s="19">
        <v>117.642</v>
      </c>
      <c r="J169" s="19">
        <v>118</v>
      </c>
      <c r="K169" s="19">
        <v>6.0270000000000001</v>
      </c>
      <c r="L169" s="19">
        <v>100</v>
      </c>
      <c r="M169" s="19">
        <v>40040000000</v>
      </c>
      <c r="N169" s="19"/>
      <c r="P169">
        <v>44.482500000000002</v>
      </c>
      <c r="Q169" s="19">
        <v>68618.872000000003</v>
      </c>
      <c r="R169" s="19">
        <v>61295.981899999999</v>
      </c>
      <c r="S169" s="19">
        <v>1.7383</v>
      </c>
      <c r="T169" s="19">
        <v>71454.520900000003</v>
      </c>
      <c r="U169" s="19">
        <v>73737.447499999995</v>
      </c>
      <c r="W169" s="19">
        <v>98.584900000000005</v>
      </c>
      <c r="X169">
        <v>97</v>
      </c>
      <c r="Z169">
        <v>95</v>
      </c>
      <c r="AA169">
        <v>3</v>
      </c>
      <c r="AB169">
        <v>98.8</v>
      </c>
      <c r="AC169">
        <v>81.853700000000003</v>
      </c>
      <c r="AE169">
        <v>4</v>
      </c>
      <c r="AI169">
        <v>3.4</v>
      </c>
      <c r="AJ169">
        <v>3.1</v>
      </c>
      <c r="AK169">
        <v>3.7</v>
      </c>
      <c r="AL169" s="24">
        <v>71.095299999999995</v>
      </c>
      <c r="AM169">
        <v>1.8</v>
      </c>
      <c r="AN169">
        <v>31006</v>
      </c>
      <c r="AV169" s="19">
        <v>76.777299999999997</v>
      </c>
      <c r="AY169" s="25">
        <v>6</v>
      </c>
      <c r="AZ169">
        <v>7</v>
      </c>
      <c r="BB169">
        <v>43.575400000000002</v>
      </c>
      <c r="BD169" s="19">
        <v>2.4950000000000001</v>
      </c>
      <c r="BE169" s="19">
        <v>98.113200000000006</v>
      </c>
      <c r="BG169" s="23">
        <v>44.396000000000001</v>
      </c>
      <c r="BH169" s="20"/>
      <c r="BI169" s="20"/>
      <c r="BJ169" s="19">
        <v>99.528300000000002</v>
      </c>
      <c r="BN169">
        <v>6</v>
      </c>
      <c r="BO169">
        <v>7.1150000000000002</v>
      </c>
      <c r="BQ169" s="19"/>
      <c r="BS169" s="20">
        <v>5.0940000000000003</v>
      </c>
      <c r="BT169" s="20">
        <v>5.0940000000000003</v>
      </c>
      <c r="BU169" s="20">
        <v>11.499000000000001</v>
      </c>
      <c r="BV169" s="20">
        <v>11.516999999999999</v>
      </c>
      <c r="BW169" s="19">
        <v>98.529399999999995</v>
      </c>
      <c r="BX169">
        <v>6.46</v>
      </c>
      <c r="BY169" s="5">
        <v>9410669</v>
      </c>
      <c r="BZ169" s="6">
        <v>38946106</v>
      </c>
      <c r="CA169" s="7">
        <f t="shared" si="10"/>
        <v>4.1385055621444131</v>
      </c>
      <c r="CB169">
        <v>5946952</v>
      </c>
      <c r="CC169" s="8">
        <f t="shared" si="11"/>
        <v>6.5489188411139017</v>
      </c>
      <c r="CD169" s="8">
        <f t="shared" si="12"/>
        <v>1.5824356746111286</v>
      </c>
      <c r="CE169">
        <v>42925</v>
      </c>
      <c r="CF169" s="8">
        <f t="shared" si="13"/>
        <v>219.2351543389633</v>
      </c>
      <c r="CG169" s="8">
        <f t="shared" si="14"/>
        <v>907.30590564938848</v>
      </c>
      <c r="CH169">
        <v>95.531440000000003</v>
      </c>
    </row>
    <row r="170" spans="1:86" ht="15.5" x14ac:dyDescent="0.35">
      <c r="A170" t="s">
        <v>93</v>
      </c>
      <c r="B170">
        <v>2000</v>
      </c>
      <c r="C170" s="2">
        <v>48.421700000000001</v>
      </c>
      <c r="D170">
        <v>15841.8</v>
      </c>
      <c r="E170">
        <v>0.5998</v>
      </c>
      <c r="F170">
        <v>12.438599999999999</v>
      </c>
      <c r="G170">
        <v>17900</v>
      </c>
      <c r="H170">
        <v>9</v>
      </c>
      <c r="I170" s="19">
        <v>58.223999999999997</v>
      </c>
      <c r="J170" s="19">
        <v>59.65</v>
      </c>
      <c r="K170" s="19">
        <v>4.9669999999999996</v>
      </c>
      <c r="L170" s="19">
        <v>77.659599999999998</v>
      </c>
      <c r="M170" s="19">
        <v>-309000000</v>
      </c>
      <c r="N170" s="19">
        <v>29.835899999999999</v>
      </c>
      <c r="O170">
        <v>34.826000000000001</v>
      </c>
      <c r="Q170" s="19">
        <v>4084.9319999999998</v>
      </c>
      <c r="R170" s="19">
        <v>10006.7693</v>
      </c>
      <c r="S170" s="19">
        <v>9.5564</v>
      </c>
      <c r="T170" s="19">
        <v>20739.390899999999</v>
      </c>
      <c r="U170" s="19">
        <v>9422.4971000000005</v>
      </c>
      <c r="W170" s="19">
        <v>75.956299999999999</v>
      </c>
      <c r="X170">
        <v>93</v>
      </c>
      <c r="Z170">
        <v>93</v>
      </c>
      <c r="AA170">
        <v>8.8000000000000007</v>
      </c>
      <c r="AB170">
        <v>28.6</v>
      </c>
      <c r="AC170">
        <v>70.417100000000005</v>
      </c>
      <c r="AD170">
        <v>90.076700000000002</v>
      </c>
      <c r="AE170">
        <v>27</v>
      </c>
      <c r="AF170">
        <v>73.741399999999999</v>
      </c>
      <c r="AG170">
        <v>17.7</v>
      </c>
      <c r="AH170">
        <v>3.55</v>
      </c>
      <c r="AI170">
        <v>11</v>
      </c>
      <c r="AJ170">
        <v>9.6999999999999993</v>
      </c>
      <c r="AK170">
        <v>12.3</v>
      </c>
      <c r="AL170">
        <v>56.795200000000001</v>
      </c>
      <c r="AM170">
        <v>5.3</v>
      </c>
      <c r="AN170">
        <v>-3083</v>
      </c>
      <c r="AO170">
        <v>0</v>
      </c>
      <c r="AP170">
        <v>97.362200000000001</v>
      </c>
      <c r="AQ170">
        <v>99.683199999999999</v>
      </c>
      <c r="AR170">
        <v>91.681899999999999</v>
      </c>
      <c r="AT170">
        <v>94.570899999999995</v>
      </c>
      <c r="AU170">
        <v>11.815099999999999</v>
      </c>
      <c r="AV170" s="19">
        <v>77.777799999999999</v>
      </c>
      <c r="AZ170">
        <v>6</v>
      </c>
      <c r="BA170">
        <v>91.670199999999994</v>
      </c>
      <c r="BB170">
        <v>17.8218</v>
      </c>
      <c r="BC170">
        <v>3.9211999999999998</v>
      </c>
      <c r="BD170" s="19">
        <v>10.087999999999999</v>
      </c>
      <c r="BE170" s="19">
        <v>89.130399999999995</v>
      </c>
      <c r="BF170">
        <v>0.215</v>
      </c>
      <c r="BG170">
        <v>19.8</v>
      </c>
      <c r="BH170" s="20">
        <v>0.6</v>
      </c>
      <c r="BI170" s="20">
        <v>1902.6006</v>
      </c>
      <c r="BJ170" s="19">
        <v>68.159199999999998</v>
      </c>
      <c r="BK170">
        <v>0.99019999999999997</v>
      </c>
      <c r="BL170">
        <v>1.0233000000000001</v>
      </c>
      <c r="BM170">
        <v>1.0601</v>
      </c>
      <c r="BN170">
        <v>6</v>
      </c>
      <c r="BO170">
        <v>17.475000000000001</v>
      </c>
      <c r="BP170">
        <v>29.27</v>
      </c>
      <c r="BQ170" s="19">
        <v>106.7486</v>
      </c>
      <c r="BR170">
        <v>66.759799999999998</v>
      </c>
      <c r="BS170" s="20">
        <v>13.36</v>
      </c>
      <c r="BT170" s="20">
        <v>13.36</v>
      </c>
      <c r="BU170" s="20">
        <v>21.114000000000001</v>
      </c>
      <c r="BV170" s="20">
        <v>21.135999999999999</v>
      </c>
      <c r="BW170" s="19">
        <v>77.114400000000003</v>
      </c>
      <c r="BX170">
        <v>33.18</v>
      </c>
      <c r="BY170" s="27">
        <v>1401627</v>
      </c>
      <c r="BZ170" s="27">
        <v>2695669</v>
      </c>
      <c r="CA170" s="7">
        <f>BZ170/BY170</f>
        <v>1.9232427742901643</v>
      </c>
      <c r="CB170">
        <v>1396985</v>
      </c>
      <c r="CC170" s="8">
        <f t="shared" si="11"/>
        <v>1.9296334606312882</v>
      </c>
      <c r="CD170" s="8">
        <f>BY170/CB170</f>
        <v>1.0033228703243056</v>
      </c>
      <c r="CE170">
        <v>45336</v>
      </c>
      <c r="CF170" s="8">
        <f t="shared" si="13"/>
        <v>30.916424033880361</v>
      </c>
      <c r="CG170" s="8">
        <f t="shared" si="14"/>
        <v>59.459789130051171</v>
      </c>
      <c r="CH170">
        <v>75.860749999999996</v>
      </c>
    </row>
    <row r="171" spans="1:86" ht="15.5" x14ac:dyDescent="0.35">
      <c r="A171" t="s">
        <v>93</v>
      </c>
      <c r="B171">
        <v>2001</v>
      </c>
      <c r="C171" s="2">
        <v>48.016300000000001</v>
      </c>
      <c r="D171">
        <v>16687.810000000001</v>
      </c>
      <c r="E171">
        <v>0.57889999999999997</v>
      </c>
      <c r="F171">
        <v>12.793799999999999</v>
      </c>
      <c r="G171">
        <v>18400</v>
      </c>
      <c r="H171">
        <v>9</v>
      </c>
      <c r="I171" s="19">
        <v>61.5</v>
      </c>
      <c r="J171" s="19">
        <v>62.16</v>
      </c>
      <c r="K171" s="19">
        <v>3.9790000000000001</v>
      </c>
      <c r="L171" s="19"/>
      <c r="M171" s="19">
        <v>-445000000</v>
      </c>
      <c r="N171" s="19">
        <v>31.279499999999999</v>
      </c>
      <c r="O171">
        <v>38.17</v>
      </c>
      <c r="P171">
        <v>1.2587999999999999</v>
      </c>
      <c r="Q171" s="19">
        <v>4513.0190000000002</v>
      </c>
      <c r="R171" s="19">
        <v>10662.9455</v>
      </c>
      <c r="S171" s="19">
        <v>6.5572999999999997</v>
      </c>
      <c r="T171" s="19">
        <v>22099.339899999999</v>
      </c>
      <c r="U171" s="19">
        <v>10309.9979</v>
      </c>
      <c r="W171" s="19"/>
      <c r="X171">
        <v>94</v>
      </c>
      <c r="Z171">
        <v>95</v>
      </c>
      <c r="AA171">
        <v>8.1</v>
      </c>
      <c r="AB171">
        <v>31.5</v>
      </c>
      <c r="AC171">
        <v>70.258499999999998</v>
      </c>
      <c r="AD171">
        <v>93.504199999999997</v>
      </c>
      <c r="AE171">
        <v>25</v>
      </c>
      <c r="AF171">
        <v>74.090699999999998</v>
      </c>
      <c r="AG171">
        <v>16</v>
      </c>
      <c r="AH171">
        <v>2.62</v>
      </c>
      <c r="AI171">
        <v>10.1</v>
      </c>
      <c r="AJ171">
        <v>8.9</v>
      </c>
      <c r="AK171">
        <v>11.3</v>
      </c>
      <c r="AL171">
        <v>57.105499999999999</v>
      </c>
      <c r="AM171">
        <v>4.9000000000000004</v>
      </c>
      <c r="AN171">
        <v>-3280</v>
      </c>
      <c r="AO171">
        <v>0</v>
      </c>
      <c r="AP171">
        <v>97.523200000000003</v>
      </c>
      <c r="AQ171">
        <v>99.686999999999998</v>
      </c>
      <c r="AR171">
        <v>92.008799999999994</v>
      </c>
      <c r="AT171">
        <v>94.651700000000005</v>
      </c>
      <c r="AU171">
        <v>11.392300000000001</v>
      </c>
      <c r="AV171" s="19"/>
      <c r="AZ171">
        <v>6</v>
      </c>
      <c r="BA171">
        <v>91.546899999999994</v>
      </c>
      <c r="BB171">
        <v>17.8218</v>
      </c>
      <c r="BC171">
        <v>3.7288999999999999</v>
      </c>
      <c r="BD171" s="19">
        <v>5.8810000000000002</v>
      </c>
      <c r="BE171" s="19"/>
      <c r="BF171">
        <v>0.2122</v>
      </c>
      <c r="BG171">
        <v>18.899999999999999</v>
      </c>
      <c r="BH171" s="20">
        <v>0.69840000000000002</v>
      </c>
      <c r="BI171" s="20">
        <v>1924.963</v>
      </c>
      <c r="BJ171" s="19"/>
      <c r="BK171">
        <v>0.98470000000000002</v>
      </c>
      <c r="BL171">
        <v>1.0179</v>
      </c>
      <c r="BM171">
        <v>1.0521</v>
      </c>
      <c r="BN171">
        <v>6</v>
      </c>
      <c r="BO171">
        <v>18.841999999999999</v>
      </c>
      <c r="BP171">
        <v>30.18</v>
      </c>
      <c r="BQ171" s="19">
        <v>109.22920000000001</v>
      </c>
      <c r="BR171">
        <v>64.894099999999995</v>
      </c>
      <c r="BS171" s="20">
        <v>13.134</v>
      </c>
      <c r="BT171" s="20">
        <v>13.135</v>
      </c>
      <c r="BU171" s="20">
        <v>23.847000000000001</v>
      </c>
      <c r="BV171" s="20">
        <v>24.003</v>
      </c>
      <c r="BW171" s="19"/>
      <c r="BX171">
        <v>31.31</v>
      </c>
      <c r="BY171" s="27">
        <v>1401627</v>
      </c>
      <c r="BZ171" s="27">
        <v>2695669</v>
      </c>
      <c r="CA171" s="7">
        <f t="shared" si="10"/>
        <v>1.9232427742901643</v>
      </c>
      <c r="CB171">
        <v>1388115</v>
      </c>
      <c r="CC171" s="8">
        <f t="shared" si="11"/>
        <v>1.9419637421971523</v>
      </c>
      <c r="CD171" s="8">
        <f t="shared" si="12"/>
        <v>1.0097340638203607</v>
      </c>
      <c r="CE171">
        <v>45336</v>
      </c>
      <c r="CF171" s="8">
        <f t="shared" si="13"/>
        <v>30.916424033880361</v>
      </c>
      <c r="CG171" s="8">
        <f t="shared" si="14"/>
        <v>59.459789130051171</v>
      </c>
      <c r="CH171">
        <v>79.033109999999994</v>
      </c>
    </row>
    <row r="172" spans="1:86" ht="15.5" x14ac:dyDescent="0.35">
      <c r="A172" t="s">
        <v>93</v>
      </c>
      <c r="B172">
        <v>2002</v>
      </c>
      <c r="C172" s="2">
        <v>47.6967</v>
      </c>
      <c r="D172">
        <v>16806.900000000001</v>
      </c>
      <c r="E172">
        <v>0.51819999999999999</v>
      </c>
      <c r="F172">
        <v>12.3238</v>
      </c>
      <c r="G172">
        <v>17800</v>
      </c>
      <c r="H172">
        <v>9</v>
      </c>
      <c r="I172" s="19">
        <v>63.707000000000001</v>
      </c>
      <c r="J172" s="19">
        <v>63.84</v>
      </c>
      <c r="K172" s="19">
        <v>4.1139999999999999</v>
      </c>
      <c r="L172" s="19">
        <v>76.1905</v>
      </c>
      <c r="M172" s="19">
        <v>-818000000</v>
      </c>
      <c r="N172" s="19">
        <v>33.780299999999997</v>
      </c>
      <c r="O172">
        <v>37.168999999999997</v>
      </c>
      <c r="P172">
        <v>3.371</v>
      </c>
      <c r="Q172" s="19">
        <v>5359.9790000000003</v>
      </c>
      <c r="R172" s="19">
        <v>11474.662200000001</v>
      </c>
      <c r="S172" s="19">
        <v>7.6124999999999998</v>
      </c>
      <c r="T172" s="19">
        <v>23781.652099999999</v>
      </c>
      <c r="U172" s="19">
        <v>11666.665000000001</v>
      </c>
      <c r="W172" s="19">
        <v>73.513499999999993</v>
      </c>
      <c r="X172">
        <v>94</v>
      </c>
      <c r="Z172">
        <v>95</v>
      </c>
      <c r="AA172">
        <v>7.4</v>
      </c>
      <c r="AB172">
        <v>41.5</v>
      </c>
      <c r="AC172">
        <v>70.904899999999998</v>
      </c>
      <c r="AD172">
        <v>98.565100000000001</v>
      </c>
      <c r="AE172">
        <v>22</v>
      </c>
      <c r="AF172">
        <v>74.499499999999998</v>
      </c>
      <c r="AG172">
        <v>16.7</v>
      </c>
      <c r="AH172">
        <v>1.72</v>
      </c>
      <c r="AI172">
        <v>9.3000000000000007</v>
      </c>
      <c r="AJ172">
        <v>8.1999999999999993</v>
      </c>
      <c r="AK172">
        <v>10.3</v>
      </c>
      <c r="AL172">
        <v>57.498199999999997</v>
      </c>
      <c r="AM172">
        <v>4.4000000000000004</v>
      </c>
      <c r="AN172">
        <v>-2889</v>
      </c>
      <c r="AO172">
        <v>0</v>
      </c>
      <c r="AP172">
        <v>97.685299999999998</v>
      </c>
      <c r="AQ172">
        <v>99.689400000000006</v>
      </c>
      <c r="AR172">
        <v>92.339799999999997</v>
      </c>
      <c r="AT172">
        <v>94.732500000000002</v>
      </c>
      <c r="AU172">
        <v>10.866</v>
      </c>
      <c r="AV172" s="19">
        <v>79.894199999999998</v>
      </c>
      <c r="AZ172">
        <v>6</v>
      </c>
      <c r="BA172">
        <v>91.420400000000001</v>
      </c>
      <c r="BB172">
        <v>17.8218</v>
      </c>
      <c r="BC172">
        <v>3.5804</v>
      </c>
      <c r="BD172" s="19">
        <v>6.9329999999999998</v>
      </c>
      <c r="BE172" s="19">
        <v>87.027000000000001</v>
      </c>
      <c r="BF172">
        <v>0.3518</v>
      </c>
      <c r="BG172">
        <v>19.3</v>
      </c>
      <c r="BH172" s="20">
        <v>0.71199999999999997</v>
      </c>
      <c r="BI172" s="20">
        <v>2210.9167000000002</v>
      </c>
      <c r="BJ172" s="19">
        <v>71.144300000000001</v>
      </c>
      <c r="BK172">
        <v>0.98280000000000001</v>
      </c>
      <c r="BL172">
        <v>1.0177</v>
      </c>
      <c r="BM172">
        <v>1.0495000000000001</v>
      </c>
      <c r="BN172">
        <v>6</v>
      </c>
      <c r="BO172">
        <v>10.519</v>
      </c>
      <c r="BP172">
        <v>28.21</v>
      </c>
      <c r="BQ172" s="19">
        <v>106.20140000000001</v>
      </c>
      <c r="BR172">
        <v>71.794200000000004</v>
      </c>
      <c r="BS172" s="20">
        <v>10.026</v>
      </c>
      <c r="BT172" s="20">
        <v>10.026</v>
      </c>
      <c r="BU172" s="20">
        <v>20.193999999999999</v>
      </c>
      <c r="BV172" s="20">
        <v>20.239000000000001</v>
      </c>
      <c r="BW172" s="19">
        <v>79.602000000000004</v>
      </c>
      <c r="BX172">
        <v>30.59</v>
      </c>
      <c r="BY172" s="5">
        <v>1401627</v>
      </c>
      <c r="BZ172" s="6">
        <v>2695669</v>
      </c>
      <c r="CA172" s="7">
        <f t="shared" si="10"/>
        <v>1.9232427742901643</v>
      </c>
      <c r="CB172">
        <v>1379350</v>
      </c>
      <c r="CC172" s="8">
        <f t="shared" si="11"/>
        <v>1.9543038387646354</v>
      </c>
      <c r="CD172" s="8">
        <f t="shared" si="12"/>
        <v>1.0161503606771305</v>
      </c>
      <c r="CE172">
        <v>45336</v>
      </c>
      <c r="CF172" s="8">
        <f t="shared" si="13"/>
        <v>30.916424033880361</v>
      </c>
      <c r="CG172" s="8">
        <f t="shared" si="14"/>
        <v>59.459789130051171</v>
      </c>
      <c r="CH172">
        <v>80.105099999999993</v>
      </c>
    </row>
    <row r="173" spans="1:86" ht="15.5" x14ac:dyDescent="0.35">
      <c r="A173" t="s">
        <v>93</v>
      </c>
      <c r="B173">
        <v>2003</v>
      </c>
      <c r="C173" s="2">
        <v>47.3628</v>
      </c>
      <c r="D173">
        <v>19096.54</v>
      </c>
      <c r="E173">
        <v>0.53920000000000001</v>
      </c>
      <c r="F173">
        <v>13.883599999999999</v>
      </c>
      <c r="G173">
        <v>19700</v>
      </c>
      <c r="H173">
        <v>9</v>
      </c>
      <c r="I173" s="19">
        <v>64.59</v>
      </c>
      <c r="J173" s="19">
        <v>64.599999999999994</v>
      </c>
      <c r="K173" s="19">
        <v>3.5779999999999998</v>
      </c>
      <c r="L173" s="19">
        <v>80.952399999999997</v>
      </c>
      <c r="M173" s="19">
        <v>-1273000000</v>
      </c>
      <c r="N173" s="19">
        <v>43.799100000000003</v>
      </c>
      <c r="O173">
        <v>34.796999999999997</v>
      </c>
      <c r="P173">
        <v>6.5872000000000002</v>
      </c>
      <c r="Q173" s="19">
        <v>7218.1629999999996</v>
      </c>
      <c r="R173" s="19">
        <v>12424.044</v>
      </c>
      <c r="S173" s="19">
        <v>8.2736999999999998</v>
      </c>
      <c r="T173" s="19">
        <v>25749.280200000001</v>
      </c>
      <c r="U173" s="19">
        <v>13136.718500000001</v>
      </c>
      <c r="V173">
        <v>37.200000000000003</v>
      </c>
      <c r="W173" s="19">
        <v>80</v>
      </c>
      <c r="X173">
        <v>94</v>
      </c>
      <c r="Z173">
        <v>95</v>
      </c>
      <c r="AA173">
        <v>6.8</v>
      </c>
      <c r="AB173">
        <v>45.3</v>
      </c>
      <c r="AC173">
        <v>71.317099999999996</v>
      </c>
      <c r="AE173">
        <v>18</v>
      </c>
      <c r="AF173">
        <v>75.076499999999996</v>
      </c>
      <c r="AG173">
        <v>13.6</v>
      </c>
      <c r="AH173">
        <v>1.99</v>
      </c>
      <c r="AI173">
        <v>8.5</v>
      </c>
      <c r="AJ173">
        <v>7.5</v>
      </c>
      <c r="AK173">
        <v>9.5</v>
      </c>
      <c r="AL173">
        <v>57.741799999999998</v>
      </c>
      <c r="AM173">
        <v>4</v>
      </c>
      <c r="AN173">
        <v>-3705</v>
      </c>
      <c r="AO173">
        <v>0</v>
      </c>
      <c r="AP173">
        <v>97.848500000000001</v>
      </c>
      <c r="AQ173">
        <v>99.650700000000001</v>
      </c>
      <c r="AR173">
        <v>92.674700000000001</v>
      </c>
      <c r="AT173">
        <v>94.7761</v>
      </c>
      <c r="AU173">
        <v>10.3301</v>
      </c>
      <c r="AV173" s="19">
        <v>77.386899999999997</v>
      </c>
      <c r="AW173">
        <v>2.5</v>
      </c>
      <c r="AX173">
        <v>20.2</v>
      </c>
      <c r="AZ173">
        <v>6</v>
      </c>
      <c r="BA173">
        <v>91.254599999999996</v>
      </c>
      <c r="BB173">
        <v>18.811900000000001</v>
      </c>
      <c r="BC173">
        <v>3.8835000000000002</v>
      </c>
      <c r="BD173" s="19">
        <v>7.5960000000000001</v>
      </c>
      <c r="BE173" s="19">
        <v>84.864900000000006</v>
      </c>
      <c r="BF173">
        <v>0.48230000000000001</v>
      </c>
      <c r="BG173">
        <v>19.899999999999999</v>
      </c>
      <c r="BH173" s="20">
        <v>0.76459999999999995</v>
      </c>
      <c r="BI173" s="20">
        <v>2193.7334000000001</v>
      </c>
      <c r="BJ173" s="19">
        <v>71.144300000000001</v>
      </c>
      <c r="BK173">
        <v>0.9758</v>
      </c>
      <c r="BL173">
        <v>1.0235000000000001</v>
      </c>
      <c r="BM173">
        <v>1.0639000000000001</v>
      </c>
      <c r="BN173">
        <v>6</v>
      </c>
      <c r="BO173">
        <v>12.116</v>
      </c>
      <c r="BP173">
        <v>26.55</v>
      </c>
      <c r="BQ173" s="19">
        <v>105.4324</v>
      </c>
      <c r="BR173">
        <v>65.146100000000004</v>
      </c>
      <c r="BS173" s="20">
        <v>11.288</v>
      </c>
      <c r="BT173" s="20">
        <v>11.288</v>
      </c>
      <c r="BU173" s="20">
        <v>26.721</v>
      </c>
      <c r="BV173" s="20">
        <v>26.853000000000002</v>
      </c>
      <c r="BW173" s="19">
        <v>82.587100000000007</v>
      </c>
      <c r="BX173">
        <v>31.07</v>
      </c>
      <c r="BY173" s="5">
        <v>1561501</v>
      </c>
      <c r="BZ173" s="6">
        <v>3084433</v>
      </c>
      <c r="CA173" s="7">
        <f t="shared" si="10"/>
        <v>1.975300047838586</v>
      </c>
      <c r="CB173">
        <v>1370720</v>
      </c>
      <c r="CC173" s="8">
        <f t="shared" si="11"/>
        <v>2.2502283471460256</v>
      </c>
      <c r="CD173" s="8">
        <f t="shared" si="12"/>
        <v>1.139183057079491</v>
      </c>
      <c r="CE173">
        <v>45336</v>
      </c>
      <c r="CF173" s="8">
        <f t="shared" si="13"/>
        <v>34.442848950061759</v>
      </c>
      <c r="CG173" s="8">
        <f t="shared" si="14"/>
        <v>68.034961178754187</v>
      </c>
      <c r="CH173">
        <v>80.397080000000003</v>
      </c>
    </row>
    <row r="174" spans="1:86" ht="15.5" x14ac:dyDescent="0.35">
      <c r="A174" t="s">
        <v>93</v>
      </c>
      <c r="B174">
        <v>2004</v>
      </c>
      <c r="C174" s="2">
        <v>47.0563</v>
      </c>
      <c r="D174">
        <v>19740.84</v>
      </c>
      <c r="E174">
        <v>0.51470000000000005</v>
      </c>
      <c r="F174">
        <v>14.239800000000001</v>
      </c>
      <c r="G174">
        <v>20100</v>
      </c>
      <c r="H174">
        <v>9</v>
      </c>
      <c r="I174" s="19">
        <v>66.552999999999997</v>
      </c>
      <c r="J174" s="19">
        <v>67.7</v>
      </c>
      <c r="K174" s="19">
        <v>4.0730000000000004</v>
      </c>
      <c r="L174" s="19">
        <v>82.758600000000001</v>
      </c>
      <c r="M174" s="19">
        <v>-1450000000</v>
      </c>
      <c r="N174" s="19">
        <v>46.2179</v>
      </c>
      <c r="O174">
        <v>41.231999999999999</v>
      </c>
      <c r="P174">
        <v>10.1768</v>
      </c>
      <c r="Q174" s="19">
        <v>8925.1530000000002</v>
      </c>
      <c r="R174" s="19">
        <v>13348.527599999999</v>
      </c>
      <c r="S174" s="19">
        <v>7.4410999999999996</v>
      </c>
      <c r="T174" s="19">
        <v>27665.305799999998</v>
      </c>
      <c r="U174" s="19">
        <v>14539.971100000001</v>
      </c>
      <c r="V174">
        <v>33.6</v>
      </c>
      <c r="W174" s="19">
        <v>80.099500000000006</v>
      </c>
      <c r="X174">
        <v>94</v>
      </c>
      <c r="Y174">
        <v>90</v>
      </c>
      <c r="Z174">
        <v>96</v>
      </c>
      <c r="AA174">
        <v>6.2</v>
      </c>
      <c r="AB174">
        <v>53.2</v>
      </c>
      <c r="AC174">
        <v>71.909800000000004</v>
      </c>
      <c r="AD174">
        <v>100.8353</v>
      </c>
      <c r="AE174">
        <v>15</v>
      </c>
      <c r="AF174">
        <v>76.046899999999994</v>
      </c>
      <c r="AG174">
        <v>13.9</v>
      </c>
      <c r="AH174">
        <v>1.46</v>
      </c>
      <c r="AI174">
        <v>7.8</v>
      </c>
      <c r="AJ174">
        <v>6.9</v>
      </c>
      <c r="AK174">
        <v>8.6</v>
      </c>
      <c r="AL174">
        <v>58.152299999999997</v>
      </c>
      <c r="AM174">
        <v>3.7</v>
      </c>
      <c r="AN174">
        <v>-3681</v>
      </c>
      <c r="AO174">
        <v>0</v>
      </c>
      <c r="AP174">
        <v>98.012699999999995</v>
      </c>
      <c r="AQ174">
        <v>99.595399999999998</v>
      </c>
      <c r="AR174">
        <v>93.0137</v>
      </c>
      <c r="AT174">
        <v>94.905699999999996</v>
      </c>
      <c r="AU174">
        <v>9.8786000000000005</v>
      </c>
      <c r="AV174" s="19">
        <v>71.359200000000001</v>
      </c>
      <c r="AW174">
        <v>1.1000000000000001</v>
      </c>
      <c r="AX174">
        <v>18.3</v>
      </c>
      <c r="AZ174">
        <v>6</v>
      </c>
      <c r="BA174">
        <v>91.170100000000005</v>
      </c>
      <c r="BB174">
        <v>18.811900000000001</v>
      </c>
      <c r="BC174">
        <v>3.9232</v>
      </c>
      <c r="BD174" s="19">
        <v>6.8010000000000002</v>
      </c>
      <c r="BE174" s="19">
        <v>86.5672</v>
      </c>
      <c r="BF174">
        <v>0.58230000000000004</v>
      </c>
      <c r="BG174">
        <v>20</v>
      </c>
      <c r="BH174" s="20">
        <v>0.8458</v>
      </c>
      <c r="BI174" s="20">
        <v>2465.5688</v>
      </c>
      <c r="BJ174" s="19">
        <v>76.923100000000005</v>
      </c>
      <c r="BK174">
        <v>0.97689999999999999</v>
      </c>
      <c r="BL174">
        <v>1.0170999999999999</v>
      </c>
      <c r="BM174">
        <v>1.0479000000000001</v>
      </c>
      <c r="BN174">
        <v>6</v>
      </c>
      <c r="BO174">
        <v>15.137</v>
      </c>
      <c r="BP174">
        <v>25.55</v>
      </c>
      <c r="BQ174" s="19">
        <v>103.58669999999999</v>
      </c>
      <c r="BR174">
        <v>67.3536</v>
      </c>
      <c r="BS174" s="20">
        <v>10.247999999999999</v>
      </c>
      <c r="BT174" s="20">
        <v>10.247999999999999</v>
      </c>
      <c r="BU174" s="20">
        <v>25.603000000000002</v>
      </c>
      <c r="BV174" s="20">
        <v>25.661000000000001</v>
      </c>
      <c r="BW174" s="19">
        <v>83.653800000000004</v>
      </c>
      <c r="BX174">
        <v>30.98</v>
      </c>
      <c r="BY174" s="5">
        <v>1922126</v>
      </c>
      <c r="BZ174" s="6">
        <v>3757715</v>
      </c>
      <c r="CA174" s="7">
        <f t="shared" si="10"/>
        <v>1.9549784977675762</v>
      </c>
      <c r="CB174">
        <v>1362550</v>
      </c>
      <c r="CC174" s="8">
        <f t="shared" si="11"/>
        <v>2.7578547576235732</v>
      </c>
      <c r="CD174" s="8">
        <f t="shared" si="12"/>
        <v>1.4106829107188728</v>
      </c>
      <c r="CE174">
        <v>45336</v>
      </c>
      <c r="CF174" s="8">
        <f t="shared" si="13"/>
        <v>42.397344273866246</v>
      </c>
      <c r="CG174" s="8">
        <f t="shared" si="14"/>
        <v>82.885896417857779</v>
      </c>
      <c r="CH174">
        <v>81.59984</v>
      </c>
    </row>
    <row r="175" spans="1:86" ht="15.5" x14ac:dyDescent="0.35">
      <c r="A175" t="s">
        <v>93</v>
      </c>
      <c r="B175">
        <v>2005</v>
      </c>
      <c r="C175" s="2">
        <v>46.905099999999997</v>
      </c>
      <c r="D175">
        <v>19869.03</v>
      </c>
      <c r="E175">
        <v>0.46939999999999998</v>
      </c>
      <c r="F175">
        <v>14.3032</v>
      </c>
      <c r="G175">
        <v>20000</v>
      </c>
      <c r="H175">
        <v>9</v>
      </c>
      <c r="I175" s="19">
        <v>69.293000000000006</v>
      </c>
      <c r="J175" s="19">
        <v>70.180000000000007</v>
      </c>
      <c r="K175" s="19">
        <v>3.875</v>
      </c>
      <c r="L175" s="19">
        <v>80.9756</v>
      </c>
      <c r="M175" s="19">
        <v>-1226000000</v>
      </c>
      <c r="N175" s="19">
        <v>60.110700000000001</v>
      </c>
      <c r="O175">
        <v>41.036999999999999</v>
      </c>
      <c r="P175">
        <v>13.226599999999999</v>
      </c>
      <c r="Q175" s="19">
        <v>10428.692999999999</v>
      </c>
      <c r="R175" s="19">
        <v>14703.6176</v>
      </c>
      <c r="S175" s="19">
        <v>10.1516</v>
      </c>
      <c r="T175" s="19">
        <v>30473.7788</v>
      </c>
      <c r="U175" s="19">
        <v>16638.078000000001</v>
      </c>
      <c r="V175">
        <v>33.4</v>
      </c>
      <c r="W175" s="19">
        <v>78.431399999999996</v>
      </c>
      <c r="X175">
        <v>96</v>
      </c>
      <c r="Y175">
        <v>95</v>
      </c>
      <c r="Z175">
        <v>96</v>
      </c>
      <c r="AA175">
        <v>5.6</v>
      </c>
      <c r="AB175">
        <v>61.5</v>
      </c>
      <c r="AC175">
        <v>72.568299999999994</v>
      </c>
      <c r="AD175">
        <v>102.6827</v>
      </c>
      <c r="AE175">
        <v>15</v>
      </c>
      <c r="AF175">
        <v>80.1066</v>
      </c>
      <c r="AG175">
        <v>14.7</v>
      </c>
      <c r="AH175">
        <v>2.0499999999999998</v>
      </c>
      <c r="AI175">
        <v>7.1</v>
      </c>
      <c r="AJ175">
        <v>6.3</v>
      </c>
      <c r="AK175">
        <v>7.9</v>
      </c>
      <c r="AL175">
        <v>58.835299999999997</v>
      </c>
      <c r="AM175">
        <v>3.3</v>
      </c>
      <c r="AN175">
        <v>-5208</v>
      </c>
      <c r="AO175">
        <v>0</v>
      </c>
      <c r="AP175">
        <v>98.178100000000001</v>
      </c>
      <c r="AQ175">
        <v>99.540400000000005</v>
      </c>
      <c r="AR175">
        <v>93.356899999999996</v>
      </c>
      <c r="AT175">
        <v>95.035700000000006</v>
      </c>
      <c r="AU175">
        <v>9.6052999999999997</v>
      </c>
      <c r="AV175" s="19">
        <v>65.534000000000006</v>
      </c>
      <c r="AW175">
        <v>0.8</v>
      </c>
      <c r="AX175">
        <v>18.3</v>
      </c>
      <c r="AZ175">
        <v>6</v>
      </c>
      <c r="BA175">
        <v>91.084299999999999</v>
      </c>
      <c r="BB175">
        <v>18.811900000000001</v>
      </c>
      <c r="BC175">
        <v>3.9033000000000002</v>
      </c>
      <c r="BD175" s="19">
        <v>9.5229999999999997</v>
      </c>
      <c r="BE175" s="19">
        <v>85.784300000000002</v>
      </c>
      <c r="BF175">
        <v>1.0876999999999999</v>
      </c>
      <c r="BG175">
        <v>18.899999999999999</v>
      </c>
      <c r="BH175" s="20">
        <v>0.91710000000000003</v>
      </c>
      <c r="BI175" s="20">
        <v>2451.1876999999999</v>
      </c>
      <c r="BJ175" s="19">
        <v>80.382800000000003</v>
      </c>
      <c r="BK175">
        <v>0.97430000000000005</v>
      </c>
      <c r="BL175">
        <v>1.0103</v>
      </c>
      <c r="BM175">
        <v>1.036</v>
      </c>
      <c r="BN175">
        <v>6</v>
      </c>
      <c r="BO175">
        <v>10.944000000000001</v>
      </c>
      <c r="BP175">
        <v>22.54</v>
      </c>
      <c r="BQ175" s="19">
        <v>101.0209</v>
      </c>
      <c r="BR175">
        <v>78.295699999999997</v>
      </c>
      <c r="BS175" s="20">
        <v>8.0329999999999995</v>
      </c>
      <c r="BT175" s="20">
        <v>8.0329999999999995</v>
      </c>
      <c r="BU175" s="20">
        <v>15.122999999999999</v>
      </c>
      <c r="BV175" s="20">
        <v>15.146000000000001</v>
      </c>
      <c r="BW175" s="19">
        <v>80.769199999999998</v>
      </c>
      <c r="BX175">
        <v>29.22</v>
      </c>
      <c r="BY175" s="5">
        <v>2072586</v>
      </c>
      <c r="BZ175" s="6">
        <v>4111577</v>
      </c>
      <c r="CA175" s="7">
        <f t="shared" si="10"/>
        <v>1.9837907811786821</v>
      </c>
      <c r="CB175">
        <v>1354775</v>
      </c>
      <c r="CC175" s="8">
        <f t="shared" si="11"/>
        <v>3.0348781162923735</v>
      </c>
      <c r="CD175" s="8">
        <f t="shared" si="12"/>
        <v>1.529837795943976</v>
      </c>
      <c r="CE175">
        <v>45336</v>
      </c>
      <c r="CF175" s="8">
        <f t="shared" si="13"/>
        <v>45.716119640021176</v>
      </c>
      <c r="CG175" s="8">
        <f t="shared" si="14"/>
        <v>90.691216693135701</v>
      </c>
      <c r="CH175">
        <v>83.414969999999997</v>
      </c>
    </row>
    <row r="176" spans="1:86" ht="15.5" x14ac:dyDescent="0.35">
      <c r="A176" t="s">
        <v>93</v>
      </c>
      <c r="B176">
        <v>2006</v>
      </c>
      <c r="C176" s="2">
        <v>47.142099999999999</v>
      </c>
      <c r="D176">
        <v>19763.91</v>
      </c>
      <c r="E176">
        <v>0.41299999999999998</v>
      </c>
      <c r="F176">
        <v>13.8965</v>
      </c>
      <c r="G176">
        <v>18900</v>
      </c>
      <c r="H176">
        <v>9</v>
      </c>
      <c r="I176" s="19">
        <v>72.372</v>
      </c>
      <c r="J176" s="19">
        <v>73.760000000000005</v>
      </c>
      <c r="K176" s="19">
        <v>3.7789999999999999</v>
      </c>
      <c r="L176" s="19">
        <v>81.463399999999993</v>
      </c>
      <c r="M176" s="19">
        <v>-2545000000</v>
      </c>
      <c r="N176" s="19">
        <v>75.506500000000003</v>
      </c>
      <c r="O176">
        <v>39.628</v>
      </c>
      <c r="P176">
        <v>18.323799999999999</v>
      </c>
      <c r="Q176" s="19">
        <v>12659.144</v>
      </c>
      <c r="R176" s="19">
        <v>16234.5146</v>
      </c>
      <c r="S176" s="19">
        <v>10.4117</v>
      </c>
      <c r="T176" s="19">
        <v>33646.618199999997</v>
      </c>
      <c r="U176" s="19">
        <v>19348.386900000001</v>
      </c>
      <c r="V176">
        <v>33.700000000000003</v>
      </c>
      <c r="W176" s="19">
        <v>83.9024</v>
      </c>
      <c r="X176">
        <v>95</v>
      </c>
      <c r="Y176">
        <v>95</v>
      </c>
      <c r="Z176">
        <v>96</v>
      </c>
      <c r="AA176">
        <v>5.0999999999999996</v>
      </c>
      <c r="AB176">
        <v>63.5</v>
      </c>
      <c r="AC176">
        <v>72.691500000000005</v>
      </c>
      <c r="AD176">
        <v>106.0269</v>
      </c>
      <c r="AE176">
        <v>13</v>
      </c>
      <c r="AF176">
        <v>80.634799999999998</v>
      </c>
      <c r="AG176">
        <v>19.3</v>
      </c>
      <c r="AH176">
        <v>1.34</v>
      </c>
      <c r="AI176">
        <v>6.5</v>
      </c>
      <c r="AJ176">
        <v>5.8</v>
      </c>
      <c r="AK176">
        <v>7.2</v>
      </c>
      <c r="AL176">
        <v>62.152500000000003</v>
      </c>
      <c r="AM176">
        <v>3</v>
      </c>
      <c r="AN176">
        <v>-5351</v>
      </c>
      <c r="AO176">
        <v>0</v>
      </c>
      <c r="AP176">
        <v>98.344499999999996</v>
      </c>
      <c r="AQ176">
        <v>99.485500000000002</v>
      </c>
      <c r="AR176">
        <v>93.7042</v>
      </c>
      <c r="AT176">
        <v>95.165999999999997</v>
      </c>
      <c r="AU176">
        <v>9.4915000000000003</v>
      </c>
      <c r="AV176" s="19">
        <v>69.082099999999997</v>
      </c>
      <c r="AW176">
        <v>0.8</v>
      </c>
      <c r="AX176">
        <v>19.399999999999999</v>
      </c>
      <c r="AZ176">
        <v>6</v>
      </c>
      <c r="BA176">
        <v>90.997</v>
      </c>
      <c r="BB176">
        <v>18.811900000000001</v>
      </c>
      <c r="BC176">
        <v>3.6972</v>
      </c>
      <c r="BD176" s="19">
        <v>9.7629999999999999</v>
      </c>
      <c r="BE176" s="19">
        <v>88.235299999999995</v>
      </c>
      <c r="BF176">
        <v>1.3337000000000001</v>
      </c>
      <c r="BG176">
        <v>17.2</v>
      </c>
      <c r="BH176" s="20">
        <v>1.1128</v>
      </c>
      <c r="BI176" s="20">
        <v>2600.7541999999999</v>
      </c>
      <c r="BJ176" s="19">
        <v>87.559799999999996</v>
      </c>
      <c r="BK176">
        <v>0.97570000000000001</v>
      </c>
      <c r="BL176">
        <v>1.0145</v>
      </c>
      <c r="BM176">
        <v>1.0412999999999999</v>
      </c>
      <c r="BN176">
        <v>6</v>
      </c>
      <c r="BO176">
        <v>8.9139999999999997</v>
      </c>
      <c r="BP176">
        <v>20.88</v>
      </c>
      <c r="BQ176" s="19">
        <v>100.0167</v>
      </c>
      <c r="BR176">
        <v>83.380399999999995</v>
      </c>
      <c r="BS176" s="20">
        <v>5.915</v>
      </c>
      <c r="BT176" s="20">
        <v>5.915</v>
      </c>
      <c r="BU176" s="20">
        <v>12.118</v>
      </c>
      <c r="BV176" s="20">
        <v>12.121</v>
      </c>
      <c r="BW176" s="19">
        <v>84.615399999999994</v>
      </c>
      <c r="BX176">
        <v>29.67</v>
      </c>
      <c r="BY176" s="5">
        <v>2259087</v>
      </c>
      <c r="BZ176" s="6">
        <v>4543330</v>
      </c>
      <c r="CA176" s="7">
        <f t="shared" si="10"/>
        <v>2.0111354719849213</v>
      </c>
      <c r="CB176">
        <v>1346810</v>
      </c>
      <c r="CC176" s="8">
        <f t="shared" si="11"/>
        <v>3.3734008508995328</v>
      </c>
      <c r="CD176" s="8">
        <f t="shared" si="12"/>
        <v>1.677361320453516</v>
      </c>
      <c r="CE176">
        <v>45336</v>
      </c>
      <c r="CF176" s="8">
        <f t="shared" si="13"/>
        <v>49.829870301746958</v>
      </c>
      <c r="CG176" s="8">
        <f t="shared" si="14"/>
        <v>100.21461972825128</v>
      </c>
      <c r="CH176">
        <v>85.21275</v>
      </c>
    </row>
    <row r="177" spans="1:86" ht="15.5" x14ac:dyDescent="0.35">
      <c r="A177" t="s">
        <v>93</v>
      </c>
      <c r="B177">
        <v>2007</v>
      </c>
      <c r="C177" s="2">
        <v>47.547400000000003</v>
      </c>
      <c r="D177">
        <v>22760.82</v>
      </c>
      <c r="E177">
        <v>0.45669999999999999</v>
      </c>
      <c r="F177">
        <v>16.604600000000001</v>
      </c>
      <c r="G177">
        <v>23200</v>
      </c>
      <c r="H177">
        <v>9</v>
      </c>
      <c r="I177" s="19">
        <v>77.253</v>
      </c>
      <c r="J177" s="19">
        <v>80.94</v>
      </c>
      <c r="K177" s="19">
        <v>5.1950000000000003</v>
      </c>
      <c r="L177" s="19">
        <v>78.640799999999999</v>
      </c>
      <c r="M177" s="19">
        <v>-3340000000</v>
      </c>
      <c r="N177" s="19">
        <v>85.774600000000007</v>
      </c>
      <c r="O177">
        <v>34.909999999999997</v>
      </c>
      <c r="P177">
        <v>19.761900000000001</v>
      </c>
      <c r="Q177" s="19">
        <v>16765.784</v>
      </c>
      <c r="R177" s="19">
        <v>17543.465400000001</v>
      </c>
      <c r="S177" s="19">
        <v>8.0627999999999993</v>
      </c>
      <c r="T177" s="19">
        <v>36359.466099999998</v>
      </c>
      <c r="U177" s="19">
        <v>22201.3544</v>
      </c>
      <c r="V177">
        <v>31.2</v>
      </c>
      <c r="W177" s="19">
        <v>82.038799999999995</v>
      </c>
      <c r="X177">
        <v>95</v>
      </c>
      <c r="Y177">
        <v>95</v>
      </c>
      <c r="Z177">
        <v>96</v>
      </c>
      <c r="AA177">
        <v>4.7</v>
      </c>
      <c r="AB177">
        <v>66.2</v>
      </c>
      <c r="AC177">
        <v>72.814599999999999</v>
      </c>
      <c r="AE177">
        <v>13</v>
      </c>
      <c r="AF177">
        <v>80.641300000000001</v>
      </c>
      <c r="AG177">
        <v>17</v>
      </c>
      <c r="AH177">
        <v>1.45</v>
      </c>
      <c r="AI177">
        <v>5.9</v>
      </c>
      <c r="AJ177">
        <v>5.3</v>
      </c>
      <c r="AK177">
        <v>6.5</v>
      </c>
      <c r="AL177">
        <v>62.645899999999997</v>
      </c>
      <c r="AM177">
        <v>2.8</v>
      </c>
      <c r="AN177">
        <v>-2941</v>
      </c>
      <c r="AO177">
        <v>0</v>
      </c>
      <c r="AP177">
        <v>98.512100000000004</v>
      </c>
      <c r="AQ177">
        <v>99.430899999999994</v>
      </c>
      <c r="AR177">
        <v>94.055599999999998</v>
      </c>
      <c r="AT177">
        <v>95.296700000000001</v>
      </c>
      <c r="AU177">
        <v>9.4286999999999992</v>
      </c>
      <c r="AV177" s="19">
        <v>68.599000000000004</v>
      </c>
      <c r="AW177">
        <v>0.4</v>
      </c>
      <c r="AX177">
        <v>19.5</v>
      </c>
      <c r="AZ177">
        <v>6</v>
      </c>
      <c r="BA177">
        <v>90.9084</v>
      </c>
      <c r="BB177">
        <v>20.792100000000001</v>
      </c>
      <c r="BC177">
        <v>3.8763999999999998</v>
      </c>
      <c r="BD177" s="19">
        <v>7.5709999999999997</v>
      </c>
      <c r="BE177" s="19">
        <v>87.378600000000006</v>
      </c>
      <c r="BF177">
        <v>1.1943999999999999</v>
      </c>
      <c r="BG177">
        <v>18.600000000000001</v>
      </c>
      <c r="BH177" s="20">
        <v>1.0587</v>
      </c>
      <c r="BI177" s="20">
        <v>2747.5819999999999</v>
      </c>
      <c r="BJ177" s="19">
        <v>85.645899999999997</v>
      </c>
      <c r="BK177">
        <v>0.98450000000000004</v>
      </c>
      <c r="BL177">
        <v>1.0145999999999999</v>
      </c>
      <c r="BM177">
        <v>1.0354000000000001</v>
      </c>
      <c r="BN177">
        <v>6</v>
      </c>
      <c r="BO177">
        <v>9.3919999999999995</v>
      </c>
      <c r="BP177">
        <v>21.58</v>
      </c>
      <c r="BQ177" s="19">
        <v>103.1135</v>
      </c>
      <c r="BR177">
        <v>86.660799999999995</v>
      </c>
      <c r="BS177" s="20">
        <v>4.5919999999999996</v>
      </c>
      <c r="BT177" s="20">
        <v>4.5919999999999996</v>
      </c>
      <c r="BU177" s="20">
        <v>10.097</v>
      </c>
      <c r="BV177" s="20">
        <v>10.096</v>
      </c>
      <c r="BW177" s="19">
        <v>84.134600000000006</v>
      </c>
      <c r="BX177">
        <v>28.84</v>
      </c>
      <c r="BY177" s="5">
        <v>2343044</v>
      </c>
      <c r="BZ177" s="6">
        <v>4674501</v>
      </c>
      <c r="CA177" s="7">
        <f t="shared" si="10"/>
        <v>1.9950547236842331</v>
      </c>
      <c r="CB177">
        <v>1340680</v>
      </c>
      <c r="CC177" s="8">
        <f t="shared" si="11"/>
        <v>3.4866642300921922</v>
      </c>
      <c r="CD177" s="8">
        <f t="shared" si="12"/>
        <v>1.7476534296028881</v>
      </c>
      <c r="CE177">
        <v>45336</v>
      </c>
      <c r="CF177" s="8">
        <f t="shared" si="13"/>
        <v>51.681754014469739</v>
      </c>
      <c r="CG177" s="8">
        <f t="shared" si="14"/>
        <v>103.10792747485442</v>
      </c>
      <c r="CH177">
        <v>88.396960000000007</v>
      </c>
    </row>
    <row r="178" spans="1:86" ht="15.5" x14ac:dyDescent="0.35">
      <c r="A178" t="s">
        <v>93</v>
      </c>
      <c r="B178">
        <v>2008</v>
      </c>
      <c r="C178" s="2">
        <v>47.774799999999999</v>
      </c>
      <c r="D178">
        <v>20540.88</v>
      </c>
      <c r="E178">
        <v>0.43540000000000001</v>
      </c>
      <c r="F178">
        <v>15.059200000000001</v>
      </c>
      <c r="G178">
        <v>21000</v>
      </c>
      <c r="H178">
        <v>9</v>
      </c>
      <c r="I178" s="19">
        <v>85.447000000000003</v>
      </c>
      <c r="J178" s="19">
        <v>87.04</v>
      </c>
      <c r="K178" s="19">
        <v>4.5810000000000004</v>
      </c>
      <c r="L178" s="19">
        <v>80.097099999999998</v>
      </c>
      <c r="M178" s="19">
        <v>-2115000000</v>
      </c>
      <c r="N178" s="19">
        <v>97.054000000000002</v>
      </c>
      <c r="O178">
        <v>36.595999999999997</v>
      </c>
      <c r="P178">
        <v>22.037700000000001</v>
      </c>
      <c r="Q178" s="19">
        <v>18274.232</v>
      </c>
      <c r="R178" s="19">
        <v>16688.996800000001</v>
      </c>
      <c r="S178" s="19">
        <v>-4.8705999999999996</v>
      </c>
      <c r="T178" s="19">
        <v>34588.549099999997</v>
      </c>
      <c r="U178" s="19">
        <v>22803.519499999999</v>
      </c>
      <c r="V178">
        <v>31.9</v>
      </c>
      <c r="W178" s="19">
        <v>84.465999999999994</v>
      </c>
      <c r="X178">
        <v>95</v>
      </c>
      <c r="Y178">
        <v>94</v>
      </c>
      <c r="Z178">
        <v>95</v>
      </c>
      <c r="AA178">
        <v>4.3</v>
      </c>
      <c r="AB178">
        <v>70.599999999999994</v>
      </c>
      <c r="AC178">
        <v>73.770700000000005</v>
      </c>
      <c r="AD178">
        <v>104.6812</v>
      </c>
      <c r="AE178">
        <v>11</v>
      </c>
      <c r="AF178">
        <v>81.277900000000002</v>
      </c>
      <c r="AG178">
        <v>12.4</v>
      </c>
      <c r="AH178">
        <v>0.61</v>
      </c>
      <c r="AI178">
        <v>5.4</v>
      </c>
      <c r="AJ178">
        <v>4.8</v>
      </c>
      <c r="AK178">
        <v>6</v>
      </c>
      <c r="AL178">
        <v>63.246899999999997</v>
      </c>
      <c r="AM178">
        <v>2.5</v>
      </c>
      <c r="AN178">
        <v>-2034</v>
      </c>
      <c r="AO178">
        <v>0</v>
      </c>
      <c r="AP178">
        <v>98.680800000000005</v>
      </c>
      <c r="AQ178">
        <v>99.376400000000004</v>
      </c>
      <c r="AR178">
        <v>94.411299999999997</v>
      </c>
      <c r="AT178">
        <v>95.427700000000002</v>
      </c>
      <c r="AU178">
        <v>9.3759999999999994</v>
      </c>
      <c r="AV178" s="19">
        <v>65.865399999999994</v>
      </c>
      <c r="AW178">
        <v>0.4</v>
      </c>
      <c r="AX178">
        <v>19.7</v>
      </c>
      <c r="AZ178">
        <v>6</v>
      </c>
      <c r="BA178">
        <v>90.818399999999997</v>
      </c>
      <c r="BB178">
        <v>20.792100000000001</v>
      </c>
      <c r="BC178">
        <v>4.5065</v>
      </c>
      <c r="BD178" s="19">
        <v>-5.125</v>
      </c>
      <c r="BE178" s="19">
        <v>89.320400000000006</v>
      </c>
      <c r="BF178">
        <v>1.8666</v>
      </c>
      <c r="BG178">
        <v>20.5</v>
      </c>
      <c r="BH178" s="20">
        <v>1.2519</v>
      </c>
      <c r="BI178" s="20">
        <v>2972.9306999999999</v>
      </c>
      <c r="BJ178" s="19">
        <v>85.576899999999995</v>
      </c>
      <c r="BK178">
        <v>0.98199999999999998</v>
      </c>
      <c r="BL178">
        <v>1.0130999999999999</v>
      </c>
      <c r="BM178">
        <v>1.0356000000000001</v>
      </c>
      <c r="BN178">
        <v>6</v>
      </c>
      <c r="BO178">
        <v>9.0920000000000005</v>
      </c>
      <c r="BP178">
        <v>19.649999999999999</v>
      </c>
      <c r="BQ178" s="19">
        <v>100.2861</v>
      </c>
      <c r="BR178">
        <v>84.064300000000003</v>
      </c>
      <c r="BS178" s="20">
        <v>5.4550000000000001</v>
      </c>
      <c r="BT178" s="20">
        <v>5.4550000000000001</v>
      </c>
      <c r="BU178" s="20">
        <v>12.032</v>
      </c>
      <c r="BV178" s="20">
        <v>12.022</v>
      </c>
      <c r="BW178" s="19">
        <v>85.576899999999995</v>
      </c>
      <c r="BX178">
        <v>29.49</v>
      </c>
      <c r="BY178" s="5">
        <v>2377671</v>
      </c>
      <c r="BZ178" s="6">
        <v>4602212</v>
      </c>
      <c r="CA178" s="7">
        <f t="shared" si="10"/>
        <v>1.935596640578112</v>
      </c>
      <c r="CB178">
        <v>1337090</v>
      </c>
      <c r="CC178" s="8">
        <f t="shared" si="11"/>
        <v>3.4419612741101946</v>
      </c>
      <c r="CD178" s="8">
        <f t="shared" si="12"/>
        <v>1.7782430502060445</v>
      </c>
      <c r="CE178">
        <v>45336</v>
      </c>
      <c r="CF178" s="8">
        <f t="shared" si="13"/>
        <v>52.445539968237163</v>
      </c>
      <c r="CG178" s="8">
        <f t="shared" si="14"/>
        <v>101.51341097582495</v>
      </c>
      <c r="CH178">
        <v>93.551760000000002</v>
      </c>
    </row>
    <row r="179" spans="1:86" ht="15.5" x14ac:dyDescent="0.35">
      <c r="A179" t="s">
        <v>93</v>
      </c>
      <c r="B179">
        <v>2009</v>
      </c>
      <c r="C179" s="2">
        <v>48.078600000000002</v>
      </c>
      <c r="D179">
        <v>17226.169999999998</v>
      </c>
      <c r="E179">
        <v>0.42580000000000001</v>
      </c>
      <c r="F179">
        <v>12.5974</v>
      </c>
      <c r="G179">
        <v>17600</v>
      </c>
      <c r="H179">
        <v>9</v>
      </c>
      <c r="I179" s="19">
        <v>85.617000000000004</v>
      </c>
      <c r="J179" s="19">
        <v>85.41</v>
      </c>
      <c r="K179" s="19">
        <v>3.16</v>
      </c>
      <c r="L179" s="19">
        <v>80.382800000000003</v>
      </c>
      <c r="M179" s="19">
        <v>502000000</v>
      </c>
      <c r="N179" s="19">
        <v>70.489699999999999</v>
      </c>
      <c r="O179">
        <v>34.338999999999999</v>
      </c>
      <c r="P179">
        <v>23.500800000000002</v>
      </c>
      <c r="Q179" s="19">
        <v>14757.1</v>
      </c>
      <c r="R179" s="19">
        <v>14274.850700000001</v>
      </c>
      <c r="S179" s="19">
        <v>-14.4655</v>
      </c>
      <c r="T179" s="19">
        <v>29585.143899999999</v>
      </c>
      <c r="U179" s="19">
        <v>20478.252499999999</v>
      </c>
      <c r="V179">
        <v>31.4</v>
      </c>
      <c r="W179" s="19">
        <v>78.947400000000002</v>
      </c>
      <c r="X179">
        <v>95</v>
      </c>
      <c r="Y179">
        <v>95</v>
      </c>
      <c r="Z179">
        <v>95</v>
      </c>
      <c r="AA179">
        <v>3.9</v>
      </c>
      <c r="AB179">
        <v>72.5</v>
      </c>
      <c r="AC179">
        <v>74.824399999999997</v>
      </c>
      <c r="AD179">
        <v>107.8295</v>
      </c>
      <c r="AE179">
        <v>10</v>
      </c>
      <c r="AF179">
        <v>81.745099999999994</v>
      </c>
      <c r="AG179">
        <v>8.8000000000000007</v>
      </c>
      <c r="AH179">
        <v>0.86</v>
      </c>
      <c r="AI179">
        <v>5</v>
      </c>
      <c r="AJ179">
        <v>4.4000000000000004</v>
      </c>
      <c r="AK179">
        <v>5.5</v>
      </c>
      <c r="AL179">
        <v>63.243699999999997</v>
      </c>
      <c r="AM179">
        <v>2.2999999999999998</v>
      </c>
      <c r="AN179">
        <v>-2089</v>
      </c>
      <c r="AO179">
        <v>0</v>
      </c>
      <c r="AP179">
        <v>98.8506</v>
      </c>
      <c r="AQ179">
        <v>99.322000000000003</v>
      </c>
      <c r="AR179">
        <v>94.771299999999997</v>
      </c>
      <c r="AT179">
        <v>95.558999999999997</v>
      </c>
      <c r="AU179">
        <v>9.2921999999999993</v>
      </c>
      <c r="AV179" s="19">
        <v>64.454999999999998</v>
      </c>
      <c r="AW179">
        <v>0.6</v>
      </c>
      <c r="AX179">
        <v>15.8</v>
      </c>
      <c r="AZ179">
        <v>6</v>
      </c>
      <c r="BA179">
        <v>90.727000000000004</v>
      </c>
      <c r="BB179">
        <v>22.772300000000001</v>
      </c>
      <c r="BC179">
        <v>5.2256999999999998</v>
      </c>
      <c r="BD179" s="19">
        <v>-14.63</v>
      </c>
      <c r="BE179" s="19">
        <v>89.473699999999994</v>
      </c>
      <c r="BF179">
        <v>6.1696</v>
      </c>
      <c r="BG179">
        <v>24.2</v>
      </c>
      <c r="BH179" s="20">
        <v>1.3968</v>
      </c>
      <c r="BI179" s="20">
        <v>3229.6752999999999</v>
      </c>
      <c r="BJ179" s="19">
        <v>84.360200000000006</v>
      </c>
      <c r="BK179">
        <v>0.98209999999999997</v>
      </c>
      <c r="BL179">
        <v>1.0055000000000001</v>
      </c>
      <c r="BM179">
        <v>1.0232000000000001</v>
      </c>
      <c r="BN179">
        <v>6</v>
      </c>
      <c r="BO179">
        <v>14.465999999999999</v>
      </c>
      <c r="BP179">
        <v>22.1</v>
      </c>
      <c r="BQ179" s="19">
        <v>104.58669999999999</v>
      </c>
      <c r="BR179">
        <v>61.732300000000002</v>
      </c>
      <c r="BS179" s="20">
        <v>13.548</v>
      </c>
      <c r="BT179" s="20">
        <v>13.548</v>
      </c>
      <c r="BU179" s="20">
        <v>27.41</v>
      </c>
      <c r="BV179" s="20">
        <v>27.390999999999998</v>
      </c>
      <c r="BW179" s="19">
        <v>83.886300000000006</v>
      </c>
      <c r="BX179">
        <v>25.62</v>
      </c>
      <c r="BY179" s="5">
        <v>2147133</v>
      </c>
      <c r="BZ179" s="6">
        <v>4122526</v>
      </c>
      <c r="CA179" s="7">
        <f t="shared" si="10"/>
        <v>1.9200142701919256</v>
      </c>
      <c r="CB179">
        <v>1334515</v>
      </c>
      <c r="CC179" s="8">
        <f t="shared" si="11"/>
        <v>3.0891567348437445</v>
      </c>
      <c r="CD179" s="8">
        <f t="shared" si="12"/>
        <v>1.6089238412456961</v>
      </c>
      <c r="CE179">
        <v>45336</v>
      </c>
      <c r="CF179" s="8">
        <f t="shared" si="13"/>
        <v>47.360442032821602</v>
      </c>
      <c r="CG179" s="8">
        <f t="shared" si="14"/>
        <v>90.93272454561496</v>
      </c>
      <c r="CH179">
        <v>94.656959999999998</v>
      </c>
    </row>
    <row r="180" spans="1:86" ht="15.5" x14ac:dyDescent="0.35">
      <c r="A180" t="s">
        <v>93</v>
      </c>
      <c r="B180">
        <v>2010</v>
      </c>
      <c r="C180" s="2">
        <v>48.536099999999998</v>
      </c>
      <c r="D180">
        <v>19352.63</v>
      </c>
      <c r="E180">
        <v>0.53300000000000003</v>
      </c>
      <c r="F180">
        <v>16.191099999999999</v>
      </c>
      <c r="G180">
        <v>21500</v>
      </c>
      <c r="H180">
        <v>9</v>
      </c>
      <c r="I180" s="19">
        <v>87.962999999999994</v>
      </c>
      <c r="J180" s="19">
        <v>90.04</v>
      </c>
      <c r="K180" s="19">
        <v>4.1509999999999998</v>
      </c>
      <c r="L180" s="19">
        <v>80.476200000000006</v>
      </c>
      <c r="M180" s="19">
        <v>349000000</v>
      </c>
      <c r="N180" s="19">
        <v>90.298400000000001</v>
      </c>
      <c r="O180">
        <v>38.372999999999998</v>
      </c>
      <c r="P180">
        <v>26.1282</v>
      </c>
      <c r="Q180" s="19">
        <v>14697.472</v>
      </c>
      <c r="R180" s="19">
        <v>14657.9388</v>
      </c>
      <c r="S180" s="19">
        <v>2.6837</v>
      </c>
      <c r="T180" s="19">
        <v>30379.107800000002</v>
      </c>
      <c r="U180" s="19">
        <v>21616.712200000002</v>
      </c>
      <c r="V180">
        <v>32</v>
      </c>
      <c r="W180" s="19">
        <v>82.296700000000001</v>
      </c>
      <c r="X180">
        <v>94</v>
      </c>
      <c r="Y180">
        <v>94</v>
      </c>
      <c r="Z180">
        <v>95</v>
      </c>
      <c r="AA180">
        <v>3.6</v>
      </c>
      <c r="AB180">
        <v>74.099999999999994</v>
      </c>
      <c r="AC180">
        <v>75.429299999999998</v>
      </c>
      <c r="AD180">
        <v>107.1374</v>
      </c>
      <c r="AE180">
        <v>8</v>
      </c>
      <c r="AF180">
        <v>86.9268</v>
      </c>
      <c r="AG180">
        <v>6.8</v>
      </c>
      <c r="AH180">
        <v>0.89</v>
      </c>
      <c r="AI180">
        <v>4.5999999999999996</v>
      </c>
      <c r="AJ180">
        <v>4.0999999999999996</v>
      </c>
      <c r="AK180">
        <v>5</v>
      </c>
      <c r="AL180">
        <v>63.707099999999997</v>
      </c>
      <c r="AM180">
        <v>2.1</v>
      </c>
      <c r="AN180">
        <v>-3781</v>
      </c>
      <c r="AO180">
        <v>0</v>
      </c>
      <c r="AP180">
        <v>99.0214</v>
      </c>
      <c r="AQ180">
        <v>99.267899999999997</v>
      </c>
      <c r="AR180">
        <v>95.135499999999993</v>
      </c>
      <c r="AT180">
        <v>95.690600000000003</v>
      </c>
      <c r="AU180">
        <v>9.1364999999999998</v>
      </c>
      <c r="AV180" s="19">
        <v>67.772499999999994</v>
      </c>
      <c r="AW180">
        <v>0.8</v>
      </c>
      <c r="AX180">
        <v>17.5</v>
      </c>
      <c r="AZ180">
        <v>6</v>
      </c>
      <c r="BA180">
        <v>90.634100000000004</v>
      </c>
      <c r="BB180">
        <v>22.772300000000001</v>
      </c>
      <c r="BC180">
        <v>4.8403</v>
      </c>
      <c r="BD180" s="19">
        <v>2.4500000000000002</v>
      </c>
      <c r="BE180" s="19">
        <v>88.5167</v>
      </c>
      <c r="BF180">
        <v>8.0527999999999995</v>
      </c>
      <c r="BG180">
        <v>25.3</v>
      </c>
      <c r="BH180" s="20">
        <v>1.579</v>
      </c>
      <c r="BI180" s="20">
        <v>3057.7829999999999</v>
      </c>
      <c r="BJ180" s="19">
        <v>85.308099999999996</v>
      </c>
      <c r="BK180">
        <v>0.98519999999999996</v>
      </c>
      <c r="BL180">
        <v>0.99399999999999999</v>
      </c>
      <c r="BM180">
        <v>1.0007999999999999</v>
      </c>
      <c r="BN180">
        <v>6</v>
      </c>
      <c r="BO180">
        <v>14.026</v>
      </c>
      <c r="BP180">
        <v>18.29</v>
      </c>
      <c r="BQ180" s="19">
        <v>103.75700000000001</v>
      </c>
      <c r="BR180">
        <v>53.359900000000003</v>
      </c>
      <c r="BS180" s="20">
        <v>16.707000000000001</v>
      </c>
      <c r="BT180" s="20">
        <v>16.707000000000001</v>
      </c>
      <c r="BU180" s="20">
        <v>32.938000000000002</v>
      </c>
      <c r="BV180" s="20">
        <v>32.920999999999999</v>
      </c>
      <c r="BW180" s="19">
        <v>83.412300000000002</v>
      </c>
      <c r="BX180">
        <v>24.93</v>
      </c>
      <c r="BY180" s="5">
        <v>2401763</v>
      </c>
      <c r="BZ180" s="6">
        <v>4700680</v>
      </c>
      <c r="CA180" s="7">
        <f t="shared" si="10"/>
        <v>1.9571789556255135</v>
      </c>
      <c r="CB180">
        <v>1331475</v>
      </c>
      <c r="CC180" s="8">
        <f t="shared" si="11"/>
        <v>3.5304305375617266</v>
      </c>
      <c r="CD180" s="8">
        <f t="shared" si="12"/>
        <v>1.8038363469085037</v>
      </c>
      <c r="CE180">
        <v>45336</v>
      </c>
      <c r="CF180" s="8">
        <f t="shared" si="13"/>
        <v>52.976949885300861</v>
      </c>
      <c r="CG180" s="8">
        <f t="shared" si="14"/>
        <v>103.68537144873831</v>
      </c>
      <c r="CH180">
        <v>94.378860000000003</v>
      </c>
    </row>
    <row r="181" spans="1:86" ht="15.5" x14ac:dyDescent="0.35">
      <c r="A181" t="s">
        <v>93</v>
      </c>
      <c r="B181">
        <v>2011</v>
      </c>
      <c r="C181" s="2">
        <v>49.263800000000003</v>
      </c>
      <c r="D181">
        <v>19724.830000000002</v>
      </c>
      <c r="E181">
        <v>0.49790000000000001</v>
      </c>
      <c r="F181">
        <v>16.327400000000001</v>
      </c>
      <c r="G181">
        <v>22200</v>
      </c>
      <c r="H181">
        <v>9</v>
      </c>
      <c r="I181" s="19">
        <v>92.432000000000002</v>
      </c>
      <c r="J181" s="19">
        <v>93.72</v>
      </c>
      <c r="K181" s="19">
        <v>4.6689999999999996</v>
      </c>
      <c r="L181" s="19">
        <v>80.568700000000007</v>
      </c>
      <c r="M181" s="19">
        <v>305000000</v>
      </c>
      <c r="N181" s="19">
        <v>130.17150000000001</v>
      </c>
      <c r="O181">
        <v>34.634</v>
      </c>
      <c r="P181">
        <v>26.288799999999998</v>
      </c>
      <c r="Q181" s="19">
        <v>17552.466</v>
      </c>
      <c r="R181" s="19">
        <v>15820.9215</v>
      </c>
      <c r="S181" s="19">
        <v>7.9340999999999999</v>
      </c>
      <c r="T181" s="19">
        <v>32789.431600000004</v>
      </c>
      <c r="U181" s="19">
        <v>24652.361000000001</v>
      </c>
      <c r="V181">
        <v>32.5</v>
      </c>
      <c r="W181" s="19">
        <v>81.516599999999997</v>
      </c>
      <c r="X181">
        <v>93</v>
      </c>
      <c r="Y181">
        <v>94</v>
      </c>
      <c r="Z181">
        <v>94</v>
      </c>
      <c r="AA181">
        <v>3.3</v>
      </c>
      <c r="AB181">
        <v>76.5</v>
      </c>
      <c r="AC181">
        <v>76.229299999999995</v>
      </c>
      <c r="AD181">
        <v>104.3849</v>
      </c>
      <c r="AE181">
        <v>9</v>
      </c>
      <c r="AF181">
        <v>87.085300000000004</v>
      </c>
      <c r="AG181">
        <v>8.1</v>
      </c>
      <c r="AH181">
        <v>1.24</v>
      </c>
      <c r="AI181">
        <v>4.2</v>
      </c>
      <c r="AJ181">
        <v>3.8</v>
      </c>
      <c r="AK181">
        <v>4.5999999999999996</v>
      </c>
      <c r="AL181">
        <v>63.573999999999998</v>
      </c>
      <c r="AM181">
        <v>1.9</v>
      </c>
      <c r="AN181">
        <v>-3941</v>
      </c>
      <c r="AO181">
        <v>0</v>
      </c>
      <c r="AP181">
        <v>99.193399999999997</v>
      </c>
      <c r="AQ181">
        <v>99.213999999999999</v>
      </c>
      <c r="AR181">
        <v>95.503900000000002</v>
      </c>
      <c r="AT181">
        <v>95.822599999999994</v>
      </c>
      <c r="AU181">
        <v>8.2766000000000002</v>
      </c>
      <c r="AV181" s="19">
        <v>67.298599999999993</v>
      </c>
      <c r="AW181">
        <v>1</v>
      </c>
      <c r="AX181">
        <v>17.5</v>
      </c>
      <c r="AZ181">
        <v>6</v>
      </c>
      <c r="BA181">
        <v>90.539900000000003</v>
      </c>
      <c r="BB181">
        <v>19.802</v>
      </c>
      <c r="BC181">
        <v>4.5048000000000004</v>
      </c>
      <c r="BD181" s="19">
        <v>7.6070000000000002</v>
      </c>
      <c r="BE181" s="19">
        <v>90.9953</v>
      </c>
      <c r="BF181">
        <v>9.1511999999999993</v>
      </c>
      <c r="BG181">
        <v>25.2</v>
      </c>
      <c r="BH181" s="20">
        <v>2.3052000000000001</v>
      </c>
      <c r="BI181" s="20">
        <v>3392.8058999999998</v>
      </c>
      <c r="BJ181" s="19">
        <v>85.915499999999994</v>
      </c>
      <c r="BK181">
        <v>0.99729999999999996</v>
      </c>
      <c r="BL181">
        <v>0.99150000000000005</v>
      </c>
      <c r="BM181">
        <v>0.98680000000000001</v>
      </c>
      <c r="BN181">
        <v>6</v>
      </c>
      <c r="BO181">
        <v>11.568</v>
      </c>
      <c r="BP181">
        <v>17.59</v>
      </c>
      <c r="BQ181" s="19">
        <v>102.32599999999999</v>
      </c>
      <c r="BR181">
        <v>67.137699999999995</v>
      </c>
      <c r="BS181" s="20">
        <v>12.327999999999999</v>
      </c>
      <c r="BT181" s="20">
        <v>12.327999999999999</v>
      </c>
      <c r="BU181" s="20">
        <v>22.385999999999999</v>
      </c>
      <c r="BV181" s="20">
        <v>22.375</v>
      </c>
      <c r="BW181" s="19">
        <v>87.323899999999995</v>
      </c>
      <c r="BX181">
        <v>27.08</v>
      </c>
      <c r="BY181" s="5">
        <v>2725937</v>
      </c>
      <c r="BZ181" s="6">
        <v>5399392</v>
      </c>
      <c r="CA181" s="7">
        <f t="shared" si="10"/>
        <v>1.9807471706059239</v>
      </c>
      <c r="CB181">
        <v>1327439</v>
      </c>
      <c r="CC181" s="8">
        <f t="shared" si="11"/>
        <v>4.0675255134134227</v>
      </c>
      <c r="CD181" s="8">
        <f t="shared" si="12"/>
        <v>2.0535308967116381</v>
      </c>
      <c r="CE181">
        <v>45336</v>
      </c>
      <c r="CF181" s="8">
        <f t="shared" si="13"/>
        <v>60.12742632786307</v>
      </c>
      <c r="CG181" s="8">
        <f t="shared" si="14"/>
        <v>119.0972295747309</v>
      </c>
      <c r="CH181">
        <v>95.749319999999997</v>
      </c>
    </row>
    <row r="182" spans="1:86" ht="15.5" x14ac:dyDescent="0.35">
      <c r="A182" s="9" t="s">
        <v>93</v>
      </c>
      <c r="B182" s="9">
        <v>2012</v>
      </c>
      <c r="C182" s="10">
        <v>50.272399999999998</v>
      </c>
      <c r="D182" s="9">
        <v>18933.66</v>
      </c>
      <c r="E182" s="9">
        <v>0.45479999999999998</v>
      </c>
      <c r="F182" s="9">
        <v>15.516500000000001</v>
      </c>
      <c r="G182" s="9">
        <v>21000</v>
      </c>
      <c r="H182" s="9">
        <v>9</v>
      </c>
      <c r="I182" s="21">
        <v>96.331999999999994</v>
      </c>
      <c r="J182" s="21">
        <v>97.13</v>
      </c>
      <c r="K182" s="21">
        <v>3.8420000000000001</v>
      </c>
      <c r="L182" s="21">
        <v>81.516599999999997</v>
      </c>
      <c r="M182" s="21">
        <v>-437000000</v>
      </c>
      <c r="N182" s="21">
        <v>125.32510000000001</v>
      </c>
      <c r="O182" s="9">
        <v>31.623999999999999</v>
      </c>
      <c r="P182" s="9">
        <v>26.4254</v>
      </c>
      <c r="Q182" s="21">
        <v>17579.346000000001</v>
      </c>
      <c r="R182" s="21">
        <v>16460.6839</v>
      </c>
      <c r="S182" s="21">
        <v>4.0438000000000001</v>
      </c>
      <c r="T182" s="21">
        <v>34115.362200000003</v>
      </c>
      <c r="U182" s="21">
        <v>26242.528300000002</v>
      </c>
      <c r="V182" s="9">
        <v>32.9</v>
      </c>
      <c r="W182" s="21">
        <v>77.251199999999997</v>
      </c>
      <c r="X182" s="9">
        <v>94</v>
      </c>
      <c r="Y182" s="9">
        <v>94</v>
      </c>
      <c r="Z182" s="9">
        <v>94</v>
      </c>
      <c r="AA182" s="9">
        <v>3</v>
      </c>
      <c r="AB182" s="9">
        <v>78.400000000000006</v>
      </c>
      <c r="AC182" s="9">
        <v>76.326800000000006</v>
      </c>
      <c r="AD182" s="9">
        <v>102.136</v>
      </c>
      <c r="AE182" s="9">
        <v>8</v>
      </c>
      <c r="AF182" s="9">
        <v>87.25</v>
      </c>
      <c r="AG182" s="9">
        <v>6.8</v>
      </c>
      <c r="AH182" s="9">
        <v>1.19</v>
      </c>
      <c r="AI182" s="9">
        <v>3.9</v>
      </c>
      <c r="AJ182" s="9">
        <v>3.5</v>
      </c>
      <c r="AK182" s="9">
        <v>4.3</v>
      </c>
      <c r="AL182" s="9">
        <v>63.0124</v>
      </c>
      <c r="AM182" s="9">
        <v>1.8</v>
      </c>
      <c r="AN182" s="9">
        <v>-3674</v>
      </c>
      <c r="AO182" s="9">
        <v>0</v>
      </c>
      <c r="AP182" s="9">
        <v>99.368200000000002</v>
      </c>
      <c r="AQ182" s="9">
        <v>99.160300000000007</v>
      </c>
      <c r="AR182" s="9">
        <v>95.8874</v>
      </c>
      <c r="AS182" s="9"/>
      <c r="AT182" s="9">
        <v>95.954899999999995</v>
      </c>
      <c r="AU182" s="9">
        <v>7.9901</v>
      </c>
      <c r="AV182" s="21">
        <v>67.298599999999993</v>
      </c>
      <c r="AW182" s="9">
        <v>0.7</v>
      </c>
      <c r="AX182" s="9">
        <v>18.600000000000001</v>
      </c>
      <c r="AY182" s="9"/>
      <c r="AZ182" s="9">
        <v>6</v>
      </c>
      <c r="BA182" s="9">
        <v>90.468000000000004</v>
      </c>
      <c r="BB182" s="9">
        <v>20.792100000000001</v>
      </c>
      <c r="BC182" s="9">
        <v>4.5808</v>
      </c>
      <c r="BD182" s="21">
        <v>3.6720000000000002</v>
      </c>
      <c r="BE182" s="21">
        <v>90.9953</v>
      </c>
      <c r="BF182" s="9">
        <v>12.341699999999999</v>
      </c>
      <c r="BG182" s="9">
        <v>25</v>
      </c>
      <c r="BH182" s="22">
        <v>2.1248</v>
      </c>
      <c r="BI182" s="22">
        <v>3457.7556</v>
      </c>
      <c r="BJ182" s="21">
        <v>85.915499999999994</v>
      </c>
      <c r="BK182" s="9">
        <v>0.99750000000000005</v>
      </c>
      <c r="BL182" s="9">
        <v>0.99229999999999996</v>
      </c>
      <c r="BM182" s="9">
        <v>0.9879</v>
      </c>
      <c r="BN182" s="9">
        <v>6</v>
      </c>
      <c r="BO182" s="9">
        <v>12.2</v>
      </c>
      <c r="BP182" s="9">
        <v>19.440000000000001</v>
      </c>
      <c r="BQ182" s="21">
        <v>100.1773</v>
      </c>
      <c r="BR182" s="9">
        <v>71.308099999999996</v>
      </c>
      <c r="BS182" s="22">
        <v>10.021000000000001</v>
      </c>
      <c r="BT182" s="22">
        <v>10.021000000000001</v>
      </c>
      <c r="BU182" s="22">
        <v>20.861999999999998</v>
      </c>
      <c r="BV182" s="22">
        <v>20.856999999999999</v>
      </c>
      <c r="BW182" s="21">
        <v>85.915499999999994</v>
      </c>
      <c r="BX182" s="9">
        <v>27.37</v>
      </c>
      <c r="BY182" s="14">
        <v>2839895</v>
      </c>
      <c r="BZ182" s="6">
        <v>5544537</v>
      </c>
      <c r="CA182" s="7">
        <f t="shared" si="10"/>
        <v>1.9523739434028371</v>
      </c>
      <c r="CB182">
        <v>1322696</v>
      </c>
      <c r="CC182" s="8">
        <f t="shared" si="11"/>
        <v>4.191845291737482</v>
      </c>
      <c r="CD182" s="8">
        <f t="shared" si="12"/>
        <v>2.1470504182366925</v>
      </c>
      <c r="CE182">
        <v>45336</v>
      </c>
      <c r="CF182" s="8">
        <f t="shared" si="13"/>
        <v>62.641057878948295</v>
      </c>
      <c r="CG182" s="8">
        <f t="shared" si="14"/>
        <v>122.29876919004765</v>
      </c>
      <c r="CH182" s="9">
        <v>96.936930000000004</v>
      </c>
    </row>
    <row r="183" spans="1:86" ht="15.5" x14ac:dyDescent="0.35">
      <c r="A183" t="s">
        <v>93</v>
      </c>
      <c r="B183">
        <v>2013</v>
      </c>
      <c r="C183" s="2">
        <v>51.371099999999998</v>
      </c>
      <c r="D183">
        <v>20245.86</v>
      </c>
      <c r="E183">
        <v>0.499</v>
      </c>
      <c r="F183">
        <v>17.3858</v>
      </c>
      <c r="G183">
        <v>22800</v>
      </c>
      <c r="H183">
        <v>9</v>
      </c>
      <c r="I183" s="19">
        <v>99.459000000000003</v>
      </c>
      <c r="J183" s="19">
        <v>99.12</v>
      </c>
      <c r="K183" s="19">
        <v>3.1909999999999998</v>
      </c>
      <c r="L183" s="19">
        <v>82.938400000000001</v>
      </c>
      <c r="M183" s="19">
        <v>-36000000</v>
      </c>
      <c r="N183" s="19">
        <v>127.11020000000001</v>
      </c>
      <c r="O183">
        <v>32.81</v>
      </c>
      <c r="P183">
        <v>27.387699999999999</v>
      </c>
      <c r="Q183" s="19">
        <v>19310.674999999999</v>
      </c>
      <c r="R183" s="19">
        <v>16809.532299999999</v>
      </c>
      <c r="S183" s="19">
        <v>2.1193</v>
      </c>
      <c r="T183" s="19">
        <v>34838.3632</v>
      </c>
      <c r="U183" s="19">
        <v>27831.152600000001</v>
      </c>
      <c r="V183">
        <v>35.1</v>
      </c>
      <c r="W183" s="19">
        <v>77.725099999999998</v>
      </c>
      <c r="X183">
        <v>94</v>
      </c>
      <c r="Y183">
        <v>93</v>
      </c>
      <c r="Z183">
        <v>94</v>
      </c>
      <c r="AA183">
        <v>2.8</v>
      </c>
      <c r="AB183">
        <v>80</v>
      </c>
      <c r="AC183">
        <v>77.141499999999994</v>
      </c>
      <c r="AD183">
        <v>104.73609999999999</v>
      </c>
      <c r="AE183">
        <v>6</v>
      </c>
      <c r="AF183">
        <v>87.655699999999996</v>
      </c>
      <c r="AG183">
        <v>7.1</v>
      </c>
      <c r="AH183">
        <v>0.59</v>
      </c>
      <c r="AI183">
        <v>3.6</v>
      </c>
      <c r="AJ183">
        <v>3.2</v>
      </c>
      <c r="AK183">
        <v>4</v>
      </c>
      <c r="AL183">
        <v>63.7239</v>
      </c>
      <c r="AM183">
        <v>1.6</v>
      </c>
      <c r="AN183">
        <v>-2688</v>
      </c>
      <c r="AO183">
        <v>0</v>
      </c>
      <c r="AP183">
        <v>99.543800000000005</v>
      </c>
      <c r="AQ183">
        <v>99.1066</v>
      </c>
      <c r="AR183">
        <v>96.281899999999993</v>
      </c>
      <c r="AT183">
        <v>96.087599999999995</v>
      </c>
      <c r="AU183">
        <v>8.0812000000000008</v>
      </c>
      <c r="AV183" s="19">
        <v>68.246399999999994</v>
      </c>
      <c r="AW183">
        <v>0.9</v>
      </c>
      <c r="AX183">
        <v>21.8</v>
      </c>
      <c r="AY183">
        <v>7</v>
      </c>
      <c r="AZ183">
        <v>6</v>
      </c>
      <c r="BA183">
        <v>90.421099999999996</v>
      </c>
      <c r="BB183">
        <v>20.792100000000001</v>
      </c>
      <c r="BC183">
        <v>4.6757999999999997</v>
      </c>
      <c r="BD183" s="19">
        <v>1.7569999999999999</v>
      </c>
      <c r="BE183" s="19">
        <v>90.9953</v>
      </c>
      <c r="BF183">
        <v>9.1973000000000003</v>
      </c>
      <c r="BG183">
        <v>24.5</v>
      </c>
      <c r="BH183" s="20">
        <v>1.7241</v>
      </c>
      <c r="BI183" s="20">
        <v>3338.3960000000002</v>
      </c>
      <c r="BJ183" s="19">
        <v>86.385000000000005</v>
      </c>
      <c r="BK183">
        <v>0.99429999999999996</v>
      </c>
      <c r="BL183">
        <v>0.99209999999999998</v>
      </c>
      <c r="BM183">
        <v>0.99009999999999998</v>
      </c>
      <c r="BN183">
        <v>6</v>
      </c>
      <c r="BO183">
        <v>11.319000000000001</v>
      </c>
      <c r="BP183">
        <v>18.149999999999999</v>
      </c>
      <c r="BQ183" s="19">
        <v>100.73560000000001</v>
      </c>
      <c r="BR183">
        <v>74.777299999999997</v>
      </c>
      <c r="BS183" s="20">
        <v>8.6310000000000002</v>
      </c>
      <c r="BT183" s="20">
        <v>8.6310000000000002</v>
      </c>
      <c r="BU183" s="20">
        <v>18.704000000000001</v>
      </c>
      <c r="BV183" s="20">
        <v>18.677</v>
      </c>
      <c r="BW183" s="19">
        <v>85.915499999999994</v>
      </c>
      <c r="BX183">
        <v>26.15</v>
      </c>
      <c r="BY183" s="5">
        <v>2980865</v>
      </c>
      <c r="BZ183" s="6">
        <v>5734033</v>
      </c>
      <c r="CA183" s="7">
        <f t="shared" si="10"/>
        <v>1.9236137832474802</v>
      </c>
      <c r="CB183">
        <v>1317997</v>
      </c>
      <c r="CC183" s="8">
        <f t="shared" si="11"/>
        <v>4.3505660483293971</v>
      </c>
      <c r="CD183" s="8">
        <f t="shared" si="12"/>
        <v>2.2616629628140275</v>
      </c>
      <c r="CE183">
        <v>45336</v>
      </c>
      <c r="CF183" s="8">
        <f t="shared" si="13"/>
        <v>65.750507323098645</v>
      </c>
      <c r="CG183" s="8">
        <f t="shared" si="14"/>
        <v>126.47858214222693</v>
      </c>
      <c r="CH183">
        <v>98.8309</v>
      </c>
    </row>
    <row r="184" spans="1:86" ht="15.5" x14ac:dyDescent="0.35">
      <c r="A184" t="s">
        <v>93</v>
      </c>
      <c r="B184">
        <v>2014</v>
      </c>
      <c r="C184" s="2">
        <v>52.547899999999998</v>
      </c>
      <c r="D184">
        <v>19195.93</v>
      </c>
      <c r="E184">
        <v>0.46200000000000002</v>
      </c>
      <c r="F184">
        <v>16.675599999999999</v>
      </c>
      <c r="G184">
        <v>22000</v>
      </c>
      <c r="H184">
        <v>9</v>
      </c>
      <c r="I184" s="19">
        <v>99.933000000000007</v>
      </c>
      <c r="J184" s="19">
        <v>99.18</v>
      </c>
      <c r="K184" s="19">
        <v>2.8130000000000002</v>
      </c>
      <c r="L184" s="19">
        <v>87.980800000000002</v>
      </c>
      <c r="M184" s="19">
        <v>158000000</v>
      </c>
      <c r="N184" s="19">
        <v>124.9783</v>
      </c>
      <c r="O184">
        <v>30.844999999999999</v>
      </c>
      <c r="P184">
        <v>28.2254</v>
      </c>
      <c r="Q184" s="19">
        <v>20574.580999999998</v>
      </c>
      <c r="R184" s="19">
        <v>17413.686000000002</v>
      </c>
      <c r="S184" s="19">
        <v>3.5941000000000001</v>
      </c>
      <c r="T184" s="19">
        <v>36090.493600000002</v>
      </c>
      <c r="U184" s="19">
        <v>29403.6584</v>
      </c>
      <c r="V184">
        <v>34.6</v>
      </c>
      <c r="W184" s="19">
        <v>80.288499999999999</v>
      </c>
      <c r="X184">
        <v>93</v>
      </c>
      <c r="Y184">
        <v>93</v>
      </c>
      <c r="Z184">
        <v>93</v>
      </c>
      <c r="AA184">
        <v>2.6</v>
      </c>
      <c r="AB184">
        <v>84.2</v>
      </c>
      <c r="AC184">
        <v>77.034099999999995</v>
      </c>
      <c r="AD184">
        <v>103.8745</v>
      </c>
      <c r="AE184">
        <v>7</v>
      </c>
      <c r="AF184">
        <v>87.690399999999997</v>
      </c>
      <c r="AG184">
        <v>6.1</v>
      </c>
      <c r="AH184">
        <v>0.74</v>
      </c>
      <c r="AI184">
        <v>3.4</v>
      </c>
      <c r="AJ184">
        <v>3</v>
      </c>
      <c r="AK184">
        <v>3.7</v>
      </c>
      <c r="AL184">
        <v>65.276600000000002</v>
      </c>
      <c r="AM184">
        <v>1.5</v>
      </c>
      <c r="AN184">
        <v>-674</v>
      </c>
      <c r="AO184">
        <v>0</v>
      </c>
      <c r="AP184">
        <v>99.718100000000007</v>
      </c>
      <c r="AQ184">
        <v>99.052700000000002</v>
      </c>
      <c r="AR184">
        <v>96.675399999999996</v>
      </c>
      <c r="AT184">
        <v>96.220600000000005</v>
      </c>
      <c r="AU184">
        <v>8.7077000000000009</v>
      </c>
      <c r="AV184" s="19">
        <v>72.857100000000003</v>
      </c>
      <c r="AW184">
        <v>0.8</v>
      </c>
      <c r="AX184">
        <v>21.6</v>
      </c>
      <c r="AY184">
        <v>7</v>
      </c>
      <c r="AZ184">
        <v>6</v>
      </c>
      <c r="BA184">
        <v>90.376300000000001</v>
      </c>
      <c r="BB184">
        <v>19</v>
      </c>
      <c r="BC184">
        <v>4.7408000000000001</v>
      </c>
      <c r="BD184" s="19">
        <v>3.323</v>
      </c>
      <c r="BE184" s="19">
        <v>93.269199999999998</v>
      </c>
      <c r="BF184">
        <v>11.182499999999999</v>
      </c>
      <c r="BG184">
        <v>25.3</v>
      </c>
      <c r="BH184" s="20">
        <v>1.4301999999999999</v>
      </c>
      <c r="BI184" s="20">
        <v>3285.5934999999999</v>
      </c>
      <c r="BJ184" s="19">
        <v>87.019199999999998</v>
      </c>
      <c r="BK184">
        <v>0.99399999999999999</v>
      </c>
      <c r="BL184">
        <v>0.99390000000000001</v>
      </c>
      <c r="BM184">
        <v>0.99399999999999999</v>
      </c>
      <c r="BN184">
        <v>6</v>
      </c>
      <c r="BO184">
        <v>11.75</v>
      </c>
      <c r="BP184">
        <v>19.23</v>
      </c>
      <c r="BQ184" s="19">
        <v>100.15600000000001</v>
      </c>
      <c r="BR184">
        <v>79.304400000000001</v>
      </c>
      <c r="BS184" s="20">
        <v>7.3520000000000003</v>
      </c>
      <c r="BT184" s="20">
        <v>7.3520000000000003</v>
      </c>
      <c r="BU184" s="20">
        <v>14.975</v>
      </c>
      <c r="BV184" s="20">
        <v>14.965</v>
      </c>
      <c r="BW184" s="19">
        <v>88.177300000000002</v>
      </c>
      <c r="BX184">
        <v>22.39</v>
      </c>
      <c r="BY184" s="5">
        <v>3087070</v>
      </c>
      <c r="BZ184" s="6">
        <v>5809464</v>
      </c>
      <c r="CA184" s="7">
        <f t="shared" si="10"/>
        <v>1.8818698636571247</v>
      </c>
      <c r="CB184">
        <v>1314545</v>
      </c>
      <c r="CC184" s="8">
        <f t="shared" si="11"/>
        <v>4.4193724824939427</v>
      </c>
      <c r="CD184" s="8">
        <f t="shared" si="12"/>
        <v>2.348394311339665</v>
      </c>
      <c r="CE184">
        <v>45336</v>
      </c>
      <c r="CF184" s="8">
        <f t="shared" si="13"/>
        <v>68.093126874889705</v>
      </c>
      <c r="CG184" s="8">
        <f t="shared" si="14"/>
        <v>128.142403388036</v>
      </c>
      <c r="CH184">
        <v>99.708479999999994</v>
      </c>
    </row>
    <row r="185" spans="1:86" ht="15.5" x14ac:dyDescent="0.35">
      <c r="A185" t="s">
        <v>93</v>
      </c>
      <c r="B185">
        <v>2015</v>
      </c>
      <c r="C185" s="2">
        <v>53.617199999999997</v>
      </c>
      <c r="D185">
        <v>17567.599999999999</v>
      </c>
      <c r="E185">
        <v>0.4138</v>
      </c>
      <c r="F185">
        <v>15.1976</v>
      </c>
      <c r="G185">
        <v>19000</v>
      </c>
      <c r="H185">
        <v>9</v>
      </c>
      <c r="I185" s="19">
        <v>100</v>
      </c>
      <c r="J185" s="19">
        <v>99.01</v>
      </c>
      <c r="K185" s="19">
        <v>2.79</v>
      </c>
      <c r="L185" s="19">
        <v>88.571399999999997</v>
      </c>
      <c r="M185" s="19">
        <v>344000000</v>
      </c>
      <c r="N185" s="19">
        <v>100</v>
      </c>
      <c r="O185">
        <v>28.138000000000002</v>
      </c>
      <c r="P185">
        <v>29.688300000000002</v>
      </c>
      <c r="Q185" s="19">
        <v>17723.954000000002</v>
      </c>
      <c r="R185" s="19">
        <v>17722.1558</v>
      </c>
      <c r="S185" s="19">
        <v>1.7714000000000001</v>
      </c>
      <c r="T185" s="19">
        <v>36729.808299999997</v>
      </c>
      <c r="U185" s="19">
        <v>29720.591100000001</v>
      </c>
      <c r="V185">
        <v>32.700000000000003</v>
      </c>
      <c r="W185" s="19">
        <v>81.904799999999994</v>
      </c>
      <c r="X185">
        <v>93</v>
      </c>
      <c r="Y185">
        <v>91</v>
      </c>
      <c r="Z185">
        <v>93</v>
      </c>
      <c r="AA185">
        <v>2.5</v>
      </c>
      <c r="AB185">
        <v>88.4</v>
      </c>
      <c r="AC185">
        <v>77.590199999999996</v>
      </c>
      <c r="AD185">
        <v>102.4144</v>
      </c>
      <c r="AE185">
        <v>6</v>
      </c>
      <c r="AF185">
        <v>89.813999999999993</v>
      </c>
      <c r="AG185">
        <v>6.4</v>
      </c>
      <c r="AH185">
        <v>0.45</v>
      </c>
      <c r="AI185">
        <v>3.2</v>
      </c>
      <c r="AJ185">
        <v>2.8</v>
      </c>
      <c r="AK185">
        <v>3.5</v>
      </c>
      <c r="AL185">
        <v>65.047799999999995</v>
      </c>
      <c r="AM185">
        <v>1.4</v>
      </c>
      <c r="AN185">
        <v>4261</v>
      </c>
      <c r="AO185">
        <v>0</v>
      </c>
      <c r="AP185">
        <v>99.891199999999998</v>
      </c>
      <c r="AQ185">
        <v>99.058000000000007</v>
      </c>
      <c r="AR185">
        <v>96.846100000000007</v>
      </c>
      <c r="AT185">
        <v>96.415499999999994</v>
      </c>
      <c r="AU185">
        <v>7.1849999999999996</v>
      </c>
      <c r="AV185" s="19">
        <v>65.238100000000003</v>
      </c>
      <c r="AW185">
        <v>0.6</v>
      </c>
      <c r="AX185">
        <v>21.7</v>
      </c>
      <c r="AY185">
        <v>7</v>
      </c>
      <c r="AZ185">
        <v>6</v>
      </c>
      <c r="BA185">
        <v>90.387900000000002</v>
      </c>
      <c r="BB185">
        <v>23.7624</v>
      </c>
      <c r="BC185">
        <v>4.9432</v>
      </c>
      <c r="BD185" s="19">
        <v>1.8380000000000001</v>
      </c>
      <c r="BE185" s="19">
        <v>93.333299999999994</v>
      </c>
      <c r="BF185">
        <v>15.427199999999999</v>
      </c>
      <c r="BG185">
        <v>28.2</v>
      </c>
      <c r="BH185" s="20">
        <v>1.4678</v>
      </c>
      <c r="BI185" s="20">
        <v>3188.4919</v>
      </c>
      <c r="BJ185" s="19">
        <v>87.142899999999997</v>
      </c>
      <c r="BK185">
        <v>1.0001</v>
      </c>
      <c r="BL185">
        <v>0.99780000000000002</v>
      </c>
      <c r="BM185">
        <v>0.99550000000000005</v>
      </c>
      <c r="BN185">
        <v>6</v>
      </c>
      <c r="BO185">
        <v>11.481999999999999</v>
      </c>
      <c r="BP185">
        <v>15.73</v>
      </c>
      <c r="BQ185" s="19">
        <v>100</v>
      </c>
      <c r="BR185">
        <v>82.266599999999997</v>
      </c>
      <c r="BS185" s="20">
        <v>6.4119999999999999</v>
      </c>
      <c r="BT185" s="20">
        <v>6.4119999999999999</v>
      </c>
      <c r="BU185" s="20">
        <v>14.342000000000001</v>
      </c>
      <c r="BV185" s="20">
        <v>14.353999999999999</v>
      </c>
      <c r="BW185" s="19">
        <v>87.192099999999996</v>
      </c>
      <c r="BX185">
        <v>19.579999999999998</v>
      </c>
      <c r="BY185" s="5">
        <v>3112143</v>
      </c>
      <c r="BZ185" s="6">
        <v>5781870</v>
      </c>
      <c r="CA185" s="7">
        <f t="shared" si="10"/>
        <v>1.8578420079025932</v>
      </c>
      <c r="CB185">
        <v>1315407</v>
      </c>
      <c r="CC185" s="8">
        <f t="shared" si="11"/>
        <v>4.3954988836154891</v>
      </c>
      <c r="CD185" s="8">
        <f t="shared" si="12"/>
        <v>2.3659164045804832</v>
      </c>
      <c r="CE185">
        <v>45336</v>
      </c>
      <c r="CF185" s="8">
        <f t="shared" si="13"/>
        <v>68.646175224986763</v>
      </c>
      <c r="CG185" s="8">
        <f t="shared" si="14"/>
        <v>127.53374801482266</v>
      </c>
      <c r="CH185">
        <v>100</v>
      </c>
    </row>
    <row r="186" spans="1:86" ht="15.5" x14ac:dyDescent="0.35">
      <c r="A186" t="s">
        <v>93</v>
      </c>
      <c r="B186">
        <v>2016</v>
      </c>
      <c r="C186" s="2">
        <v>54.648699999999998</v>
      </c>
      <c r="D186">
        <v>19617.96</v>
      </c>
      <c r="E186">
        <v>0.40110000000000001</v>
      </c>
      <c r="F186">
        <v>15.1846</v>
      </c>
      <c r="G186">
        <v>19000</v>
      </c>
      <c r="H186">
        <v>9</v>
      </c>
      <c r="I186" s="19">
        <v>100.8</v>
      </c>
      <c r="J186" s="19">
        <v>101.34</v>
      </c>
      <c r="K186" s="19">
        <v>2.9319999999999999</v>
      </c>
      <c r="L186" s="19">
        <v>88.095200000000006</v>
      </c>
      <c r="M186" s="19">
        <v>240000000</v>
      </c>
      <c r="N186" s="19">
        <v>102.6099</v>
      </c>
      <c r="O186">
        <v>31.779</v>
      </c>
      <c r="P186">
        <v>31.498899999999999</v>
      </c>
      <c r="Q186" s="19">
        <v>18661.231</v>
      </c>
      <c r="R186" s="19">
        <v>18264.986700000001</v>
      </c>
      <c r="S186" s="19">
        <v>3.0630000000000002</v>
      </c>
      <c r="T186" s="19">
        <v>37854.845099999999</v>
      </c>
      <c r="U186" s="19">
        <v>31947.776900000001</v>
      </c>
      <c r="V186">
        <v>31.2</v>
      </c>
      <c r="W186" s="19">
        <v>81.904799999999994</v>
      </c>
      <c r="X186">
        <v>93</v>
      </c>
      <c r="Y186">
        <v>93</v>
      </c>
      <c r="Z186">
        <v>93</v>
      </c>
      <c r="AA186">
        <v>2.2999999999999998</v>
      </c>
      <c r="AB186">
        <v>87.2</v>
      </c>
      <c r="AC186">
        <v>77.641499999999994</v>
      </c>
      <c r="AD186">
        <v>100.8018</v>
      </c>
      <c r="AE186">
        <v>7</v>
      </c>
      <c r="AF186">
        <v>89.734200000000001</v>
      </c>
      <c r="AG186">
        <v>6.1</v>
      </c>
      <c r="AH186">
        <v>0.87</v>
      </c>
      <c r="AI186">
        <v>3</v>
      </c>
      <c r="AJ186">
        <v>2.7</v>
      </c>
      <c r="AK186">
        <v>3.3</v>
      </c>
      <c r="AL186">
        <v>63.999400000000001</v>
      </c>
      <c r="AM186">
        <v>1.3</v>
      </c>
      <c r="AN186">
        <v>1081</v>
      </c>
      <c r="AO186">
        <v>0</v>
      </c>
      <c r="AP186">
        <v>99.915199999999999</v>
      </c>
      <c r="AQ186">
        <v>99.063100000000006</v>
      </c>
      <c r="AR186">
        <v>96.877899999999997</v>
      </c>
      <c r="AT186">
        <v>96.610900000000001</v>
      </c>
      <c r="AU186">
        <v>6.8784000000000001</v>
      </c>
      <c r="AV186" s="19">
        <v>68.095200000000006</v>
      </c>
      <c r="AW186">
        <v>0.5</v>
      </c>
      <c r="AX186">
        <v>21</v>
      </c>
      <c r="AY186">
        <v>7</v>
      </c>
      <c r="AZ186">
        <v>6</v>
      </c>
      <c r="BA186">
        <v>90.401700000000005</v>
      </c>
      <c r="BB186">
        <v>23.7624</v>
      </c>
      <c r="BC186">
        <v>4.9873000000000003</v>
      </c>
      <c r="BD186" s="19">
        <v>3.093</v>
      </c>
      <c r="BE186" s="19">
        <v>93.333299999999994</v>
      </c>
      <c r="BF186">
        <v>13.047000000000001</v>
      </c>
      <c r="BG186">
        <v>27.2</v>
      </c>
      <c r="BH186" s="20">
        <v>1.2431000000000001</v>
      </c>
      <c r="BI186" s="20">
        <v>3296.3726000000001</v>
      </c>
      <c r="BJ186" s="19">
        <v>85.714299999999994</v>
      </c>
      <c r="BK186">
        <v>1.0015000000000001</v>
      </c>
      <c r="BL186">
        <v>1.0044999999999999</v>
      </c>
      <c r="BM186">
        <v>1.0074000000000001</v>
      </c>
      <c r="BN186">
        <v>6</v>
      </c>
      <c r="BO186">
        <v>9.5690000000000008</v>
      </c>
      <c r="BP186">
        <v>15.05</v>
      </c>
      <c r="BQ186" s="19">
        <v>101.9504</v>
      </c>
      <c r="BR186">
        <v>81.283299999999997</v>
      </c>
      <c r="BS186" s="20">
        <v>6.8819999999999997</v>
      </c>
      <c r="BT186" s="20">
        <v>6.8819999999999997</v>
      </c>
      <c r="BU186" s="20">
        <v>14.125</v>
      </c>
      <c r="BV186" s="20">
        <v>14.135</v>
      </c>
      <c r="BW186" s="19">
        <v>89.162599999999998</v>
      </c>
      <c r="BX186">
        <v>20.260000000000002</v>
      </c>
      <c r="BY186" s="5">
        <v>3324914</v>
      </c>
      <c r="BZ186" s="6">
        <v>6228128</v>
      </c>
      <c r="CA186" s="7">
        <f t="shared" si="10"/>
        <v>1.8731696519067862</v>
      </c>
      <c r="CB186">
        <v>1315790</v>
      </c>
      <c r="CC186" s="8">
        <f t="shared" si="11"/>
        <v>4.7333753866498451</v>
      </c>
      <c r="CD186" s="8">
        <f t="shared" si="12"/>
        <v>2.5269336292265483</v>
      </c>
      <c r="CE186">
        <v>45336</v>
      </c>
      <c r="CF186" s="8">
        <f t="shared" si="13"/>
        <v>73.339377095464968</v>
      </c>
      <c r="CG186" s="8">
        <f t="shared" si="14"/>
        <v>137.37709546497265</v>
      </c>
      <c r="CH186">
        <v>100.76067</v>
      </c>
    </row>
    <row r="187" spans="1:86" ht="15.5" x14ac:dyDescent="0.35">
      <c r="A187" t="s">
        <v>93</v>
      </c>
      <c r="B187">
        <v>2017</v>
      </c>
      <c r="C187" s="2">
        <v>55.625</v>
      </c>
      <c r="D187">
        <v>19560.349999999999</v>
      </c>
      <c r="E187">
        <v>0.40339999999999998</v>
      </c>
      <c r="F187">
        <v>16.1097</v>
      </c>
      <c r="G187">
        <v>19000</v>
      </c>
      <c r="H187">
        <v>9</v>
      </c>
      <c r="I187" s="19">
        <v>104.48</v>
      </c>
      <c r="J187" s="19">
        <v>105.15</v>
      </c>
      <c r="K187" s="19">
        <v>3.3260000000000001</v>
      </c>
      <c r="L187" s="19">
        <v>86.666700000000006</v>
      </c>
      <c r="M187" s="19">
        <v>463000000</v>
      </c>
      <c r="N187" s="19">
        <v>113.4205</v>
      </c>
      <c r="O187">
        <v>34.728000000000002</v>
      </c>
      <c r="P187">
        <v>32.521999999999998</v>
      </c>
      <c r="Q187" s="19">
        <v>20844.173999999999</v>
      </c>
      <c r="R187" s="19">
        <v>19270.8138</v>
      </c>
      <c r="S187" s="19">
        <v>5.5068999999999999</v>
      </c>
      <c r="T187" s="19">
        <v>39939.458100000003</v>
      </c>
      <c r="U187" s="19">
        <v>34506.648699999998</v>
      </c>
      <c r="V187">
        <v>30.4</v>
      </c>
      <c r="W187" s="19">
        <v>82.857100000000003</v>
      </c>
      <c r="X187">
        <v>93</v>
      </c>
      <c r="Y187">
        <v>92</v>
      </c>
      <c r="Z187">
        <v>93</v>
      </c>
      <c r="AA187">
        <v>2.2000000000000002</v>
      </c>
      <c r="AB187">
        <v>88.1</v>
      </c>
      <c r="AC187">
        <v>78.092699999999994</v>
      </c>
      <c r="AD187">
        <v>102.244</v>
      </c>
      <c r="AE187">
        <v>5</v>
      </c>
      <c r="AF187">
        <v>89.990399999999994</v>
      </c>
      <c r="AG187">
        <v>4.0999999999999996</v>
      </c>
      <c r="AH187">
        <v>0.56000000000000005</v>
      </c>
      <c r="AI187">
        <v>2.8</v>
      </c>
      <c r="AJ187">
        <v>2.5</v>
      </c>
      <c r="AK187">
        <v>3.1</v>
      </c>
      <c r="AL187">
        <v>64.099000000000004</v>
      </c>
      <c r="AM187">
        <v>1.3</v>
      </c>
      <c r="AN187">
        <v>5202</v>
      </c>
      <c r="AO187">
        <v>0</v>
      </c>
      <c r="AP187">
        <v>99.939099999999996</v>
      </c>
      <c r="AQ187">
        <v>99.067999999999998</v>
      </c>
      <c r="AR187">
        <v>96.91</v>
      </c>
      <c r="AT187">
        <v>96.807000000000002</v>
      </c>
      <c r="AU187">
        <v>6.1548999999999996</v>
      </c>
      <c r="AV187" s="19">
        <v>68.571399999999997</v>
      </c>
      <c r="AW187">
        <v>0.3</v>
      </c>
      <c r="AX187">
        <v>21.9</v>
      </c>
      <c r="AY187">
        <v>7</v>
      </c>
      <c r="AZ187">
        <v>6</v>
      </c>
      <c r="BA187">
        <v>90.4191</v>
      </c>
      <c r="BB187">
        <v>26.732700000000001</v>
      </c>
      <c r="BC187">
        <v>4.8484999999999996</v>
      </c>
      <c r="BD187" s="19">
        <v>5.6349999999999998</v>
      </c>
      <c r="BE187" s="19">
        <v>93.333299999999994</v>
      </c>
      <c r="BF187">
        <v>14.1225</v>
      </c>
      <c r="BG187">
        <v>27.5</v>
      </c>
      <c r="BH187" s="20">
        <v>1.2767999999999999</v>
      </c>
      <c r="BI187" s="20">
        <v>3552.4652999999998</v>
      </c>
      <c r="BJ187" s="19">
        <v>85.714299999999994</v>
      </c>
      <c r="BK187">
        <v>1.0004999999999999</v>
      </c>
      <c r="BL187">
        <v>1.0118</v>
      </c>
      <c r="BM187">
        <v>1.0226999999999999</v>
      </c>
      <c r="BN187">
        <v>6</v>
      </c>
      <c r="BO187">
        <v>10.026</v>
      </c>
      <c r="BP187">
        <v>17.89</v>
      </c>
      <c r="BQ187" s="19">
        <v>100.5121</v>
      </c>
      <c r="BR187">
        <v>83.592299999999994</v>
      </c>
      <c r="BS187" s="20">
        <v>5.8070000000000004</v>
      </c>
      <c r="BT187" s="20">
        <v>5.8070000000000004</v>
      </c>
      <c r="BU187" s="20">
        <v>12.175000000000001</v>
      </c>
      <c r="BV187" s="20">
        <v>12.188000000000001</v>
      </c>
      <c r="BW187" s="19">
        <v>89.655199999999994</v>
      </c>
      <c r="BX187">
        <v>19.52</v>
      </c>
      <c r="BY187" s="5">
        <v>3544932</v>
      </c>
      <c r="BZ187" s="6">
        <v>6509299</v>
      </c>
      <c r="CA187" s="7">
        <f t="shared" si="10"/>
        <v>1.8362267597798774</v>
      </c>
      <c r="CB187">
        <v>1317384</v>
      </c>
      <c r="CC187" s="8">
        <f t="shared" si="11"/>
        <v>4.9410794422886566</v>
      </c>
      <c r="CD187" s="8">
        <f t="shared" si="12"/>
        <v>2.69088739501922</v>
      </c>
      <c r="CE187">
        <v>45336</v>
      </c>
      <c r="CF187" s="8">
        <f t="shared" si="13"/>
        <v>78.192429857067225</v>
      </c>
      <c r="CG187" s="8">
        <f t="shared" si="14"/>
        <v>143.57903211575788</v>
      </c>
      <c r="CH187">
        <v>102.87237</v>
      </c>
    </row>
    <row r="188" spans="1:86" ht="15.5" x14ac:dyDescent="0.35">
      <c r="A188" t="s">
        <v>93</v>
      </c>
      <c r="B188">
        <v>2018</v>
      </c>
      <c r="C188" s="2">
        <v>56.3461</v>
      </c>
      <c r="D188">
        <v>17938.259999999998</v>
      </c>
      <c r="E188">
        <v>0.4098</v>
      </c>
      <c r="F188">
        <v>16.9132</v>
      </c>
      <c r="G188">
        <v>19000</v>
      </c>
      <c r="H188">
        <v>9</v>
      </c>
      <c r="I188" s="19">
        <v>108.045</v>
      </c>
      <c r="J188" s="19">
        <v>108.64</v>
      </c>
      <c r="K188" s="19">
        <v>3.5790000000000002</v>
      </c>
      <c r="L188" s="19">
        <v>90</v>
      </c>
      <c r="M188" s="19">
        <v>173000000</v>
      </c>
      <c r="N188" s="19">
        <v>132.5729</v>
      </c>
      <c r="O188">
        <v>33.496000000000002</v>
      </c>
      <c r="P188">
        <v>33.372500000000002</v>
      </c>
      <c r="Q188" s="19">
        <v>23628.862000000001</v>
      </c>
      <c r="R188" s="19">
        <v>19914.3446</v>
      </c>
      <c r="S188" s="19">
        <v>3.3393999999999999</v>
      </c>
      <c r="T188" s="19">
        <v>41273.198900000003</v>
      </c>
      <c r="U188" s="19">
        <v>37120.987999999998</v>
      </c>
      <c r="V188">
        <v>30.3</v>
      </c>
      <c r="W188" s="19">
        <v>83.333299999999994</v>
      </c>
      <c r="X188">
        <v>92</v>
      </c>
      <c r="Y188">
        <v>93</v>
      </c>
      <c r="Z188">
        <v>87</v>
      </c>
      <c r="AA188">
        <v>2</v>
      </c>
      <c r="AB188">
        <v>89.4</v>
      </c>
      <c r="AC188">
        <v>78.243899999999996</v>
      </c>
      <c r="AD188">
        <v>99.694000000000003</v>
      </c>
      <c r="AE188">
        <v>5</v>
      </c>
      <c r="AF188">
        <v>90.064099999999996</v>
      </c>
      <c r="AG188">
        <v>5.7</v>
      </c>
      <c r="AH188">
        <v>0.87</v>
      </c>
      <c r="AI188">
        <v>2.7</v>
      </c>
      <c r="AJ188">
        <v>2.4</v>
      </c>
      <c r="AK188">
        <v>2.9</v>
      </c>
      <c r="AL188">
        <v>64.031499999999994</v>
      </c>
      <c r="AM188">
        <v>1.2</v>
      </c>
      <c r="AN188">
        <v>7089</v>
      </c>
      <c r="AO188">
        <v>0</v>
      </c>
      <c r="AP188">
        <v>99.963200000000001</v>
      </c>
      <c r="AQ188">
        <v>99.072699999999998</v>
      </c>
      <c r="AR188">
        <v>96.942800000000005</v>
      </c>
      <c r="AT188">
        <v>97.003600000000006</v>
      </c>
      <c r="AU188">
        <v>7.7967000000000004</v>
      </c>
      <c r="AV188" s="19">
        <v>65.094300000000004</v>
      </c>
      <c r="AW188">
        <v>0.2</v>
      </c>
      <c r="AX188">
        <v>21.7</v>
      </c>
      <c r="AY188">
        <v>7</v>
      </c>
      <c r="AZ188">
        <v>6</v>
      </c>
      <c r="BA188">
        <v>90.440799999999996</v>
      </c>
      <c r="BB188">
        <v>26.732700000000001</v>
      </c>
      <c r="BC188">
        <v>4.9241000000000001</v>
      </c>
      <c r="BD188" s="19">
        <v>3.7</v>
      </c>
      <c r="BE188" s="19">
        <v>91.904799999999994</v>
      </c>
      <c r="BF188">
        <v>16.0854</v>
      </c>
      <c r="BG188">
        <v>28.6</v>
      </c>
      <c r="BH188" s="20">
        <v>1.41</v>
      </c>
      <c r="BI188" s="20">
        <v>3766.0814999999998</v>
      </c>
      <c r="BJ188" s="19">
        <v>85.714299999999994</v>
      </c>
      <c r="BK188">
        <v>1.0025999999999999</v>
      </c>
      <c r="BL188">
        <v>1.0158</v>
      </c>
      <c r="BM188">
        <v>1.0286999999999999</v>
      </c>
      <c r="BN188">
        <v>6</v>
      </c>
      <c r="BO188">
        <v>10.348000000000001</v>
      </c>
      <c r="BP188">
        <v>15.78</v>
      </c>
      <c r="BQ188" s="19">
        <v>101.0115</v>
      </c>
      <c r="BR188">
        <v>84.300899999999999</v>
      </c>
      <c r="BS188" s="20">
        <v>5.4119999999999999</v>
      </c>
      <c r="BT188" s="20">
        <v>5.4119999999999999</v>
      </c>
      <c r="BU188" s="20">
        <v>12.076000000000001</v>
      </c>
      <c r="BV188" s="20">
        <v>12.097</v>
      </c>
      <c r="BW188" s="19">
        <v>88.834999999999994</v>
      </c>
      <c r="BX188">
        <v>19.32</v>
      </c>
      <c r="BY188" s="5">
        <v>3591495</v>
      </c>
      <c r="BZ188" s="6">
        <v>6630315</v>
      </c>
      <c r="CA188" s="7">
        <f t="shared" si="10"/>
        <v>1.8461156148066473</v>
      </c>
      <c r="CB188">
        <v>1321977</v>
      </c>
      <c r="CC188" s="8">
        <f t="shared" si="11"/>
        <v>5.0154541266602974</v>
      </c>
      <c r="CD188" s="8">
        <f t="shared" si="12"/>
        <v>2.7167605790418441</v>
      </c>
      <c r="CE188">
        <v>45336</v>
      </c>
      <c r="CF188" s="8">
        <f t="shared" si="13"/>
        <v>79.219494441503443</v>
      </c>
      <c r="CG188" s="8">
        <f t="shared" si="14"/>
        <v>146.24834568554792</v>
      </c>
      <c r="CH188">
        <v>105.3603</v>
      </c>
    </row>
    <row r="189" spans="1:86" ht="15.5" x14ac:dyDescent="0.35">
      <c r="A189" t="s">
        <v>93</v>
      </c>
      <c r="B189">
        <v>2019</v>
      </c>
      <c r="C189" s="2">
        <v>57.063499999999998</v>
      </c>
      <c r="D189">
        <v>17783.79</v>
      </c>
      <c r="E189">
        <v>0.25990000000000002</v>
      </c>
      <c r="F189">
        <v>11.084300000000001</v>
      </c>
      <c r="G189">
        <v>19000</v>
      </c>
      <c r="H189">
        <v>9</v>
      </c>
      <c r="I189" s="19">
        <v>110.496</v>
      </c>
      <c r="J189" s="19">
        <v>110.59</v>
      </c>
      <c r="K189" s="19">
        <v>3.831</v>
      </c>
      <c r="L189" s="19">
        <v>90.952399999999997</v>
      </c>
      <c r="M189" s="19">
        <v>641000000</v>
      </c>
      <c r="N189" s="19">
        <v>125.43819999999999</v>
      </c>
      <c r="O189">
        <v>35.499000000000002</v>
      </c>
      <c r="P189">
        <v>33.8508</v>
      </c>
      <c r="Q189" s="19">
        <v>24023.899000000001</v>
      </c>
      <c r="R189" s="19">
        <v>20579.875499999998</v>
      </c>
      <c r="S189" s="19">
        <v>3.3420000000000001</v>
      </c>
      <c r="T189" s="19">
        <v>42652.5357</v>
      </c>
      <c r="U189" s="19">
        <v>40586.378400000001</v>
      </c>
      <c r="V189">
        <v>30.8</v>
      </c>
      <c r="W189" s="19">
        <v>84.761899999999997</v>
      </c>
      <c r="X189">
        <v>91</v>
      </c>
      <c r="Y189">
        <v>91</v>
      </c>
      <c r="Z189">
        <v>88</v>
      </c>
      <c r="AA189">
        <v>1.9</v>
      </c>
      <c r="AB189">
        <v>90.2</v>
      </c>
      <c r="AC189">
        <v>78.646299999999997</v>
      </c>
      <c r="AD189">
        <v>101.1542</v>
      </c>
      <c r="AE189">
        <v>6</v>
      </c>
      <c r="AF189">
        <v>90.101600000000005</v>
      </c>
      <c r="AG189">
        <v>4.5</v>
      </c>
      <c r="AH189">
        <v>0.66</v>
      </c>
      <c r="AI189">
        <v>2.5</v>
      </c>
      <c r="AJ189">
        <v>2.2999999999999998</v>
      </c>
      <c r="AK189">
        <v>2.8</v>
      </c>
      <c r="AL189">
        <v>64.256299999999996</v>
      </c>
      <c r="AM189">
        <v>1.2</v>
      </c>
      <c r="AN189">
        <v>5386</v>
      </c>
      <c r="AO189">
        <v>0</v>
      </c>
      <c r="AP189">
        <v>99.987300000000005</v>
      </c>
      <c r="AQ189">
        <v>99.077200000000005</v>
      </c>
      <c r="AR189">
        <v>96.975999999999999</v>
      </c>
      <c r="AT189">
        <v>97.140100000000004</v>
      </c>
      <c r="AU189">
        <v>6.8448000000000002</v>
      </c>
      <c r="AV189" s="19">
        <v>67.452799999999996</v>
      </c>
      <c r="AW189">
        <v>0.6</v>
      </c>
      <c r="AX189">
        <v>20.7</v>
      </c>
      <c r="AY189">
        <v>7</v>
      </c>
      <c r="AZ189">
        <v>6</v>
      </c>
      <c r="BA189">
        <v>90.412499999999994</v>
      </c>
      <c r="BB189">
        <v>29.702999999999999</v>
      </c>
      <c r="BC189">
        <v>5.0697000000000001</v>
      </c>
      <c r="BD189" s="19">
        <v>3.7269999999999999</v>
      </c>
      <c r="BE189" s="19">
        <v>92.857100000000003</v>
      </c>
      <c r="BF189">
        <v>28.1355</v>
      </c>
      <c r="BG189">
        <v>31.3</v>
      </c>
      <c r="BH189" s="20">
        <v>1.6206</v>
      </c>
      <c r="BI189" s="20">
        <v>3770.4202</v>
      </c>
      <c r="BJ189" s="19">
        <v>86.1905</v>
      </c>
      <c r="BK189">
        <v>1.0078</v>
      </c>
      <c r="BL189">
        <v>1.022</v>
      </c>
      <c r="BM189">
        <v>1.0362</v>
      </c>
      <c r="BN189">
        <v>6</v>
      </c>
      <c r="BO189">
        <v>7.86</v>
      </c>
      <c r="BP189">
        <v>15.61</v>
      </c>
      <c r="BQ189" s="19">
        <v>100.6001</v>
      </c>
      <c r="BR189">
        <v>85.081800000000001</v>
      </c>
      <c r="BS189" s="20">
        <v>4.5140000000000002</v>
      </c>
      <c r="BT189" s="20">
        <v>4.5140000000000002</v>
      </c>
      <c r="BU189" s="20">
        <v>11.622999999999999</v>
      </c>
      <c r="BV189" s="20">
        <v>11.657</v>
      </c>
      <c r="BW189" s="19">
        <v>87.439599999999999</v>
      </c>
      <c r="BX189">
        <v>16.46</v>
      </c>
      <c r="BY189" s="5">
        <v>3789955</v>
      </c>
      <c r="BZ189" s="6">
        <v>6967047</v>
      </c>
      <c r="CA189" s="7">
        <f t="shared" si="10"/>
        <v>1.8382928029488477</v>
      </c>
      <c r="CB189">
        <v>1326898</v>
      </c>
      <c r="CC189" s="8">
        <f t="shared" si="11"/>
        <v>5.2506274031613582</v>
      </c>
      <c r="CD189" s="8">
        <f t="shared" si="12"/>
        <v>2.8562519500368531</v>
      </c>
      <c r="CE189">
        <v>45336</v>
      </c>
      <c r="CF189" s="8">
        <f t="shared" si="13"/>
        <v>83.597031056996641</v>
      </c>
      <c r="CG189" s="8">
        <f t="shared" si="14"/>
        <v>153.67582053996824</v>
      </c>
      <c r="CH189">
        <v>106.53440999999999</v>
      </c>
    </row>
    <row r="190" spans="1:86" ht="15.5" x14ac:dyDescent="0.35">
      <c r="A190" t="s">
        <v>93</v>
      </c>
      <c r="B190">
        <v>2020</v>
      </c>
      <c r="C190" s="2">
        <v>57.8245</v>
      </c>
      <c r="D190">
        <v>17774.27</v>
      </c>
      <c r="E190">
        <v>0.2089</v>
      </c>
      <c r="F190">
        <v>8.6353000000000009</v>
      </c>
      <c r="G190">
        <v>19000</v>
      </c>
      <c r="H190">
        <v>9</v>
      </c>
      <c r="I190" s="19">
        <v>109.795</v>
      </c>
      <c r="J190" s="19">
        <v>109.62</v>
      </c>
      <c r="K190" s="19">
        <v>2.9140000000000001</v>
      </c>
      <c r="L190" s="19">
        <v>92.381</v>
      </c>
      <c r="M190" s="19">
        <v>-803000000</v>
      </c>
      <c r="N190" s="19">
        <v>127.46040000000001</v>
      </c>
      <c r="O190">
        <v>35.872</v>
      </c>
      <c r="P190">
        <v>34.270000000000003</v>
      </c>
      <c r="Q190" s="19">
        <v>23914.829000000002</v>
      </c>
      <c r="R190" s="19">
        <v>19946.945</v>
      </c>
      <c r="S190" s="19">
        <v>-3.0754999999999999</v>
      </c>
      <c r="T190" s="19">
        <v>41340.7644</v>
      </c>
      <c r="U190" s="19">
        <v>40672.133999999998</v>
      </c>
      <c r="V190">
        <v>30.7</v>
      </c>
      <c r="W190" s="19">
        <v>87.619</v>
      </c>
      <c r="X190">
        <v>91</v>
      </c>
      <c r="Y190">
        <v>90</v>
      </c>
      <c r="Z190">
        <v>91</v>
      </c>
      <c r="AA190">
        <v>1.8</v>
      </c>
      <c r="AB190">
        <v>89.1</v>
      </c>
      <c r="AC190">
        <v>78.595100000000002</v>
      </c>
      <c r="AD190">
        <v>98.488</v>
      </c>
      <c r="AE190">
        <v>6</v>
      </c>
      <c r="AF190">
        <v>90.110399999999998</v>
      </c>
      <c r="AH190">
        <v>1.36</v>
      </c>
      <c r="AI190">
        <v>2.4</v>
      </c>
      <c r="AJ190">
        <v>2.2000000000000002</v>
      </c>
      <c r="AK190">
        <v>2.7</v>
      </c>
      <c r="AL190">
        <v>64.027600000000007</v>
      </c>
      <c r="AM190">
        <v>1.1000000000000001</v>
      </c>
      <c r="AN190">
        <v>3694</v>
      </c>
      <c r="AO190">
        <v>0</v>
      </c>
      <c r="AP190">
        <v>100</v>
      </c>
      <c r="AQ190">
        <v>99.080799999999996</v>
      </c>
      <c r="AR190">
        <v>96.998400000000004</v>
      </c>
      <c r="AT190">
        <v>97.337000000000003</v>
      </c>
      <c r="AU190">
        <v>6.1456999999999997</v>
      </c>
      <c r="AV190" s="19">
        <v>70.7547</v>
      </c>
      <c r="AW190">
        <v>0.3</v>
      </c>
      <c r="AX190">
        <v>20.6</v>
      </c>
      <c r="AY190">
        <v>7</v>
      </c>
      <c r="AZ190">
        <v>6</v>
      </c>
      <c r="BA190">
        <v>90.419700000000006</v>
      </c>
      <c r="BB190">
        <v>28.712900000000001</v>
      </c>
      <c r="BC190">
        <v>5.8376000000000001</v>
      </c>
      <c r="BD190" s="19">
        <v>-2.8839999999999999</v>
      </c>
      <c r="BE190" s="19">
        <v>92.857100000000003</v>
      </c>
      <c r="BF190">
        <v>48.876100000000001</v>
      </c>
      <c r="BG190" s="24">
        <v>40.4</v>
      </c>
      <c r="BH190" s="20">
        <v>1.7531000000000001</v>
      </c>
      <c r="BI190" s="20">
        <v>3836.3796000000002</v>
      </c>
      <c r="BJ190" s="19">
        <v>88.095200000000006</v>
      </c>
      <c r="BK190">
        <v>1.002</v>
      </c>
      <c r="BL190">
        <v>1.0241</v>
      </c>
      <c r="BM190">
        <v>1.0468</v>
      </c>
      <c r="BN190">
        <v>6</v>
      </c>
      <c r="BO190">
        <v>9.2040000000000006</v>
      </c>
      <c r="BP190">
        <v>17.54</v>
      </c>
      <c r="BQ190" s="19">
        <v>103.0314</v>
      </c>
      <c r="BR190">
        <v>85.081800000000001</v>
      </c>
      <c r="BS190" s="20">
        <v>6.9560000000000004</v>
      </c>
      <c r="BT190" s="20">
        <v>6.9560000000000004</v>
      </c>
      <c r="BU190" s="20">
        <v>18.417000000000002</v>
      </c>
      <c r="BV190" s="20">
        <v>18.489000000000001</v>
      </c>
      <c r="BW190" s="19">
        <v>87.922700000000006</v>
      </c>
      <c r="BX190">
        <v>19.489999999999998</v>
      </c>
      <c r="BY190" s="5">
        <v>1972131</v>
      </c>
      <c r="BZ190" s="6">
        <v>3674012</v>
      </c>
      <c r="CA190" s="7">
        <f t="shared" si="10"/>
        <v>1.8629654926574351</v>
      </c>
      <c r="CB190">
        <v>1329522</v>
      </c>
      <c r="CC190" s="8">
        <f t="shared" si="11"/>
        <v>2.7634082023464073</v>
      </c>
      <c r="CD190" s="8">
        <f t="shared" si="12"/>
        <v>1.483338372738473</v>
      </c>
      <c r="CE190">
        <v>45336</v>
      </c>
      <c r="CF190" s="8">
        <f t="shared" si="13"/>
        <v>43.500330862890415</v>
      </c>
      <c r="CG190" s="8">
        <f t="shared" si="14"/>
        <v>81.03961531674608</v>
      </c>
      <c r="CH190">
        <v>105.35851</v>
      </c>
    </row>
    <row r="191" spans="1:86" ht="15.5" x14ac:dyDescent="0.35">
      <c r="A191" t="s">
        <v>93</v>
      </c>
      <c r="B191">
        <v>2021</v>
      </c>
      <c r="C191" s="2">
        <v>58.266199999999998</v>
      </c>
      <c r="D191">
        <v>17727.310000000001</v>
      </c>
      <c r="E191">
        <v>0.20899999999999999</v>
      </c>
      <c r="F191">
        <v>9.2487999999999992</v>
      </c>
      <c r="G191">
        <v>19000</v>
      </c>
      <c r="H191">
        <v>9</v>
      </c>
      <c r="I191" s="19">
        <v>114.72199999999999</v>
      </c>
      <c r="J191" s="19">
        <v>122.81</v>
      </c>
      <c r="K191" s="19">
        <v>6.2510000000000003</v>
      </c>
      <c r="L191" s="19">
        <v>90</v>
      </c>
      <c r="M191" s="19">
        <v>-1343000000</v>
      </c>
      <c r="N191" s="19">
        <v>167.63829999999999</v>
      </c>
      <c r="O191">
        <v>39.832000000000001</v>
      </c>
      <c r="P191">
        <v>37.357199999999999</v>
      </c>
      <c r="Q191" s="19">
        <v>27972.350999999999</v>
      </c>
      <c r="R191" s="19">
        <v>21351.394899999999</v>
      </c>
      <c r="S191" s="19">
        <v>7.0408999999999997</v>
      </c>
      <c r="T191" s="19">
        <v>44251.537499999999</v>
      </c>
      <c r="U191" s="19">
        <v>44251.537499999999</v>
      </c>
      <c r="V191">
        <v>31.8</v>
      </c>
      <c r="W191" s="19">
        <v>88.571399999999997</v>
      </c>
      <c r="X191">
        <v>90</v>
      </c>
      <c r="Y191">
        <v>84</v>
      </c>
      <c r="Z191">
        <v>89</v>
      </c>
      <c r="AA191">
        <v>1.8</v>
      </c>
      <c r="AB191">
        <v>91</v>
      </c>
      <c r="AC191">
        <v>76.943899999999999</v>
      </c>
      <c r="AD191">
        <v>98.811300000000003</v>
      </c>
      <c r="AE191">
        <v>8</v>
      </c>
      <c r="AH191">
        <v>1.42</v>
      </c>
      <c r="AI191">
        <v>2.2999999999999998</v>
      </c>
      <c r="AJ191">
        <v>2.1</v>
      </c>
      <c r="AK191">
        <v>2.5</v>
      </c>
      <c r="AL191">
        <v>64.473600000000005</v>
      </c>
      <c r="AM191">
        <v>1.1000000000000001</v>
      </c>
      <c r="AN191">
        <v>7043</v>
      </c>
      <c r="AO191">
        <v>0</v>
      </c>
      <c r="AP191">
        <v>100</v>
      </c>
      <c r="AQ191">
        <v>99.070499999999996</v>
      </c>
      <c r="AR191">
        <v>97.008700000000005</v>
      </c>
      <c r="AT191">
        <v>97.533900000000003</v>
      </c>
      <c r="AV191" s="19">
        <v>70.7547</v>
      </c>
      <c r="AW191">
        <v>0.3</v>
      </c>
      <c r="AX191">
        <v>22.8</v>
      </c>
      <c r="AY191">
        <v>7</v>
      </c>
      <c r="AZ191">
        <v>6</v>
      </c>
      <c r="BA191">
        <v>90.4178</v>
      </c>
      <c r="BB191">
        <v>25.742599999999999</v>
      </c>
      <c r="BC191">
        <v>5.6878000000000002</v>
      </c>
      <c r="BD191" s="19">
        <v>7.1539999999999999</v>
      </c>
      <c r="BE191" s="19">
        <v>92.857100000000003</v>
      </c>
      <c r="BF191">
        <v>39.9574</v>
      </c>
      <c r="BG191">
        <v>38</v>
      </c>
      <c r="BH191" s="20">
        <v>1.7677</v>
      </c>
      <c r="BI191" s="20">
        <v>4036.1313</v>
      </c>
      <c r="BJ191" s="19">
        <v>88.571399999999997</v>
      </c>
      <c r="BN191">
        <v>6</v>
      </c>
      <c r="BO191">
        <v>10.920999999999999</v>
      </c>
      <c r="BP191">
        <v>14.94</v>
      </c>
      <c r="BQ191" s="19">
        <v>100.93389999999999</v>
      </c>
      <c r="BS191" s="20">
        <v>6.1779999999999999</v>
      </c>
      <c r="BT191" s="20">
        <v>6.1779999999999999</v>
      </c>
      <c r="BU191" s="20">
        <v>16.622</v>
      </c>
      <c r="BV191" s="20">
        <v>16.712</v>
      </c>
      <c r="BW191" s="19">
        <v>88.405799999999999</v>
      </c>
      <c r="BX191">
        <v>19.7</v>
      </c>
      <c r="BY191" s="5">
        <v>2138346</v>
      </c>
      <c r="BZ191" s="6">
        <v>3998997</v>
      </c>
      <c r="CA191" s="7">
        <f t="shared" si="10"/>
        <v>1.8701356094850881</v>
      </c>
      <c r="CB191">
        <v>1330932</v>
      </c>
      <c r="CC191" s="8">
        <f t="shared" si="11"/>
        <v>3.0046591411131449</v>
      </c>
      <c r="CD191" s="8">
        <f t="shared" si="12"/>
        <v>1.6066530822010441</v>
      </c>
      <c r="CE191">
        <v>45336</v>
      </c>
      <c r="CF191" s="8">
        <f t="shared" si="13"/>
        <v>47.166622551614608</v>
      </c>
      <c r="CG191" s="8">
        <f t="shared" si="14"/>
        <v>88.207980412916882</v>
      </c>
      <c r="CH191">
        <v>106.74339000000001</v>
      </c>
    </row>
    <row r="192" spans="1:86" ht="15.5" x14ac:dyDescent="0.35">
      <c r="A192" t="s">
        <v>93</v>
      </c>
      <c r="B192">
        <v>2022</v>
      </c>
      <c r="C192" s="2">
        <v>58.386200000000002</v>
      </c>
      <c r="E192">
        <v>0.21360000000000001</v>
      </c>
      <c r="F192">
        <v>9.3325999999999993</v>
      </c>
      <c r="H192">
        <v>9</v>
      </c>
      <c r="I192" s="19">
        <v>137.03200000000001</v>
      </c>
      <c r="J192" s="19">
        <v>144.30000000000001</v>
      </c>
      <c r="K192" s="19">
        <v>8.7970000000000006</v>
      </c>
      <c r="L192" s="19">
        <v>91.037700000000001</v>
      </c>
      <c r="M192" s="19">
        <v>-1496000000</v>
      </c>
      <c r="N192" s="19"/>
      <c r="O192">
        <v>38.274999999999999</v>
      </c>
      <c r="P192">
        <v>38.066000000000003</v>
      </c>
      <c r="Q192" s="19">
        <v>28473.526000000002</v>
      </c>
      <c r="R192" s="19">
        <v>21080.651999999998</v>
      </c>
      <c r="S192" s="19">
        <v>-1.268</v>
      </c>
      <c r="T192" s="19">
        <v>43690.413099999998</v>
      </c>
      <c r="U192" s="19">
        <v>47802.007299999997</v>
      </c>
      <c r="W192" s="19">
        <v>89.622600000000006</v>
      </c>
      <c r="X192">
        <v>90</v>
      </c>
      <c r="Y192">
        <v>84</v>
      </c>
      <c r="Z192">
        <v>89</v>
      </c>
      <c r="AA192">
        <v>1.7</v>
      </c>
      <c r="AB192">
        <v>91.5</v>
      </c>
      <c r="AC192">
        <v>77.843900000000005</v>
      </c>
      <c r="AD192">
        <v>99.961699999999993</v>
      </c>
      <c r="AE192">
        <v>7</v>
      </c>
      <c r="AI192">
        <v>2.2000000000000002</v>
      </c>
      <c r="AJ192">
        <v>2</v>
      </c>
      <c r="AK192">
        <v>2.4</v>
      </c>
      <c r="AL192">
        <v>64.516400000000004</v>
      </c>
      <c r="AM192">
        <v>1</v>
      </c>
      <c r="AN192">
        <v>39754</v>
      </c>
      <c r="AO192">
        <v>0</v>
      </c>
      <c r="AP192">
        <v>100</v>
      </c>
      <c r="AQ192">
        <v>99.060199999999995</v>
      </c>
      <c r="AR192">
        <v>97.019400000000005</v>
      </c>
      <c r="AT192">
        <v>97.730800000000002</v>
      </c>
      <c r="AV192" s="19">
        <v>71.226399999999998</v>
      </c>
      <c r="AX192">
        <v>22.5</v>
      </c>
      <c r="AY192">
        <v>7</v>
      </c>
      <c r="AZ192">
        <v>6</v>
      </c>
      <c r="BA192">
        <v>90.4208</v>
      </c>
      <c r="BB192">
        <v>25.742599999999999</v>
      </c>
      <c r="BC192">
        <v>5.2247000000000003</v>
      </c>
      <c r="BD192" s="19">
        <v>0.06</v>
      </c>
      <c r="BE192" s="19">
        <v>92.924499999999995</v>
      </c>
      <c r="BG192" s="23">
        <v>38.542000000000002</v>
      </c>
      <c r="BH192" s="20">
        <v>1.7821</v>
      </c>
      <c r="BI192" s="20">
        <v>4654.8545000000004</v>
      </c>
      <c r="BJ192" s="19">
        <v>89.622600000000006</v>
      </c>
      <c r="BN192">
        <v>6</v>
      </c>
      <c r="BO192">
        <v>10.734999999999999</v>
      </c>
      <c r="BQ192" s="19"/>
      <c r="BS192" s="20">
        <v>5.5709999999999997</v>
      </c>
      <c r="BT192" s="20">
        <v>5.5709999999999997</v>
      </c>
      <c r="BU192" s="20">
        <v>18.391999999999999</v>
      </c>
      <c r="BV192" s="20">
        <v>18.561</v>
      </c>
      <c r="BW192" s="19">
        <v>87.922700000000006</v>
      </c>
      <c r="BX192">
        <v>20.53</v>
      </c>
      <c r="BY192" s="5">
        <v>3252898</v>
      </c>
      <c r="BZ192" s="6">
        <v>5950873</v>
      </c>
      <c r="CA192" s="7">
        <f t="shared" si="10"/>
        <v>1.8294065783802627</v>
      </c>
      <c r="CB192">
        <v>1348840</v>
      </c>
      <c r="CC192" s="8">
        <f t="shared" si="11"/>
        <v>4.4118449927344976</v>
      </c>
      <c r="CD192" s="8">
        <f t="shared" si="12"/>
        <v>2.4116262862904421</v>
      </c>
      <c r="CE192">
        <v>45336</v>
      </c>
      <c r="CF192" s="8">
        <f t="shared" si="13"/>
        <v>71.750882301041116</v>
      </c>
      <c r="CG192" s="8">
        <f t="shared" si="14"/>
        <v>131.26153608611259</v>
      </c>
      <c r="CH192">
        <v>116.75324000000001</v>
      </c>
    </row>
    <row r="193" spans="1:86" ht="15.5" x14ac:dyDescent="0.35">
      <c r="A193" t="s">
        <v>93</v>
      </c>
      <c r="B193">
        <v>2023</v>
      </c>
      <c r="C193" s="26">
        <v>58.4343</v>
      </c>
      <c r="E193">
        <v>0.2001</v>
      </c>
      <c r="F193">
        <v>8.3460000000000001</v>
      </c>
      <c r="H193">
        <v>9</v>
      </c>
      <c r="I193" s="19">
        <v>149.523</v>
      </c>
      <c r="J193" s="19">
        <v>150.44999999999999</v>
      </c>
      <c r="K193" s="19">
        <v>6.0270000000000001</v>
      </c>
      <c r="L193" s="19">
        <v>91.509399999999999</v>
      </c>
      <c r="M193" s="19">
        <v>-718000000</v>
      </c>
      <c r="N193" s="19"/>
      <c r="P193">
        <v>37.748399999999997</v>
      </c>
      <c r="Q193" s="19">
        <v>30142.008999999998</v>
      </c>
      <c r="R193" s="19">
        <v>20123.422200000001</v>
      </c>
      <c r="S193" s="19">
        <v>-4.5407999999999999</v>
      </c>
      <c r="T193" s="19">
        <v>41706.519699999997</v>
      </c>
      <c r="U193" s="19">
        <v>46790.27</v>
      </c>
      <c r="W193" s="19">
        <v>88.679199999999994</v>
      </c>
      <c r="X193">
        <v>90</v>
      </c>
      <c r="Y193">
        <v>84</v>
      </c>
      <c r="Z193">
        <v>89</v>
      </c>
      <c r="AA193">
        <v>1.6</v>
      </c>
      <c r="AB193">
        <v>93.2</v>
      </c>
      <c r="AC193">
        <v>78.490200000000002</v>
      </c>
      <c r="AE193">
        <v>5</v>
      </c>
      <c r="AI193">
        <v>2.1</v>
      </c>
      <c r="AJ193">
        <v>1.9</v>
      </c>
      <c r="AK193">
        <v>2.2999999999999998</v>
      </c>
      <c r="AL193" s="24">
        <v>64.516400000000004</v>
      </c>
      <c r="AM193">
        <v>1</v>
      </c>
      <c r="AN193">
        <v>5717</v>
      </c>
      <c r="AV193" s="19">
        <v>69.194299999999998</v>
      </c>
      <c r="AY193" s="25">
        <v>7</v>
      </c>
      <c r="AZ193">
        <v>6</v>
      </c>
      <c r="BB193">
        <v>28.712900000000001</v>
      </c>
      <c r="BD193" s="19">
        <v>-3.0230000000000001</v>
      </c>
      <c r="BE193" s="19">
        <v>91.037700000000001</v>
      </c>
      <c r="BG193" s="23">
        <v>40.950000000000003</v>
      </c>
      <c r="BH193" s="20"/>
      <c r="BI193" s="20"/>
      <c r="BJ193" s="19">
        <v>89.622600000000006</v>
      </c>
      <c r="BN193">
        <v>6</v>
      </c>
      <c r="BO193">
        <v>9.5950000000000006</v>
      </c>
      <c r="BQ193" s="19"/>
      <c r="BS193" s="20">
        <v>6.3780000000000001</v>
      </c>
      <c r="BT193" s="20">
        <v>6.3780000000000001</v>
      </c>
      <c r="BU193" s="20">
        <v>17.207000000000001</v>
      </c>
      <c r="BV193" s="20">
        <v>17.300999999999998</v>
      </c>
      <c r="BW193" s="19">
        <v>88.725499999999997</v>
      </c>
      <c r="BX193">
        <v>19.670000000000002</v>
      </c>
      <c r="BY193" s="5">
        <v>3425730</v>
      </c>
      <c r="BZ193" s="6">
        <v>6374862</v>
      </c>
      <c r="CA193" s="7">
        <f t="shared" si="10"/>
        <v>1.8608769517737824</v>
      </c>
      <c r="CB193">
        <v>1370286</v>
      </c>
      <c r="CC193" s="8">
        <f t="shared" si="11"/>
        <v>4.6522127497471333</v>
      </c>
      <c r="CD193" s="8">
        <f t="shared" si="12"/>
        <v>2.5000109466199025</v>
      </c>
      <c r="CE193">
        <v>45336</v>
      </c>
      <c r="CF193" s="8">
        <f t="shared" si="13"/>
        <v>75.563128639491794</v>
      </c>
      <c r="CG193" s="8">
        <f t="shared" si="14"/>
        <v>140.61368448914769</v>
      </c>
      <c r="CH193">
        <v>120.59423</v>
      </c>
    </row>
    <row r="194" spans="1:86" ht="15.5" x14ac:dyDescent="0.35">
      <c r="A194" t="s">
        <v>94</v>
      </c>
      <c r="B194">
        <v>2000</v>
      </c>
      <c r="C194" s="2">
        <v>49.410200000000003</v>
      </c>
      <c r="D194">
        <v>77057.67</v>
      </c>
      <c r="E194">
        <v>0.23669999999999999</v>
      </c>
      <c r="F194">
        <v>11.1134</v>
      </c>
      <c r="G194">
        <v>70200</v>
      </c>
      <c r="H194">
        <v>9</v>
      </c>
      <c r="I194" s="19">
        <v>76.789000000000001</v>
      </c>
      <c r="J194" s="19">
        <v>77.45</v>
      </c>
      <c r="K194" s="19">
        <v>4.9669999999999996</v>
      </c>
      <c r="L194" s="19">
        <v>100</v>
      </c>
      <c r="M194" s="19">
        <v>9024000000</v>
      </c>
      <c r="N194" s="19">
        <v>76.881600000000006</v>
      </c>
      <c r="O194">
        <v>27.552</v>
      </c>
      <c r="P194">
        <v>0.67620000000000002</v>
      </c>
      <c r="Q194" s="19">
        <v>24369.776000000002</v>
      </c>
      <c r="R194" s="19">
        <v>37872.602200000001</v>
      </c>
      <c r="S194" s="19">
        <v>5.5343999999999998</v>
      </c>
      <c r="T194" s="19">
        <v>46942.157200000001</v>
      </c>
      <c r="U194" s="19">
        <v>26777.114300000001</v>
      </c>
      <c r="V194">
        <v>27.2</v>
      </c>
      <c r="W194" s="19">
        <v>99.453599999999994</v>
      </c>
      <c r="X194">
        <v>99</v>
      </c>
      <c r="Z194">
        <v>96</v>
      </c>
      <c r="AA194">
        <v>3.5</v>
      </c>
      <c r="AB194">
        <v>37.200000000000003</v>
      </c>
      <c r="AC194">
        <v>77.465900000000005</v>
      </c>
      <c r="AE194">
        <v>7</v>
      </c>
      <c r="AF194">
        <v>88.587599999999995</v>
      </c>
      <c r="AG194">
        <v>8.1</v>
      </c>
      <c r="AH194">
        <v>0.55000000000000004</v>
      </c>
      <c r="AI194">
        <v>4.3</v>
      </c>
      <c r="AJ194">
        <v>3.8</v>
      </c>
      <c r="AK194">
        <v>4.7</v>
      </c>
      <c r="AL194">
        <v>69.164100000000005</v>
      </c>
      <c r="AM194">
        <v>2.5</v>
      </c>
      <c r="AN194">
        <v>2497</v>
      </c>
      <c r="AO194">
        <v>0</v>
      </c>
      <c r="AP194">
        <v>100</v>
      </c>
      <c r="AQ194">
        <v>99.4482</v>
      </c>
      <c r="AR194">
        <v>93.810299999999998</v>
      </c>
      <c r="AU194">
        <v>8.0051000000000005</v>
      </c>
      <c r="AV194" s="19">
        <v>99.4709</v>
      </c>
      <c r="AW194">
        <v>0</v>
      </c>
      <c r="AZ194">
        <v>6</v>
      </c>
      <c r="BA194">
        <v>86.482200000000006</v>
      </c>
      <c r="BB194">
        <v>36.5</v>
      </c>
      <c r="BC194">
        <v>5.3711000000000002</v>
      </c>
      <c r="BD194" s="19">
        <v>5.7539999999999996</v>
      </c>
      <c r="BE194" s="19">
        <v>97.282600000000002</v>
      </c>
      <c r="BF194">
        <v>33.409399999999998</v>
      </c>
      <c r="BG194">
        <v>31.7</v>
      </c>
      <c r="BH194" s="20">
        <v>3.2414000000000001</v>
      </c>
      <c r="BI194" s="20"/>
      <c r="BJ194" s="19">
        <v>100</v>
      </c>
      <c r="BK194">
        <v>0.99419999999999997</v>
      </c>
      <c r="BL194">
        <v>1.0484</v>
      </c>
      <c r="BM194">
        <v>1.0933999999999999</v>
      </c>
      <c r="BN194">
        <v>6</v>
      </c>
      <c r="BO194">
        <v>10.096</v>
      </c>
      <c r="BP194">
        <v>24.13</v>
      </c>
      <c r="BQ194" s="19">
        <v>107.49039999999999</v>
      </c>
      <c r="BR194">
        <v>63.594000000000001</v>
      </c>
      <c r="BS194" s="20">
        <v>11.134</v>
      </c>
      <c r="BT194" s="20">
        <v>11.135</v>
      </c>
      <c r="BU194" s="20">
        <v>29.332999999999998</v>
      </c>
      <c r="BV194" s="20">
        <v>28.353000000000002</v>
      </c>
      <c r="BW194" s="19">
        <v>99.502499999999998</v>
      </c>
      <c r="BX194">
        <v>10.82</v>
      </c>
      <c r="BY194" s="5">
        <v>8431087</v>
      </c>
      <c r="BZ194" s="6">
        <v>16042102</v>
      </c>
      <c r="CA194" s="7">
        <f t="shared" si="10"/>
        <v>1.9027323523052246</v>
      </c>
      <c r="CB194">
        <v>5176209</v>
      </c>
      <c r="CC194" s="8">
        <f t="shared" si="11"/>
        <v>3.0991990470245696</v>
      </c>
      <c r="CD194" s="8">
        <f t="shared" si="12"/>
        <v>1.6288150265957191</v>
      </c>
      <c r="CE194">
        <v>338411</v>
      </c>
      <c r="CF194" s="8">
        <f t="shared" si="13"/>
        <v>24.913749848556932</v>
      </c>
      <c r="CG194" s="8">
        <f t="shared" si="14"/>
        <v>47.404197854088665</v>
      </c>
      <c r="CH194">
        <v>100.3575</v>
      </c>
    </row>
    <row r="195" spans="1:86" ht="15.5" x14ac:dyDescent="0.35">
      <c r="A195" t="s">
        <v>94</v>
      </c>
      <c r="B195">
        <v>2001</v>
      </c>
      <c r="C195" s="2">
        <v>49.430599999999998</v>
      </c>
      <c r="D195">
        <v>79604.259999999995</v>
      </c>
      <c r="E195">
        <v>0.25490000000000002</v>
      </c>
      <c r="F195">
        <v>12.253500000000001</v>
      </c>
      <c r="G195">
        <v>75500</v>
      </c>
      <c r="H195">
        <v>9</v>
      </c>
      <c r="I195" s="19">
        <v>78.835999999999999</v>
      </c>
      <c r="J195" s="19">
        <v>79.27</v>
      </c>
      <c r="K195" s="19">
        <v>3.9790000000000001</v>
      </c>
      <c r="L195" s="19"/>
      <c r="M195" s="19">
        <v>9942000000</v>
      </c>
      <c r="N195" s="19">
        <v>72.281599999999997</v>
      </c>
      <c r="O195">
        <v>29.74</v>
      </c>
      <c r="P195">
        <v>2.5829</v>
      </c>
      <c r="Q195" s="19">
        <v>24998.587</v>
      </c>
      <c r="R195" s="19">
        <v>38784.131000000001</v>
      </c>
      <c r="S195" s="19">
        <v>2.4068000000000001</v>
      </c>
      <c r="T195" s="19">
        <v>48071.974699999999</v>
      </c>
      <c r="U195" s="19">
        <v>27801.024799999999</v>
      </c>
      <c r="W195" s="19"/>
      <c r="X195">
        <v>98</v>
      </c>
      <c r="Z195">
        <v>96</v>
      </c>
      <c r="AA195">
        <v>3.4</v>
      </c>
      <c r="AB195">
        <v>43.1</v>
      </c>
      <c r="AC195">
        <v>77.965900000000005</v>
      </c>
      <c r="AE195">
        <v>7</v>
      </c>
      <c r="AF195">
        <v>88.810500000000005</v>
      </c>
      <c r="AG195">
        <v>8.9</v>
      </c>
      <c r="AH195">
        <v>0.59</v>
      </c>
      <c r="AI195">
        <v>4.2</v>
      </c>
      <c r="AJ195">
        <v>3.7</v>
      </c>
      <c r="AK195">
        <v>4.5999999999999996</v>
      </c>
      <c r="AL195">
        <v>69.410899999999998</v>
      </c>
      <c r="AM195">
        <v>2.4</v>
      </c>
      <c r="AN195">
        <v>6241</v>
      </c>
      <c r="AO195">
        <v>0</v>
      </c>
      <c r="AP195">
        <v>100</v>
      </c>
      <c r="AQ195">
        <v>99.4482</v>
      </c>
      <c r="AR195">
        <v>94.207400000000007</v>
      </c>
      <c r="AU195">
        <v>7.9185999999999996</v>
      </c>
      <c r="AV195" s="19"/>
      <c r="AZ195">
        <v>6</v>
      </c>
      <c r="BA195">
        <v>86.642499999999998</v>
      </c>
      <c r="BB195">
        <v>36.5</v>
      </c>
      <c r="BC195">
        <v>5.5263999999999998</v>
      </c>
      <c r="BD195" s="19">
        <v>2.64</v>
      </c>
      <c r="BE195" s="19"/>
      <c r="BF195">
        <v>28.927199999999999</v>
      </c>
      <c r="BG195">
        <v>29.2</v>
      </c>
      <c r="BH195" s="20">
        <v>3.1937000000000002</v>
      </c>
      <c r="BI195" s="20"/>
      <c r="BJ195" s="19"/>
      <c r="BK195">
        <v>0.99490000000000001</v>
      </c>
      <c r="BL195">
        <v>1.0545</v>
      </c>
      <c r="BM195">
        <v>1.1043000000000001</v>
      </c>
      <c r="BN195">
        <v>6</v>
      </c>
      <c r="BO195">
        <v>8.7970000000000006</v>
      </c>
      <c r="BP195">
        <v>24.31</v>
      </c>
      <c r="BQ195" s="19">
        <v>106.68680000000001</v>
      </c>
      <c r="BR195">
        <v>66.116699999999994</v>
      </c>
      <c r="BS195" s="20">
        <v>10.29</v>
      </c>
      <c r="BT195" s="20">
        <v>10.291</v>
      </c>
      <c r="BU195" s="20">
        <v>27.321000000000002</v>
      </c>
      <c r="BV195" s="20">
        <v>26.597999999999999</v>
      </c>
      <c r="BW195" s="19"/>
      <c r="BX195">
        <v>10.61</v>
      </c>
      <c r="BY195" s="5">
        <v>8490219</v>
      </c>
      <c r="BZ195" s="6">
        <v>16211906</v>
      </c>
      <c r="CA195" s="7">
        <f t="shared" ref="CA195:CA258" si="15">BZ195/BY195</f>
        <v>1.9094803090473873</v>
      </c>
      <c r="CB195">
        <v>5188008</v>
      </c>
      <c r="CC195" s="8">
        <f t="shared" ref="CC195:CC258" si="16">BZ195/CB195</f>
        <v>3.1248806863829044</v>
      </c>
      <c r="CD195" s="8">
        <f t="shared" ref="CD195:CD258" si="17">BY195/CB195</f>
        <v>1.6365084633639733</v>
      </c>
      <c r="CE195">
        <v>338411</v>
      </c>
      <c r="CF195" s="8">
        <f t="shared" ref="CF195:CF258" si="18">BY195/CE195</f>
        <v>25.088484121379032</v>
      </c>
      <c r="CG195" s="8">
        <f t="shared" ref="CG195:CG258" si="19">BZ195/CE195</f>
        <v>47.905966413621307</v>
      </c>
      <c r="CH195">
        <v>101.05295</v>
      </c>
    </row>
    <row r="196" spans="1:86" ht="15.5" x14ac:dyDescent="0.35">
      <c r="A196" t="s">
        <v>94</v>
      </c>
      <c r="B196">
        <v>2002</v>
      </c>
      <c r="C196" s="2">
        <v>49.51</v>
      </c>
      <c r="D196">
        <v>82007.8</v>
      </c>
      <c r="E196">
        <v>0.2591</v>
      </c>
      <c r="F196">
        <v>12.6373</v>
      </c>
      <c r="G196">
        <v>78000</v>
      </c>
      <c r="H196">
        <v>9</v>
      </c>
      <c r="I196" s="19">
        <v>80.418000000000006</v>
      </c>
      <c r="J196" s="19">
        <v>80.63</v>
      </c>
      <c r="K196" s="19">
        <v>4.1139999999999999</v>
      </c>
      <c r="L196" s="19">
        <v>100</v>
      </c>
      <c r="M196" s="19">
        <v>10969000000</v>
      </c>
      <c r="N196" s="19">
        <v>75.471500000000006</v>
      </c>
      <c r="O196">
        <v>30.225999999999999</v>
      </c>
      <c r="P196">
        <v>5.2591000000000001</v>
      </c>
      <c r="Q196" s="19">
        <v>26999.895</v>
      </c>
      <c r="R196" s="19">
        <v>39343.07</v>
      </c>
      <c r="S196" s="19">
        <v>1.4412</v>
      </c>
      <c r="T196" s="19">
        <v>48764.765899999999</v>
      </c>
      <c r="U196" s="19">
        <v>28596.260600000001</v>
      </c>
      <c r="W196" s="19">
        <v>100</v>
      </c>
      <c r="X196">
        <v>98</v>
      </c>
      <c r="Z196">
        <v>96</v>
      </c>
      <c r="AA196">
        <v>3.3</v>
      </c>
      <c r="AB196">
        <v>62.4</v>
      </c>
      <c r="AC196">
        <v>78.119500000000002</v>
      </c>
      <c r="AE196">
        <v>7</v>
      </c>
      <c r="AF196">
        <v>89.031400000000005</v>
      </c>
      <c r="AG196">
        <v>8.5</v>
      </c>
      <c r="AH196">
        <v>0.7</v>
      </c>
      <c r="AI196">
        <v>4.0999999999999996</v>
      </c>
      <c r="AJ196">
        <v>3.6</v>
      </c>
      <c r="AK196">
        <v>4.5</v>
      </c>
      <c r="AL196">
        <v>69.750399999999999</v>
      </c>
      <c r="AM196">
        <v>2.2999999999999998</v>
      </c>
      <c r="AN196">
        <v>5255</v>
      </c>
      <c r="AO196">
        <v>0</v>
      </c>
      <c r="AP196">
        <v>100</v>
      </c>
      <c r="AQ196">
        <v>99.4482</v>
      </c>
      <c r="AR196">
        <v>94.604500000000002</v>
      </c>
      <c r="AU196">
        <v>7.8280000000000003</v>
      </c>
      <c r="AV196" s="19">
        <v>100</v>
      </c>
      <c r="AZ196">
        <v>6</v>
      </c>
      <c r="BA196">
        <v>86.802899999999994</v>
      </c>
      <c r="BB196">
        <v>36.5</v>
      </c>
      <c r="BC196">
        <v>5.8597000000000001</v>
      </c>
      <c r="BD196" s="19">
        <v>1.6870000000000001</v>
      </c>
      <c r="BE196" s="19">
        <v>98.378399999999999</v>
      </c>
      <c r="BF196">
        <v>26.4557</v>
      </c>
      <c r="BG196">
        <v>29.5</v>
      </c>
      <c r="BH196" s="20">
        <v>3.2530999999999999</v>
      </c>
      <c r="BI196" s="20"/>
      <c r="BJ196" s="19">
        <v>99.502499999999998</v>
      </c>
      <c r="BK196">
        <v>0.99350000000000005</v>
      </c>
      <c r="BL196">
        <v>1.0566</v>
      </c>
      <c r="BM196">
        <v>1.1096999999999999</v>
      </c>
      <c r="BN196">
        <v>6</v>
      </c>
      <c r="BO196">
        <v>8.4930000000000003</v>
      </c>
      <c r="BP196">
        <v>22.16</v>
      </c>
      <c r="BQ196" s="19">
        <v>108.57850000000001</v>
      </c>
      <c r="BR196">
        <v>64.686199999999999</v>
      </c>
      <c r="BS196" s="20">
        <v>10.423</v>
      </c>
      <c r="BT196" s="20">
        <v>10.423</v>
      </c>
      <c r="BU196" s="20">
        <v>28.8</v>
      </c>
      <c r="BV196" s="20">
        <v>28.216000000000001</v>
      </c>
      <c r="BW196" s="19">
        <v>99.502499999999998</v>
      </c>
      <c r="BX196">
        <v>10.34</v>
      </c>
      <c r="BY196" s="5">
        <v>8430747</v>
      </c>
      <c r="BZ196" s="6">
        <v>15992872</v>
      </c>
      <c r="CA196" s="7">
        <f t="shared" si="15"/>
        <v>1.8969697465716857</v>
      </c>
      <c r="CB196">
        <v>5200598</v>
      </c>
      <c r="CC196" s="8">
        <f t="shared" si="16"/>
        <v>3.0751986598464254</v>
      </c>
      <c r="CD196" s="8">
        <f t="shared" si="17"/>
        <v>1.6211110722266939</v>
      </c>
      <c r="CE196">
        <v>338411</v>
      </c>
      <c r="CF196" s="8">
        <f t="shared" si="18"/>
        <v>24.912745153083087</v>
      </c>
      <c r="CG196" s="8">
        <f t="shared" si="19"/>
        <v>47.258723859449013</v>
      </c>
      <c r="CH196">
        <v>100.68541</v>
      </c>
    </row>
    <row r="197" spans="1:86" ht="15.5" x14ac:dyDescent="0.35">
      <c r="A197" t="s">
        <v>94</v>
      </c>
      <c r="B197">
        <v>2003</v>
      </c>
      <c r="C197" s="2">
        <v>49.641100000000002</v>
      </c>
      <c r="D197">
        <v>89669.29</v>
      </c>
      <c r="E197">
        <v>0.28639999999999999</v>
      </c>
      <c r="F197">
        <v>14.2125</v>
      </c>
      <c r="G197">
        <v>85600</v>
      </c>
      <c r="H197">
        <v>9</v>
      </c>
      <c r="I197" s="19">
        <v>81.456000000000003</v>
      </c>
      <c r="J197" s="19">
        <v>81.59</v>
      </c>
      <c r="K197" s="19">
        <v>3.5779999999999998</v>
      </c>
      <c r="L197" s="19">
        <v>100</v>
      </c>
      <c r="M197" s="19">
        <v>7404000000</v>
      </c>
      <c r="N197" s="19">
        <v>88.888900000000007</v>
      </c>
      <c r="O197">
        <v>30.931999999999999</v>
      </c>
      <c r="P197">
        <v>9.4207999999999998</v>
      </c>
      <c r="Q197" s="19">
        <v>32954.317000000003</v>
      </c>
      <c r="R197" s="19">
        <v>40038.983999999997</v>
      </c>
      <c r="S197" s="19">
        <v>1.7687999999999999</v>
      </c>
      <c r="T197" s="19">
        <v>49627.3341</v>
      </c>
      <c r="U197" s="19">
        <v>29046.409199999998</v>
      </c>
      <c r="V197">
        <v>27.7</v>
      </c>
      <c r="W197" s="19">
        <v>100</v>
      </c>
      <c r="X197">
        <v>98</v>
      </c>
      <c r="Z197">
        <v>97</v>
      </c>
      <c r="AA197">
        <v>3.2</v>
      </c>
      <c r="AB197">
        <v>69.2</v>
      </c>
      <c r="AC197">
        <v>78.368300000000005</v>
      </c>
      <c r="AE197">
        <v>7</v>
      </c>
      <c r="AF197">
        <v>89.221599999999995</v>
      </c>
      <c r="AG197">
        <v>7.9</v>
      </c>
      <c r="AH197">
        <v>0.66</v>
      </c>
      <c r="AI197">
        <v>4</v>
      </c>
      <c r="AJ197">
        <v>3.6</v>
      </c>
      <c r="AK197">
        <v>4.4000000000000004</v>
      </c>
      <c r="AL197">
        <v>69.849999999999994</v>
      </c>
      <c r="AM197">
        <v>2.2000000000000002</v>
      </c>
      <c r="AN197">
        <v>5929</v>
      </c>
      <c r="AO197">
        <v>0</v>
      </c>
      <c r="AP197">
        <v>100</v>
      </c>
      <c r="AQ197">
        <v>99.4482</v>
      </c>
      <c r="AR197">
        <v>95.001499999999993</v>
      </c>
      <c r="AU197">
        <v>7.7337999999999996</v>
      </c>
      <c r="AV197" s="19">
        <v>100</v>
      </c>
      <c r="AW197">
        <v>0</v>
      </c>
      <c r="AX197">
        <v>11</v>
      </c>
      <c r="AZ197">
        <v>6</v>
      </c>
      <c r="BA197">
        <v>86.963300000000004</v>
      </c>
      <c r="BB197">
        <v>37.5</v>
      </c>
      <c r="BC197">
        <v>6.1372999999999998</v>
      </c>
      <c r="BD197" s="19">
        <v>2.012</v>
      </c>
      <c r="BE197" s="19">
        <v>99.459500000000006</v>
      </c>
      <c r="BF197">
        <v>22.608799999999999</v>
      </c>
      <c r="BG197">
        <v>28.4</v>
      </c>
      <c r="BH197" s="20">
        <v>3.2982</v>
      </c>
      <c r="BI197" s="20"/>
      <c r="BJ197" s="19">
        <v>100</v>
      </c>
      <c r="BK197">
        <v>0.99129999999999996</v>
      </c>
      <c r="BL197">
        <v>1.0527</v>
      </c>
      <c r="BM197">
        <v>1.1037999999999999</v>
      </c>
      <c r="BN197">
        <v>6</v>
      </c>
      <c r="BO197">
        <v>11.433999999999999</v>
      </c>
      <c r="BP197">
        <v>21.85</v>
      </c>
      <c r="BQ197" s="19">
        <v>105.2371</v>
      </c>
      <c r="BR197">
        <v>65.0077</v>
      </c>
      <c r="BS197" s="20">
        <v>10.468999999999999</v>
      </c>
      <c r="BT197" s="20">
        <v>10.468999999999999</v>
      </c>
      <c r="BU197" s="20">
        <v>28.102</v>
      </c>
      <c r="BV197" s="20">
        <v>27.812999999999999</v>
      </c>
      <c r="BW197" s="19">
        <v>99.004999999999995</v>
      </c>
      <c r="BX197">
        <v>12.65</v>
      </c>
      <c r="BY197" s="5">
        <v>8493939</v>
      </c>
      <c r="BZ197" s="6">
        <v>16081812</v>
      </c>
      <c r="CA197" s="7">
        <f t="shared" si="15"/>
        <v>1.8933279365439286</v>
      </c>
      <c r="CB197">
        <v>5213014</v>
      </c>
      <c r="CC197" s="8">
        <f t="shared" si="16"/>
        <v>3.0849355094768591</v>
      </c>
      <c r="CD197" s="8">
        <f t="shared" si="17"/>
        <v>1.6293719909442024</v>
      </c>
      <c r="CE197">
        <v>338411</v>
      </c>
      <c r="CF197" s="8">
        <f t="shared" si="18"/>
        <v>25.099476671857595</v>
      </c>
      <c r="CG197" s="8">
        <f t="shared" si="19"/>
        <v>47.52154037546061</v>
      </c>
      <c r="CH197">
        <v>100.42185000000001</v>
      </c>
    </row>
    <row r="198" spans="1:86" ht="15.5" x14ac:dyDescent="0.35">
      <c r="A198" t="s">
        <v>94</v>
      </c>
      <c r="B198">
        <v>2004</v>
      </c>
      <c r="C198" s="2">
        <v>49.853900000000003</v>
      </c>
      <c r="D198">
        <v>86897.35</v>
      </c>
      <c r="E198">
        <v>0.26179999999999998</v>
      </c>
      <c r="F198">
        <v>13.475</v>
      </c>
      <c r="G198">
        <v>81800</v>
      </c>
      <c r="H198">
        <v>9</v>
      </c>
      <c r="I198" s="19">
        <v>81.575999999999993</v>
      </c>
      <c r="J198" s="19">
        <v>81.709999999999994</v>
      </c>
      <c r="K198" s="19">
        <v>4.0730000000000004</v>
      </c>
      <c r="L198" s="19">
        <v>100</v>
      </c>
      <c r="M198" s="19">
        <v>11061000000</v>
      </c>
      <c r="N198" s="19">
        <v>102.8467</v>
      </c>
      <c r="O198">
        <v>30.678999999999998</v>
      </c>
      <c r="P198">
        <v>15.3018</v>
      </c>
      <c r="Q198" s="19">
        <v>37812.031000000003</v>
      </c>
      <c r="R198" s="19">
        <v>41521.962899999999</v>
      </c>
      <c r="S198" s="19">
        <v>3.7038000000000002</v>
      </c>
      <c r="T198" s="19">
        <v>51465.4499</v>
      </c>
      <c r="U198" s="19">
        <v>31199.291499999999</v>
      </c>
      <c r="V198">
        <v>27.9</v>
      </c>
      <c r="W198" s="19">
        <v>99.004999999999995</v>
      </c>
      <c r="X198">
        <v>98</v>
      </c>
      <c r="Z198">
        <v>97</v>
      </c>
      <c r="AA198">
        <v>3.1</v>
      </c>
      <c r="AB198">
        <v>72.400000000000006</v>
      </c>
      <c r="AC198">
        <v>78.714600000000004</v>
      </c>
      <c r="AD198">
        <v>101.2347</v>
      </c>
      <c r="AE198">
        <v>7</v>
      </c>
      <c r="AF198">
        <v>89.205299999999994</v>
      </c>
      <c r="AG198">
        <v>7.6</v>
      </c>
      <c r="AH198">
        <v>0.96</v>
      </c>
      <c r="AI198">
        <v>3.9</v>
      </c>
      <c r="AJ198">
        <v>3.5</v>
      </c>
      <c r="AK198">
        <v>4.3</v>
      </c>
      <c r="AL198">
        <v>69.727199999999996</v>
      </c>
      <c r="AM198">
        <v>2.1</v>
      </c>
      <c r="AN198">
        <v>6956</v>
      </c>
      <c r="AO198">
        <v>0</v>
      </c>
      <c r="AP198">
        <v>100</v>
      </c>
      <c r="AQ198">
        <v>99.4482</v>
      </c>
      <c r="AR198">
        <v>95.398600000000002</v>
      </c>
      <c r="AU198">
        <v>7.6365999999999996</v>
      </c>
      <c r="AV198" s="19">
        <v>100</v>
      </c>
      <c r="AW198">
        <v>0</v>
      </c>
      <c r="AX198">
        <v>11.7</v>
      </c>
      <c r="AZ198">
        <v>6</v>
      </c>
      <c r="BA198">
        <v>87.123599999999996</v>
      </c>
      <c r="BB198">
        <v>37.5</v>
      </c>
      <c r="BC198">
        <v>6.2731000000000003</v>
      </c>
      <c r="BD198" s="19">
        <v>4.0049999999999999</v>
      </c>
      <c r="BE198" s="19">
        <v>99.004999999999995</v>
      </c>
      <c r="BF198">
        <v>29.857700000000001</v>
      </c>
      <c r="BG198">
        <v>31.1</v>
      </c>
      <c r="BH198" s="20">
        <v>3.3090999999999999</v>
      </c>
      <c r="BI198" s="20">
        <v>7855.5619999999999</v>
      </c>
      <c r="BJ198" s="19">
        <v>99.519199999999998</v>
      </c>
      <c r="BK198">
        <v>0.99099999999999999</v>
      </c>
      <c r="BL198">
        <v>1.0202</v>
      </c>
      <c r="BM198">
        <v>1.048</v>
      </c>
      <c r="BN198">
        <v>6</v>
      </c>
      <c r="BO198">
        <v>9.8260000000000005</v>
      </c>
      <c r="BP198">
        <v>21.31</v>
      </c>
      <c r="BQ198" s="19">
        <v>100.64190000000001</v>
      </c>
      <c r="BR198">
        <v>65.456900000000005</v>
      </c>
      <c r="BS198" s="20">
        <v>10.358000000000001</v>
      </c>
      <c r="BT198" s="20">
        <v>10.358000000000001</v>
      </c>
      <c r="BU198" s="20">
        <v>27.404</v>
      </c>
      <c r="BV198" s="20">
        <v>27.527000000000001</v>
      </c>
      <c r="BW198" s="19">
        <v>99.519199999999998</v>
      </c>
      <c r="BX198">
        <v>12.73</v>
      </c>
      <c r="BY198" s="5">
        <v>8907176</v>
      </c>
      <c r="BZ198" s="6">
        <v>16626590</v>
      </c>
      <c r="CA198" s="7">
        <f t="shared" si="15"/>
        <v>1.8666511136638593</v>
      </c>
      <c r="CB198">
        <v>5228172</v>
      </c>
      <c r="CC198" s="8">
        <f t="shared" si="16"/>
        <v>3.18019185290767</v>
      </c>
      <c r="CD198" s="8">
        <f t="shared" si="17"/>
        <v>1.703688401988305</v>
      </c>
      <c r="CE198">
        <v>338411</v>
      </c>
      <c r="CF198" s="8">
        <f t="shared" si="18"/>
        <v>26.320586505757792</v>
      </c>
      <c r="CG198" s="8">
        <f t="shared" si="19"/>
        <v>49.131352113258728</v>
      </c>
      <c r="CH198">
        <v>98.631330000000005</v>
      </c>
    </row>
    <row r="199" spans="1:86" ht="15.5" x14ac:dyDescent="0.35">
      <c r="A199" t="s">
        <v>94</v>
      </c>
      <c r="B199">
        <v>2005</v>
      </c>
      <c r="C199" s="2">
        <v>49.915199999999999</v>
      </c>
      <c r="D199">
        <v>79724.789999999994</v>
      </c>
      <c r="E199">
        <v>0.21060000000000001</v>
      </c>
      <c r="F199">
        <v>11.101800000000001</v>
      </c>
      <c r="G199">
        <v>69800</v>
      </c>
      <c r="H199">
        <v>9</v>
      </c>
      <c r="I199" s="19">
        <v>82.207999999999998</v>
      </c>
      <c r="J199" s="19">
        <v>82.54</v>
      </c>
      <c r="K199" s="19">
        <v>3.875</v>
      </c>
      <c r="L199" s="19">
        <v>100</v>
      </c>
      <c r="M199" s="19">
        <v>5898000000</v>
      </c>
      <c r="N199" s="19">
        <v>109.4958</v>
      </c>
      <c r="O199">
        <v>32.82</v>
      </c>
      <c r="P199">
        <v>22.382400000000001</v>
      </c>
      <c r="Q199" s="19">
        <v>39142.224000000002</v>
      </c>
      <c r="R199" s="19">
        <v>42529.350700000003</v>
      </c>
      <c r="S199" s="19">
        <v>2.4262000000000001</v>
      </c>
      <c r="T199" s="19">
        <v>52714.082300000002</v>
      </c>
      <c r="U199" s="19">
        <v>32047.706900000001</v>
      </c>
      <c r="V199">
        <v>27.6</v>
      </c>
      <c r="W199" s="19">
        <v>100</v>
      </c>
      <c r="X199">
        <v>97</v>
      </c>
      <c r="Z199">
        <v>97</v>
      </c>
      <c r="AA199">
        <v>3</v>
      </c>
      <c r="AB199">
        <v>74.5</v>
      </c>
      <c r="AC199">
        <v>78.817099999999996</v>
      </c>
      <c r="AD199">
        <v>101.4121</v>
      </c>
      <c r="AE199">
        <v>8</v>
      </c>
      <c r="AF199">
        <v>91.265100000000004</v>
      </c>
      <c r="AG199">
        <v>7.4</v>
      </c>
      <c r="AH199">
        <v>0.82</v>
      </c>
      <c r="AI199">
        <v>3.7</v>
      </c>
      <c r="AJ199">
        <v>3.4</v>
      </c>
      <c r="AK199">
        <v>4.0999999999999996</v>
      </c>
      <c r="AL199">
        <v>70.3857</v>
      </c>
      <c r="AM199">
        <v>2.1</v>
      </c>
      <c r="AN199">
        <v>9251</v>
      </c>
      <c r="AO199">
        <v>0</v>
      </c>
      <c r="AP199">
        <v>100</v>
      </c>
      <c r="AQ199">
        <v>99.448099999999997</v>
      </c>
      <c r="AR199">
        <v>95.795699999999997</v>
      </c>
      <c r="AU199">
        <v>7.5369999999999999</v>
      </c>
      <c r="AV199" s="19">
        <v>100</v>
      </c>
      <c r="AW199">
        <v>0.1</v>
      </c>
      <c r="AX199">
        <v>12.6</v>
      </c>
      <c r="AZ199">
        <v>6</v>
      </c>
      <c r="BA199">
        <v>87.284000000000006</v>
      </c>
      <c r="BB199">
        <v>37.5</v>
      </c>
      <c r="BC199">
        <v>6.4486999999999997</v>
      </c>
      <c r="BD199" s="19">
        <v>2.778</v>
      </c>
      <c r="BE199" s="19">
        <v>99.019599999999997</v>
      </c>
      <c r="BF199">
        <v>33.248699999999999</v>
      </c>
      <c r="BG199">
        <v>31.5</v>
      </c>
      <c r="BH199" s="20">
        <v>3.3237000000000001</v>
      </c>
      <c r="BI199" s="20">
        <v>7558.6997000000001</v>
      </c>
      <c r="BJ199" s="19">
        <v>100</v>
      </c>
      <c r="BK199">
        <v>0.99229999999999996</v>
      </c>
      <c r="BL199">
        <v>1.0201</v>
      </c>
      <c r="BM199">
        <v>1.0457000000000001</v>
      </c>
      <c r="BN199">
        <v>6</v>
      </c>
      <c r="BO199">
        <v>7.8970000000000002</v>
      </c>
      <c r="BP199">
        <v>19.96</v>
      </c>
      <c r="BQ199" s="19">
        <v>100.6249</v>
      </c>
      <c r="BR199">
        <v>74.090299999999999</v>
      </c>
      <c r="BS199" s="20">
        <v>9.6020000000000003</v>
      </c>
      <c r="BT199" s="20">
        <v>9.6020000000000003</v>
      </c>
      <c r="BU199" s="20">
        <v>26.78</v>
      </c>
      <c r="BV199" s="20">
        <v>26.995999999999999</v>
      </c>
      <c r="BW199" s="19">
        <v>99.519199999999998</v>
      </c>
      <c r="BX199">
        <v>12.57</v>
      </c>
      <c r="BY199" s="5">
        <v>9089317</v>
      </c>
      <c r="BZ199" s="6">
        <v>17259037</v>
      </c>
      <c r="CA199" s="7">
        <f t="shared" si="15"/>
        <v>1.8988266115044727</v>
      </c>
      <c r="CB199">
        <v>5246096</v>
      </c>
      <c r="CC199" s="8">
        <f t="shared" si="16"/>
        <v>3.2898820379954921</v>
      </c>
      <c r="CD199" s="8">
        <f t="shared" si="17"/>
        <v>1.732586860781808</v>
      </c>
      <c r="CE199">
        <v>338411</v>
      </c>
      <c r="CF199" s="8">
        <f t="shared" si="18"/>
        <v>26.858810736057634</v>
      </c>
      <c r="CG199" s="8">
        <f t="shared" si="19"/>
        <v>51.000224578988274</v>
      </c>
      <c r="CH199">
        <v>97.194419999999994</v>
      </c>
    </row>
    <row r="200" spans="1:86" ht="15.5" x14ac:dyDescent="0.35">
      <c r="A200" t="s">
        <v>94</v>
      </c>
      <c r="B200">
        <v>2006</v>
      </c>
      <c r="C200" s="2">
        <v>50.1492</v>
      </c>
      <c r="D200">
        <v>86847.46</v>
      </c>
      <c r="E200">
        <v>0.24279999999999999</v>
      </c>
      <c r="F200">
        <v>13.2636</v>
      </c>
      <c r="G200">
        <v>81100</v>
      </c>
      <c r="H200">
        <v>9</v>
      </c>
      <c r="I200" s="19">
        <v>83.256</v>
      </c>
      <c r="J200" s="19">
        <v>83.56</v>
      </c>
      <c r="K200" s="19">
        <v>3.7789999999999999</v>
      </c>
      <c r="L200" s="19">
        <v>99.512200000000007</v>
      </c>
      <c r="M200" s="19">
        <v>8534000000.000001</v>
      </c>
      <c r="N200" s="19">
        <v>129.06909999999999</v>
      </c>
      <c r="O200">
        <v>33.606999999999999</v>
      </c>
      <c r="P200">
        <v>27.135100000000001</v>
      </c>
      <c r="Q200" s="19">
        <v>41300.021999999997</v>
      </c>
      <c r="R200" s="19">
        <v>44069.395900000003</v>
      </c>
      <c r="S200" s="19">
        <v>3.6211000000000002</v>
      </c>
      <c r="T200" s="19">
        <v>54622.930399999997</v>
      </c>
      <c r="U200" s="19">
        <v>34447.7143</v>
      </c>
      <c r="V200">
        <v>28</v>
      </c>
      <c r="W200" s="19">
        <v>99.0244</v>
      </c>
      <c r="X200">
        <v>97</v>
      </c>
      <c r="Z200">
        <v>97</v>
      </c>
      <c r="AA200">
        <v>2.9</v>
      </c>
      <c r="AB200">
        <v>79.7</v>
      </c>
      <c r="AC200">
        <v>79.214600000000004</v>
      </c>
      <c r="AE200">
        <v>7</v>
      </c>
      <c r="AF200">
        <v>91.389799999999994</v>
      </c>
      <c r="AG200">
        <v>6.6</v>
      </c>
      <c r="AH200">
        <v>1</v>
      </c>
      <c r="AI200">
        <v>3.6</v>
      </c>
      <c r="AJ200">
        <v>3.2</v>
      </c>
      <c r="AK200">
        <v>4</v>
      </c>
      <c r="AL200">
        <v>72.223399999999998</v>
      </c>
      <c r="AM200">
        <v>2</v>
      </c>
      <c r="AN200">
        <v>10820</v>
      </c>
      <c r="AO200">
        <v>0</v>
      </c>
      <c r="AP200">
        <v>100</v>
      </c>
      <c r="AQ200">
        <v>99.448099999999997</v>
      </c>
      <c r="AR200">
        <v>96.192700000000002</v>
      </c>
      <c r="AU200">
        <v>7.4341999999999997</v>
      </c>
      <c r="AV200" s="19">
        <v>100</v>
      </c>
      <c r="AW200">
        <v>0.1</v>
      </c>
      <c r="AX200">
        <v>13</v>
      </c>
      <c r="AZ200">
        <v>6</v>
      </c>
      <c r="BA200">
        <v>87.444400000000002</v>
      </c>
      <c r="BB200">
        <v>38</v>
      </c>
      <c r="BC200">
        <v>6.5232000000000001</v>
      </c>
      <c r="BD200" s="19">
        <v>4.0190000000000001</v>
      </c>
      <c r="BE200" s="19">
        <v>94.607799999999997</v>
      </c>
      <c r="BF200">
        <v>27.293399999999998</v>
      </c>
      <c r="BG200">
        <v>31.2</v>
      </c>
      <c r="BH200" s="20">
        <v>3.3321999999999998</v>
      </c>
      <c r="BI200" s="20">
        <v>7689.1899000000003</v>
      </c>
      <c r="BJ200" s="19">
        <v>99.043099999999995</v>
      </c>
      <c r="BK200">
        <v>0.99619999999999997</v>
      </c>
      <c r="BL200">
        <v>1.0206</v>
      </c>
      <c r="BM200">
        <v>1.0424</v>
      </c>
      <c r="BN200">
        <v>6</v>
      </c>
      <c r="BO200">
        <v>8.1</v>
      </c>
      <c r="BP200">
        <v>21.1</v>
      </c>
      <c r="BQ200" s="19">
        <v>98.820499999999996</v>
      </c>
      <c r="BR200">
        <v>75.991600000000005</v>
      </c>
      <c r="BS200" s="20">
        <v>8.9350000000000005</v>
      </c>
      <c r="BT200" s="20">
        <v>8.9350000000000005</v>
      </c>
      <c r="BU200" s="20">
        <v>25.774000000000001</v>
      </c>
      <c r="BV200" s="20">
        <v>26.045999999999999</v>
      </c>
      <c r="BW200" s="19">
        <v>97.115399999999994</v>
      </c>
      <c r="BX200">
        <v>12.09</v>
      </c>
      <c r="BY200" s="5">
        <v>9634879</v>
      </c>
      <c r="BZ200" s="6">
        <v>18168869</v>
      </c>
      <c r="CA200" s="7">
        <f t="shared" si="15"/>
        <v>1.8857391981777871</v>
      </c>
      <c r="CB200">
        <v>5266268</v>
      </c>
      <c r="CC200" s="8">
        <f t="shared" si="16"/>
        <v>3.4500464085762443</v>
      </c>
      <c r="CD200" s="8">
        <f t="shared" si="17"/>
        <v>1.8295458947398804</v>
      </c>
      <c r="CE200">
        <v>338411</v>
      </c>
      <c r="CF200" s="8">
        <f t="shared" si="18"/>
        <v>28.470939183418977</v>
      </c>
      <c r="CG200" s="8">
        <f t="shared" si="19"/>
        <v>53.688766027109047</v>
      </c>
      <c r="CH200">
        <v>96.259540000000001</v>
      </c>
    </row>
    <row r="201" spans="1:86" ht="15.5" x14ac:dyDescent="0.35">
      <c r="A201" t="s">
        <v>94</v>
      </c>
      <c r="B201">
        <v>2007</v>
      </c>
      <c r="C201" s="2">
        <v>50.293700000000001</v>
      </c>
      <c r="D201">
        <v>86281.29</v>
      </c>
      <c r="E201">
        <v>0.22470000000000001</v>
      </c>
      <c r="F201">
        <v>12.8697</v>
      </c>
      <c r="G201">
        <v>79500</v>
      </c>
      <c r="H201">
        <v>9</v>
      </c>
      <c r="I201" s="19">
        <v>84.573999999999998</v>
      </c>
      <c r="J201" s="19">
        <v>85.18</v>
      </c>
      <c r="K201" s="19">
        <v>5.1950000000000003</v>
      </c>
      <c r="L201" s="19">
        <v>99.514600000000002</v>
      </c>
      <c r="M201" s="19">
        <v>10329000000</v>
      </c>
      <c r="N201" s="19">
        <v>150.49930000000001</v>
      </c>
      <c r="O201">
        <v>32.064</v>
      </c>
      <c r="P201">
        <v>30.5746</v>
      </c>
      <c r="Q201" s="19">
        <v>48586.821000000004</v>
      </c>
      <c r="R201" s="19">
        <v>46213.689899999998</v>
      </c>
      <c r="S201" s="19">
        <v>4.8657000000000004</v>
      </c>
      <c r="T201" s="19">
        <v>57280.73</v>
      </c>
      <c r="U201" s="19">
        <v>37844.2932</v>
      </c>
      <c r="V201">
        <v>28.3</v>
      </c>
      <c r="W201" s="19">
        <v>97.572800000000001</v>
      </c>
      <c r="X201">
        <v>99</v>
      </c>
      <c r="Z201">
        <v>98</v>
      </c>
      <c r="AA201">
        <v>2.8</v>
      </c>
      <c r="AB201">
        <v>80.8</v>
      </c>
      <c r="AC201">
        <v>79.263400000000004</v>
      </c>
      <c r="AD201">
        <v>99.244900000000001</v>
      </c>
      <c r="AE201">
        <v>7</v>
      </c>
      <c r="AF201">
        <v>91.409599999999998</v>
      </c>
      <c r="AG201">
        <v>7.5</v>
      </c>
      <c r="AH201">
        <v>1.19</v>
      </c>
      <c r="AI201">
        <v>3.5</v>
      </c>
      <c r="AJ201">
        <v>3.1</v>
      </c>
      <c r="AK201">
        <v>3.8</v>
      </c>
      <c r="AL201">
        <v>72.268199999999993</v>
      </c>
      <c r="AM201">
        <v>1.9</v>
      </c>
      <c r="AN201">
        <v>14027</v>
      </c>
      <c r="AO201">
        <v>0</v>
      </c>
      <c r="AP201">
        <v>100</v>
      </c>
      <c r="AQ201">
        <v>99.448099999999997</v>
      </c>
      <c r="AR201">
        <v>96.589799999999997</v>
      </c>
      <c r="AU201">
        <v>7.3277000000000001</v>
      </c>
      <c r="AV201" s="19">
        <v>100</v>
      </c>
      <c r="AW201">
        <v>0.1</v>
      </c>
      <c r="AX201">
        <v>13.6</v>
      </c>
      <c r="AZ201">
        <v>6</v>
      </c>
      <c r="BA201">
        <v>87.604799999999997</v>
      </c>
      <c r="BB201">
        <v>41.5</v>
      </c>
      <c r="BC201">
        <v>6.3554000000000004</v>
      </c>
      <c r="BD201" s="19">
        <v>5.3129999999999997</v>
      </c>
      <c r="BE201" s="19">
        <v>93.203900000000004</v>
      </c>
      <c r="BF201">
        <v>29.938400000000001</v>
      </c>
      <c r="BG201">
        <v>31.8</v>
      </c>
      <c r="BH201" s="20">
        <v>3.3370000000000002</v>
      </c>
      <c r="BI201" s="20">
        <v>7390.5502999999999</v>
      </c>
      <c r="BJ201" s="19">
        <v>98.564599999999999</v>
      </c>
      <c r="BK201">
        <v>0.99539999999999995</v>
      </c>
      <c r="BL201">
        <v>1.0223</v>
      </c>
      <c r="BM201">
        <v>1.0456000000000001</v>
      </c>
      <c r="BN201">
        <v>6</v>
      </c>
      <c r="BO201">
        <v>7.3620000000000001</v>
      </c>
      <c r="BP201">
        <v>19.68</v>
      </c>
      <c r="BQ201" s="19">
        <v>101.224</v>
      </c>
      <c r="BR201">
        <v>78.814400000000006</v>
      </c>
      <c r="BS201" s="20">
        <v>6.8540000000000001</v>
      </c>
      <c r="BT201" s="20">
        <v>6.8540000000000001</v>
      </c>
      <c r="BU201" s="20">
        <v>16.425999999999998</v>
      </c>
      <c r="BV201" s="20">
        <v>16.509</v>
      </c>
      <c r="BW201" s="19">
        <v>96.634600000000006</v>
      </c>
      <c r="BX201">
        <v>12.03</v>
      </c>
      <c r="BY201" s="5">
        <v>10099395</v>
      </c>
      <c r="BZ201" s="6">
        <v>19036665</v>
      </c>
      <c r="CA201" s="7">
        <f t="shared" si="15"/>
        <v>1.8849312260783937</v>
      </c>
      <c r="CB201">
        <v>5288720</v>
      </c>
      <c r="CC201" s="8">
        <f t="shared" si="16"/>
        <v>3.5994843742909439</v>
      </c>
      <c r="CD201" s="8">
        <f t="shared" si="17"/>
        <v>1.9096104539472689</v>
      </c>
      <c r="CE201">
        <v>338411</v>
      </c>
      <c r="CF201" s="8">
        <f t="shared" si="18"/>
        <v>29.843577779682104</v>
      </c>
      <c r="CG201" s="8">
        <f t="shared" si="19"/>
        <v>56.253091654822093</v>
      </c>
      <c r="CH201">
        <v>95.323239999999998</v>
      </c>
    </row>
    <row r="202" spans="1:86" ht="15.5" x14ac:dyDescent="0.35">
      <c r="A202" t="s">
        <v>94</v>
      </c>
      <c r="B202">
        <v>2008</v>
      </c>
      <c r="C202" s="2">
        <v>50.2258</v>
      </c>
      <c r="D202">
        <v>82062</v>
      </c>
      <c r="E202">
        <v>0.19589999999999999</v>
      </c>
      <c r="F202">
        <v>11.259</v>
      </c>
      <c r="G202">
        <v>71400</v>
      </c>
      <c r="H202">
        <v>9</v>
      </c>
      <c r="I202" s="19">
        <v>87.885999999999996</v>
      </c>
      <c r="J202" s="19">
        <v>88.06</v>
      </c>
      <c r="K202" s="19">
        <v>4.5810000000000004</v>
      </c>
      <c r="L202" s="19">
        <v>99.0291</v>
      </c>
      <c r="M202" s="19">
        <v>7265000000</v>
      </c>
      <c r="N202" s="19">
        <v>161.24950000000001</v>
      </c>
      <c r="O202">
        <v>32.36</v>
      </c>
      <c r="P202">
        <v>30.4514</v>
      </c>
      <c r="Q202" s="19">
        <v>53894.580999999998</v>
      </c>
      <c r="R202" s="19">
        <v>46359.873299999999</v>
      </c>
      <c r="S202" s="19">
        <v>0.31630000000000003</v>
      </c>
      <c r="T202" s="19">
        <v>57461.920700000002</v>
      </c>
      <c r="U202" s="19">
        <v>40081.2212</v>
      </c>
      <c r="V202">
        <v>27.8</v>
      </c>
      <c r="W202" s="19">
        <v>99.0291</v>
      </c>
      <c r="X202">
        <v>99</v>
      </c>
      <c r="Z202">
        <v>97</v>
      </c>
      <c r="AA202">
        <v>2.7</v>
      </c>
      <c r="AB202">
        <v>83.7</v>
      </c>
      <c r="AC202">
        <v>79.568299999999994</v>
      </c>
      <c r="AE202">
        <v>7</v>
      </c>
      <c r="AF202">
        <v>91.5809</v>
      </c>
      <c r="AG202">
        <v>6.7</v>
      </c>
      <c r="AH202">
        <v>1.1399999999999999</v>
      </c>
      <c r="AI202">
        <v>3.3</v>
      </c>
      <c r="AJ202">
        <v>3</v>
      </c>
      <c r="AK202">
        <v>3.6</v>
      </c>
      <c r="AL202">
        <v>72.461699999999993</v>
      </c>
      <c r="AM202">
        <v>1.8</v>
      </c>
      <c r="AN202">
        <v>15626</v>
      </c>
      <c r="AO202">
        <v>0</v>
      </c>
      <c r="AP202">
        <v>100</v>
      </c>
      <c r="AQ202">
        <v>99.448099999999997</v>
      </c>
      <c r="AR202">
        <v>96.986900000000006</v>
      </c>
      <c r="AU202">
        <v>7.2179000000000002</v>
      </c>
      <c r="AV202" s="19">
        <v>99.519199999999998</v>
      </c>
      <c r="AW202">
        <v>0.1</v>
      </c>
      <c r="AX202">
        <v>13.8</v>
      </c>
      <c r="AZ202">
        <v>6</v>
      </c>
      <c r="BA202">
        <v>87.765100000000004</v>
      </c>
      <c r="BB202">
        <v>41.5</v>
      </c>
      <c r="BC202">
        <v>6.5766999999999998</v>
      </c>
      <c r="BD202" s="19">
        <v>0.78400000000000003</v>
      </c>
      <c r="BE202" s="19">
        <v>94.660200000000003</v>
      </c>
      <c r="BF202">
        <v>35.877400000000002</v>
      </c>
      <c r="BG202">
        <v>34.6</v>
      </c>
      <c r="BH202" s="20">
        <v>3.5369999999999999</v>
      </c>
      <c r="BI202" s="20">
        <v>7712.3158999999996</v>
      </c>
      <c r="BJ202" s="19">
        <v>98.076899999999995</v>
      </c>
      <c r="BK202">
        <v>0.99180000000000001</v>
      </c>
      <c r="BL202">
        <v>1.0224</v>
      </c>
      <c r="BM202">
        <v>1.0484</v>
      </c>
      <c r="BN202">
        <v>6</v>
      </c>
      <c r="BO202">
        <v>8.1620000000000008</v>
      </c>
      <c r="BP202">
        <v>20.56</v>
      </c>
      <c r="BQ202" s="19">
        <v>96.919899999999998</v>
      </c>
      <c r="BR202">
        <v>79.506100000000004</v>
      </c>
      <c r="BS202" s="20">
        <v>6.3689999999999998</v>
      </c>
      <c r="BT202" s="20">
        <v>6.3689999999999998</v>
      </c>
      <c r="BU202" s="20">
        <v>16.337</v>
      </c>
      <c r="BV202" s="20">
        <v>16.45</v>
      </c>
      <c r="BW202" s="19">
        <v>96.634600000000006</v>
      </c>
      <c r="BX202">
        <v>11.59</v>
      </c>
      <c r="BY202" s="5">
        <v>10240298</v>
      </c>
      <c r="BZ202" s="6">
        <v>19465620</v>
      </c>
      <c r="CA202" s="7">
        <f t="shared" si="15"/>
        <v>1.9008841344265568</v>
      </c>
      <c r="CB202">
        <v>5313399</v>
      </c>
      <c r="CC202" s="8">
        <f t="shared" si="16"/>
        <v>3.663496756031309</v>
      </c>
      <c r="CD202" s="8">
        <f t="shared" si="17"/>
        <v>1.9272593682499657</v>
      </c>
      <c r="CE202">
        <v>338411</v>
      </c>
      <c r="CF202" s="8">
        <f t="shared" si="18"/>
        <v>30.259944268951067</v>
      </c>
      <c r="CG202" s="8">
        <f t="shared" si="19"/>
        <v>57.520647969480898</v>
      </c>
      <c r="CH202">
        <v>95.644540000000006</v>
      </c>
    </row>
    <row r="203" spans="1:86" ht="15.5" x14ac:dyDescent="0.35">
      <c r="A203" t="s">
        <v>94</v>
      </c>
      <c r="B203">
        <v>2009</v>
      </c>
      <c r="C203" s="2">
        <v>50.478400000000001</v>
      </c>
      <c r="D203">
        <v>78389.83</v>
      </c>
      <c r="E203">
        <v>0.2034</v>
      </c>
      <c r="F203">
        <v>10.6906</v>
      </c>
      <c r="G203">
        <v>67600</v>
      </c>
      <c r="H203">
        <v>9</v>
      </c>
      <c r="I203" s="19">
        <v>89.322000000000003</v>
      </c>
      <c r="J203" s="19">
        <v>89.65</v>
      </c>
      <c r="K203" s="19">
        <v>3.16</v>
      </c>
      <c r="L203" s="19">
        <v>98.564599999999999</v>
      </c>
      <c r="M203" s="19">
        <v>5053000000</v>
      </c>
      <c r="N203" s="19">
        <v>105.0771</v>
      </c>
      <c r="O203">
        <v>35.423999999999999</v>
      </c>
      <c r="P203">
        <v>29.3246</v>
      </c>
      <c r="Q203" s="19">
        <v>47538.607000000004</v>
      </c>
      <c r="R203" s="19">
        <v>42412.513500000001</v>
      </c>
      <c r="S203" s="19">
        <v>-8.5145999999999997</v>
      </c>
      <c r="T203" s="19">
        <v>52569.265399999997</v>
      </c>
      <c r="U203" s="19">
        <v>37968.661699999997</v>
      </c>
      <c r="V203">
        <v>27.5</v>
      </c>
      <c r="W203" s="19">
        <v>99.043099999999995</v>
      </c>
      <c r="X203">
        <v>99</v>
      </c>
      <c r="Z203">
        <v>98</v>
      </c>
      <c r="AA203">
        <v>2.6</v>
      </c>
      <c r="AB203">
        <v>82.5</v>
      </c>
      <c r="AC203">
        <v>79.719499999999996</v>
      </c>
      <c r="AD203">
        <v>99.425600000000003</v>
      </c>
      <c r="AE203">
        <v>8</v>
      </c>
      <c r="AF203">
        <v>91.681100000000001</v>
      </c>
      <c r="AG203">
        <v>5.7</v>
      </c>
      <c r="AH203">
        <v>1.1399999999999999</v>
      </c>
      <c r="AI203">
        <v>3.2</v>
      </c>
      <c r="AJ203">
        <v>2.9</v>
      </c>
      <c r="AK203">
        <v>3.5</v>
      </c>
      <c r="AL203">
        <v>72.312899999999999</v>
      </c>
      <c r="AM203">
        <v>1.8</v>
      </c>
      <c r="AN203">
        <v>14877</v>
      </c>
      <c r="AO203">
        <v>0</v>
      </c>
      <c r="AP203">
        <v>100</v>
      </c>
      <c r="AQ203">
        <v>99.448099999999997</v>
      </c>
      <c r="AR203">
        <v>97.383899999999997</v>
      </c>
      <c r="AU203">
        <v>7.1055000000000001</v>
      </c>
      <c r="AV203" s="19">
        <v>99.052099999999996</v>
      </c>
      <c r="AW203">
        <v>0.1</v>
      </c>
      <c r="AX203">
        <v>13.1</v>
      </c>
      <c r="AZ203">
        <v>6</v>
      </c>
      <c r="BA203">
        <v>87.9255</v>
      </c>
      <c r="BB203">
        <v>40</v>
      </c>
      <c r="BC203">
        <v>7.2397999999999998</v>
      </c>
      <c r="BD203" s="19">
        <v>-8.0760000000000005</v>
      </c>
      <c r="BE203" s="19">
        <v>98.086100000000002</v>
      </c>
      <c r="BF203">
        <v>30.108599999999999</v>
      </c>
      <c r="BG203">
        <v>32.5</v>
      </c>
      <c r="BH203" s="20">
        <v>3.734</v>
      </c>
      <c r="BI203" s="20">
        <v>7669.2837</v>
      </c>
      <c r="BJ203" s="19">
        <v>100</v>
      </c>
      <c r="BK203">
        <v>0.99339999999999995</v>
      </c>
      <c r="BL203">
        <v>1.0236000000000001</v>
      </c>
      <c r="BM203">
        <v>1.0488</v>
      </c>
      <c r="BN203">
        <v>6</v>
      </c>
      <c r="BO203">
        <v>9.4670000000000005</v>
      </c>
      <c r="BP203">
        <v>20.329999999999998</v>
      </c>
      <c r="BQ203" s="19">
        <v>99.287199999999999</v>
      </c>
      <c r="BR203">
        <v>73.176199999999994</v>
      </c>
      <c r="BS203" s="20">
        <v>8.2490000000000006</v>
      </c>
      <c r="BT203" s="20">
        <v>8.25</v>
      </c>
      <c r="BU203" s="20">
        <v>21.376000000000001</v>
      </c>
      <c r="BV203" s="20">
        <v>21.51</v>
      </c>
      <c r="BW203" s="19">
        <v>96.682500000000005</v>
      </c>
      <c r="BX203">
        <v>15.9</v>
      </c>
      <c r="BY203" s="5">
        <v>9764993</v>
      </c>
      <c r="BZ203" s="6">
        <v>18567338</v>
      </c>
      <c r="CA203" s="7">
        <f t="shared" si="15"/>
        <v>1.9014184649185104</v>
      </c>
      <c r="CB203">
        <v>5338871</v>
      </c>
      <c r="CC203" s="8">
        <f t="shared" si="16"/>
        <v>3.4777648682652194</v>
      </c>
      <c r="CD203" s="8">
        <f t="shared" si="17"/>
        <v>1.8290370754416054</v>
      </c>
      <c r="CE203">
        <v>338411</v>
      </c>
      <c r="CF203" s="8">
        <f t="shared" si="18"/>
        <v>28.855424321313432</v>
      </c>
      <c r="CG203" s="8">
        <f t="shared" si="19"/>
        <v>54.866236617604038</v>
      </c>
      <c r="CH203">
        <v>98.573099999999997</v>
      </c>
    </row>
    <row r="204" spans="1:86" ht="15.5" x14ac:dyDescent="0.35">
      <c r="A204" t="s">
        <v>94</v>
      </c>
      <c r="B204">
        <v>2010</v>
      </c>
      <c r="C204" s="2">
        <v>51.095100000000002</v>
      </c>
      <c r="D204">
        <v>81320.28</v>
      </c>
      <c r="E204">
        <v>0.22739999999999999</v>
      </c>
      <c r="F204">
        <v>12.276400000000001</v>
      </c>
      <c r="G204">
        <v>75500</v>
      </c>
      <c r="H204">
        <v>9</v>
      </c>
      <c r="I204" s="19">
        <v>90.828000000000003</v>
      </c>
      <c r="J204" s="19">
        <v>92.13</v>
      </c>
      <c r="K204" s="19">
        <v>4.1509999999999998</v>
      </c>
      <c r="L204" s="19">
        <v>98.095200000000006</v>
      </c>
      <c r="M204" s="19">
        <v>3399000000</v>
      </c>
      <c r="N204" s="19">
        <v>116.2166</v>
      </c>
      <c r="O204">
        <v>32.746000000000002</v>
      </c>
      <c r="P204">
        <v>29.075099999999999</v>
      </c>
      <c r="Q204" s="19">
        <v>46647.993999999999</v>
      </c>
      <c r="R204" s="19">
        <v>43556.5386</v>
      </c>
      <c r="S204" s="19">
        <v>2.6974</v>
      </c>
      <c r="T204" s="19">
        <v>53987.256399999998</v>
      </c>
      <c r="U204" s="19">
        <v>38950.552600000003</v>
      </c>
      <c r="V204">
        <v>27.7</v>
      </c>
      <c r="W204" s="19">
        <v>99.521500000000003</v>
      </c>
      <c r="X204">
        <v>99</v>
      </c>
      <c r="Z204">
        <v>98</v>
      </c>
      <c r="AA204">
        <v>2.4</v>
      </c>
      <c r="AB204">
        <v>86.9</v>
      </c>
      <c r="AC204">
        <v>79.870699999999999</v>
      </c>
      <c r="AD204">
        <v>98.785499999999999</v>
      </c>
      <c r="AE204">
        <v>8</v>
      </c>
      <c r="AF204">
        <v>93.223500000000001</v>
      </c>
      <c r="AG204">
        <v>5.2</v>
      </c>
      <c r="AH204">
        <v>1.1200000000000001</v>
      </c>
      <c r="AI204">
        <v>3</v>
      </c>
      <c r="AJ204">
        <v>2.7</v>
      </c>
      <c r="AK204">
        <v>3.3</v>
      </c>
      <c r="AL204">
        <v>72.905600000000007</v>
      </c>
      <c r="AM204">
        <v>1.7</v>
      </c>
      <c r="AN204">
        <v>14080</v>
      </c>
      <c r="AO204">
        <v>0</v>
      </c>
      <c r="AP204">
        <v>100</v>
      </c>
      <c r="AQ204">
        <v>99.448099999999997</v>
      </c>
      <c r="AR204">
        <v>97.781000000000006</v>
      </c>
      <c r="AU204">
        <v>6.9908999999999999</v>
      </c>
      <c r="AV204" s="19">
        <v>97.156400000000005</v>
      </c>
      <c r="AW204">
        <v>0.1</v>
      </c>
      <c r="AX204">
        <v>13.7</v>
      </c>
      <c r="AZ204">
        <v>6</v>
      </c>
      <c r="BA204">
        <v>88.085899999999995</v>
      </c>
      <c r="BB204">
        <v>40</v>
      </c>
      <c r="BC204">
        <v>7.1805000000000003</v>
      </c>
      <c r="BD204" s="19">
        <v>3.1680000000000001</v>
      </c>
      <c r="BE204" s="19">
        <v>99.043099999999995</v>
      </c>
      <c r="BF204">
        <v>29.991099999999999</v>
      </c>
      <c r="BG204">
        <v>33.4</v>
      </c>
      <c r="BH204" s="20">
        <v>3.7052999999999998</v>
      </c>
      <c r="BI204" s="20">
        <v>7740.9209000000001</v>
      </c>
      <c r="BJ204" s="19">
        <v>100</v>
      </c>
      <c r="BK204">
        <v>0.99339999999999995</v>
      </c>
      <c r="BL204">
        <v>1.0225</v>
      </c>
      <c r="BM204">
        <v>1.0465</v>
      </c>
      <c r="BN204">
        <v>6</v>
      </c>
      <c r="BO204">
        <v>8.6509999999999998</v>
      </c>
      <c r="BP204">
        <v>18.63</v>
      </c>
      <c r="BQ204" s="19">
        <v>98.093900000000005</v>
      </c>
      <c r="BR204">
        <v>73.063800000000001</v>
      </c>
      <c r="BS204" s="20">
        <v>8.3940000000000001</v>
      </c>
      <c r="BT204" s="20">
        <v>8.3940000000000001</v>
      </c>
      <c r="BU204" s="20">
        <v>21.288</v>
      </c>
      <c r="BV204" s="20">
        <v>21.396999999999998</v>
      </c>
      <c r="BW204" s="19">
        <v>96.682500000000005</v>
      </c>
      <c r="BX204">
        <v>17.13</v>
      </c>
      <c r="BY204" s="5">
        <v>10204648</v>
      </c>
      <c r="BZ204" s="6">
        <v>19248057</v>
      </c>
      <c r="CA204" s="7">
        <f t="shared" si="15"/>
        <v>1.8862048940835587</v>
      </c>
      <c r="CB204">
        <v>5363352</v>
      </c>
      <c r="CC204" s="8">
        <f t="shared" si="16"/>
        <v>3.58881106442389</v>
      </c>
      <c r="CD204" s="8">
        <f t="shared" si="17"/>
        <v>1.9026623648792771</v>
      </c>
      <c r="CE204">
        <v>338411</v>
      </c>
      <c r="CF204" s="8">
        <f t="shared" si="18"/>
        <v>30.154598993531533</v>
      </c>
      <c r="CG204" s="8">
        <f t="shared" si="19"/>
        <v>56.877752200726334</v>
      </c>
      <c r="CH204">
        <v>97.232879999999994</v>
      </c>
    </row>
    <row r="205" spans="1:86" ht="15.5" x14ac:dyDescent="0.35">
      <c r="A205" t="s">
        <v>94</v>
      </c>
      <c r="B205">
        <v>2011</v>
      </c>
      <c r="C205" s="2">
        <v>52.225700000000003</v>
      </c>
      <c r="D205">
        <v>76488.36</v>
      </c>
      <c r="E205">
        <v>0.19639999999999999</v>
      </c>
      <c r="F205">
        <v>10.804399999999999</v>
      </c>
      <c r="G205">
        <v>67700</v>
      </c>
      <c r="H205">
        <v>9</v>
      </c>
      <c r="I205" s="19">
        <v>93.846999999999994</v>
      </c>
      <c r="J205" s="19">
        <v>94.53</v>
      </c>
      <c r="K205" s="19">
        <v>4.6689999999999996</v>
      </c>
      <c r="L205" s="19">
        <v>99.052099999999996</v>
      </c>
      <c r="M205" s="19">
        <v>-4267000000</v>
      </c>
      <c r="N205" s="19">
        <v>132.3066</v>
      </c>
      <c r="O205">
        <v>32.012</v>
      </c>
      <c r="P205">
        <v>29.805599999999998</v>
      </c>
      <c r="Q205" s="19">
        <v>51174.767999999996</v>
      </c>
      <c r="R205" s="19">
        <v>44391.453699999998</v>
      </c>
      <c r="S205" s="19">
        <v>1.9169</v>
      </c>
      <c r="T205" s="19">
        <v>55022.113100000002</v>
      </c>
      <c r="U205" s="19">
        <v>40845.956700000002</v>
      </c>
      <c r="V205">
        <v>27.6</v>
      </c>
      <c r="W205" s="19">
        <v>100</v>
      </c>
      <c r="X205">
        <v>99</v>
      </c>
      <c r="Z205">
        <v>97</v>
      </c>
      <c r="AA205">
        <v>2.2999999999999998</v>
      </c>
      <c r="AB205">
        <v>88.7</v>
      </c>
      <c r="AC205">
        <v>80.470699999999994</v>
      </c>
      <c r="AD205">
        <v>99.444000000000003</v>
      </c>
      <c r="AE205">
        <v>7</v>
      </c>
      <c r="AF205">
        <v>93.464600000000004</v>
      </c>
      <c r="AG205">
        <v>5.6</v>
      </c>
      <c r="AH205">
        <v>0.96</v>
      </c>
      <c r="AI205">
        <v>2.9</v>
      </c>
      <c r="AJ205">
        <v>2.6</v>
      </c>
      <c r="AK205">
        <v>3.1</v>
      </c>
      <c r="AL205">
        <v>72.89</v>
      </c>
      <c r="AM205">
        <v>1.6</v>
      </c>
      <c r="AN205">
        <v>16798</v>
      </c>
      <c r="AO205">
        <v>0</v>
      </c>
      <c r="AP205">
        <v>100</v>
      </c>
      <c r="AQ205">
        <v>99.447999999999993</v>
      </c>
      <c r="AR205">
        <v>98.178100000000001</v>
      </c>
      <c r="AU205">
        <v>6.8704000000000001</v>
      </c>
      <c r="AV205" s="19">
        <v>98.104299999999995</v>
      </c>
      <c r="AW205">
        <v>0</v>
      </c>
      <c r="AX205">
        <v>13.2</v>
      </c>
      <c r="AZ205">
        <v>6</v>
      </c>
      <c r="BA205">
        <v>88.246200000000002</v>
      </c>
      <c r="BB205">
        <v>42.5</v>
      </c>
      <c r="BC205">
        <v>7.3014999999999999</v>
      </c>
      <c r="BD205" s="19">
        <v>2.3889999999999998</v>
      </c>
      <c r="BE205" s="19">
        <v>97.630300000000005</v>
      </c>
      <c r="BF205">
        <v>32.8917</v>
      </c>
      <c r="BG205">
        <v>35.1</v>
      </c>
      <c r="BH205" s="20">
        <v>3.6181000000000001</v>
      </c>
      <c r="BI205" s="20">
        <v>7441.9775</v>
      </c>
      <c r="BJ205" s="19">
        <v>100</v>
      </c>
      <c r="BK205">
        <v>0.99199999999999999</v>
      </c>
      <c r="BL205">
        <v>1.0210999999999999</v>
      </c>
      <c r="BM205">
        <v>1.0451999999999999</v>
      </c>
      <c r="BN205">
        <v>6</v>
      </c>
      <c r="BO205">
        <v>8.3979999999999997</v>
      </c>
      <c r="BP205">
        <v>17.739999999999998</v>
      </c>
      <c r="BQ205" s="19">
        <v>95.016400000000004</v>
      </c>
      <c r="BR205">
        <v>74.889399999999995</v>
      </c>
      <c r="BS205" s="20">
        <v>7.7809999999999997</v>
      </c>
      <c r="BT205" s="20">
        <v>7.7809999999999997</v>
      </c>
      <c r="BU205" s="20">
        <v>19.934000000000001</v>
      </c>
      <c r="BV205" s="20">
        <v>20.064</v>
      </c>
      <c r="BW205" s="19">
        <v>96.244100000000003</v>
      </c>
      <c r="BX205">
        <v>18.7</v>
      </c>
      <c r="BY205" s="5">
        <v>10726568</v>
      </c>
      <c r="BZ205" s="6">
        <v>19987871</v>
      </c>
      <c r="CA205" s="7">
        <f t="shared" si="15"/>
        <v>1.8633985259777406</v>
      </c>
      <c r="CB205">
        <v>5388272</v>
      </c>
      <c r="CC205" s="8">
        <f t="shared" si="16"/>
        <v>3.7095141076768212</v>
      </c>
      <c r="CD205" s="8">
        <f t="shared" si="17"/>
        <v>1.9907250413490634</v>
      </c>
      <c r="CE205">
        <v>338411</v>
      </c>
      <c r="CF205" s="8">
        <f t="shared" si="18"/>
        <v>31.696865645620267</v>
      </c>
      <c r="CG205" s="8">
        <f t="shared" si="19"/>
        <v>59.063892722163288</v>
      </c>
      <c r="CH205">
        <v>97.387590000000003</v>
      </c>
    </row>
    <row r="206" spans="1:86" ht="15.5" x14ac:dyDescent="0.35">
      <c r="A206" s="9" t="s">
        <v>94</v>
      </c>
      <c r="B206" s="9">
        <v>2012</v>
      </c>
      <c r="C206" s="10">
        <v>53.592100000000002</v>
      </c>
      <c r="D206" s="9">
        <v>72600.759999999995</v>
      </c>
      <c r="E206" s="9">
        <v>0.1792</v>
      </c>
      <c r="F206" s="9">
        <v>9.6638999999999999</v>
      </c>
      <c r="G206" s="9">
        <v>62200</v>
      </c>
      <c r="H206" s="9">
        <v>9</v>
      </c>
      <c r="I206" s="21">
        <v>96.813999999999993</v>
      </c>
      <c r="J206" s="21">
        <v>97.79</v>
      </c>
      <c r="K206" s="21">
        <v>3.8420000000000001</v>
      </c>
      <c r="L206" s="21">
        <v>98.104299999999995</v>
      </c>
      <c r="M206" s="21">
        <v>-5744000000</v>
      </c>
      <c r="N206" s="21">
        <v>122.1664</v>
      </c>
      <c r="O206" s="9">
        <v>30.565999999999999</v>
      </c>
      <c r="P206" s="9">
        <v>30.432400000000001</v>
      </c>
      <c r="Q206" s="21">
        <v>47693.7</v>
      </c>
      <c r="R206" s="21">
        <v>43507.934600000001</v>
      </c>
      <c r="S206" s="21">
        <v>-1.9903</v>
      </c>
      <c r="T206" s="21">
        <v>53927.012900000002</v>
      </c>
      <c r="U206" s="21">
        <v>40739.1132</v>
      </c>
      <c r="V206" s="9">
        <v>27.1</v>
      </c>
      <c r="W206" s="21">
        <v>100</v>
      </c>
      <c r="X206" s="9">
        <v>99</v>
      </c>
      <c r="Y206" s="9"/>
      <c r="Z206" s="9">
        <v>97</v>
      </c>
      <c r="AA206" s="9">
        <v>2.2000000000000002</v>
      </c>
      <c r="AB206" s="9">
        <v>89.9</v>
      </c>
      <c r="AC206" s="9">
        <v>80.626800000000003</v>
      </c>
      <c r="AD206" s="9">
        <v>99.317300000000003</v>
      </c>
      <c r="AE206" s="9">
        <v>8</v>
      </c>
      <c r="AF206" s="9">
        <v>93.5899</v>
      </c>
      <c r="AG206" s="9">
        <v>4.9000000000000004</v>
      </c>
      <c r="AH206" s="9">
        <v>0.36</v>
      </c>
      <c r="AI206" s="9">
        <v>2.8</v>
      </c>
      <c r="AJ206" s="9">
        <v>2.5</v>
      </c>
      <c r="AK206" s="9">
        <v>3</v>
      </c>
      <c r="AL206" s="9">
        <v>73.428700000000006</v>
      </c>
      <c r="AM206" s="9">
        <v>1.5</v>
      </c>
      <c r="AN206" s="9">
        <v>17894</v>
      </c>
      <c r="AO206" s="9">
        <v>0</v>
      </c>
      <c r="AP206" s="9">
        <v>100</v>
      </c>
      <c r="AQ206" s="9">
        <v>99.447999999999993</v>
      </c>
      <c r="AR206" s="9">
        <v>98.575199999999995</v>
      </c>
      <c r="AS206" s="9"/>
      <c r="AT206" s="9"/>
      <c r="AU206" s="9">
        <v>6.2312000000000003</v>
      </c>
      <c r="AV206" s="21">
        <v>98.104299999999995</v>
      </c>
      <c r="AW206" s="9">
        <v>0.1</v>
      </c>
      <c r="AX206" s="9">
        <v>11.8</v>
      </c>
      <c r="AY206" s="9"/>
      <c r="AZ206" s="9">
        <v>6</v>
      </c>
      <c r="BA206" s="9">
        <v>88.406599999999997</v>
      </c>
      <c r="BB206" s="9">
        <v>42.5</v>
      </c>
      <c r="BC206" s="9">
        <v>7.6498999999999997</v>
      </c>
      <c r="BD206" s="21">
        <v>-1.5229999999999999</v>
      </c>
      <c r="BE206" s="21">
        <v>98.104299999999995</v>
      </c>
      <c r="BF206" s="9">
        <v>40.562100000000001</v>
      </c>
      <c r="BG206" s="9">
        <v>38.700000000000003</v>
      </c>
      <c r="BH206" s="22">
        <v>3.3982999999999999</v>
      </c>
      <c r="BI206" s="22">
        <v>7492.4609</v>
      </c>
      <c r="BJ206" s="21">
        <v>99.530500000000004</v>
      </c>
      <c r="BK206" s="9">
        <v>0.99160000000000004</v>
      </c>
      <c r="BL206" s="9">
        <v>1.0219</v>
      </c>
      <c r="BM206" s="9">
        <v>1.0477000000000001</v>
      </c>
      <c r="BN206" s="9">
        <v>6</v>
      </c>
      <c r="BO206" s="9">
        <v>7.7130000000000001</v>
      </c>
      <c r="BP206" s="9">
        <v>16.850000000000001</v>
      </c>
      <c r="BQ206" s="21">
        <v>93.654499999999999</v>
      </c>
      <c r="BR206" s="9">
        <v>75.848500000000001</v>
      </c>
      <c r="BS206" s="22">
        <v>7.6890000000000001</v>
      </c>
      <c r="BT206" s="22">
        <v>7.6890000000000001</v>
      </c>
      <c r="BU206" s="22">
        <v>18.867999999999999</v>
      </c>
      <c r="BV206" s="22">
        <v>18.96</v>
      </c>
      <c r="BW206" s="21">
        <v>96.7136</v>
      </c>
      <c r="BX206" s="9">
        <v>21.12</v>
      </c>
      <c r="BY206" s="14">
        <v>10887708</v>
      </c>
      <c r="BZ206" s="6">
        <v>20317582</v>
      </c>
      <c r="CA206" s="7">
        <f t="shared" si="15"/>
        <v>1.8661027646957469</v>
      </c>
      <c r="CB206">
        <v>5413971</v>
      </c>
      <c r="CC206" s="8">
        <f t="shared" si="16"/>
        <v>3.752805842513748</v>
      </c>
      <c r="CD206" s="8">
        <f t="shared" si="17"/>
        <v>2.0110392168705742</v>
      </c>
      <c r="CE206">
        <v>338411</v>
      </c>
      <c r="CF206" s="8">
        <f t="shared" si="18"/>
        <v>32.173032200489935</v>
      </c>
      <c r="CG206" s="8">
        <f t="shared" si="19"/>
        <v>60.038184337979558</v>
      </c>
      <c r="CH206" s="9">
        <v>97.834919999999997</v>
      </c>
    </row>
    <row r="207" spans="1:86" ht="15.5" x14ac:dyDescent="0.35">
      <c r="A207" t="s">
        <v>94</v>
      </c>
      <c r="B207">
        <v>2013</v>
      </c>
      <c r="C207" s="2">
        <v>55.028199999999998</v>
      </c>
      <c r="D207">
        <v>72710.820000000007</v>
      </c>
      <c r="E207">
        <v>0.1845</v>
      </c>
      <c r="F207">
        <v>9.8046000000000006</v>
      </c>
      <c r="G207">
        <v>63000</v>
      </c>
      <c r="H207">
        <v>9</v>
      </c>
      <c r="I207" s="19">
        <v>98.959000000000003</v>
      </c>
      <c r="J207" s="19">
        <v>99.68</v>
      </c>
      <c r="K207" s="19">
        <v>3.1909999999999998</v>
      </c>
      <c r="L207" s="19">
        <v>98.104299999999995</v>
      </c>
      <c r="M207" s="19">
        <v>-5089000000</v>
      </c>
      <c r="N207" s="19">
        <v>124.45650000000001</v>
      </c>
      <c r="O207">
        <v>31.265000000000001</v>
      </c>
      <c r="P207">
        <v>31.626799999999999</v>
      </c>
      <c r="Q207" s="19">
        <v>49804.351000000002</v>
      </c>
      <c r="R207" s="19">
        <v>42883.638599999998</v>
      </c>
      <c r="S207" s="19">
        <v>-1.4349000000000001</v>
      </c>
      <c r="T207" s="19">
        <v>53153.213400000001</v>
      </c>
      <c r="U207" s="19">
        <v>41325.805200000003</v>
      </c>
      <c r="V207">
        <v>27.2</v>
      </c>
      <c r="W207" s="19">
        <v>100</v>
      </c>
      <c r="X207">
        <v>98</v>
      </c>
      <c r="Z207">
        <v>97</v>
      </c>
      <c r="AA207">
        <v>2.1</v>
      </c>
      <c r="AB207">
        <v>91.5</v>
      </c>
      <c r="AC207">
        <v>80.9756</v>
      </c>
      <c r="AD207">
        <v>99.170199999999994</v>
      </c>
      <c r="AE207">
        <v>8</v>
      </c>
      <c r="AF207">
        <v>93.706400000000002</v>
      </c>
      <c r="AG207">
        <v>4.9000000000000004</v>
      </c>
      <c r="AH207">
        <v>0.59</v>
      </c>
      <c r="AI207">
        <v>2.6</v>
      </c>
      <c r="AJ207">
        <v>2.4</v>
      </c>
      <c r="AK207">
        <v>2.9</v>
      </c>
      <c r="AL207">
        <v>73.486999999999995</v>
      </c>
      <c r="AM207">
        <v>1.4</v>
      </c>
      <c r="AN207">
        <v>18164</v>
      </c>
      <c r="AO207">
        <v>0</v>
      </c>
      <c r="AP207">
        <v>100</v>
      </c>
      <c r="AQ207">
        <v>99.447999999999993</v>
      </c>
      <c r="AR207">
        <v>98.972200000000001</v>
      </c>
      <c r="AU207">
        <v>5.8529</v>
      </c>
      <c r="AV207" s="19">
        <v>97.156400000000005</v>
      </c>
      <c r="AW207">
        <v>0.1</v>
      </c>
      <c r="AX207">
        <v>12.8</v>
      </c>
      <c r="AY207">
        <v>6</v>
      </c>
      <c r="AZ207">
        <v>6</v>
      </c>
      <c r="BA207">
        <v>88.566900000000004</v>
      </c>
      <c r="BB207">
        <v>42.5</v>
      </c>
      <c r="BC207">
        <v>7.7915000000000001</v>
      </c>
      <c r="BD207" s="19">
        <v>-0.98</v>
      </c>
      <c r="BE207" s="19">
        <v>98.578199999999995</v>
      </c>
      <c r="BF207">
        <v>35.968000000000004</v>
      </c>
      <c r="BG207">
        <v>38.5</v>
      </c>
      <c r="BH207" s="20">
        <v>3.2713999999999999</v>
      </c>
      <c r="BI207" s="20">
        <v>7222.8065999999999</v>
      </c>
      <c r="BJ207" s="19">
        <v>99.530500000000004</v>
      </c>
      <c r="BK207">
        <v>0.99239999999999995</v>
      </c>
      <c r="BL207">
        <v>1.0543</v>
      </c>
      <c r="BM207">
        <v>1.0960000000000001</v>
      </c>
      <c r="BN207">
        <v>6</v>
      </c>
      <c r="BO207">
        <v>9.4060000000000006</v>
      </c>
      <c r="BP207">
        <v>17.2</v>
      </c>
      <c r="BQ207" s="19">
        <v>94.933899999999994</v>
      </c>
      <c r="BR207">
        <v>74.459400000000002</v>
      </c>
      <c r="BS207" s="20">
        <v>8.1929999999999996</v>
      </c>
      <c r="BT207" s="20">
        <v>8.1929999999999996</v>
      </c>
      <c r="BU207" s="20">
        <v>19.817</v>
      </c>
      <c r="BV207" s="20">
        <v>19.920999999999999</v>
      </c>
      <c r="BW207" s="19">
        <v>97.183099999999996</v>
      </c>
      <c r="BX207">
        <v>22.22</v>
      </c>
      <c r="BY207" s="5">
        <v>10840428</v>
      </c>
      <c r="BZ207" s="6">
        <v>20241057</v>
      </c>
      <c r="CA207" s="7">
        <f t="shared" si="15"/>
        <v>1.8671824581095875</v>
      </c>
      <c r="CB207">
        <v>5438972</v>
      </c>
      <c r="CC207" s="8">
        <f t="shared" si="16"/>
        <v>3.7214857881231969</v>
      </c>
      <c r="CD207" s="8">
        <f t="shared" si="17"/>
        <v>1.9931023730219608</v>
      </c>
      <c r="CE207">
        <v>338411</v>
      </c>
      <c r="CF207" s="8">
        <f t="shared" si="18"/>
        <v>32.033320429891461</v>
      </c>
      <c r="CG207" s="8">
        <f t="shared" si="19"/>
        <v>59.812053981696813</v>
      </c>
      <c r="CH207">
        <v>98.707359999999994</v>
      </c>
    </row>
    <row r="208" spans="1:86" ht="15.5" x14ac:dyDescent="0.35">
      <c r="A208" t="s">
        <v>94</v>
      </c>
      <c r="B208">
        <v>2014</v>
      </c>
      <c r="C208" s="2">
        <v>56.4163</v>
      </c>
      <c r="D208">
        <v>67861.72</v>
      </c>
      <c r="E208">
        <v>0.17180000000000001</v>
      </c>
      <c r="F208">
        <v>9.0519999999999996</v>
      </c>
      <c r="G208">
        <v>58900</v>
      </c>
      <c r="H208">
        <v>9</v>
      </c>
      <c r="I208" s="19">
        <v>100.15600000000001</v>
      </c>
      <c r="J208" s="19">
        <v>100.23</v>
      </c>
      <c r="K208" s="19">
        <v>2.8130000000000002</v>
      </c>
      <c r="L208" s="19">
        <v>98.557699999999997</v>
      </c>
      <c r="M208" s="19">
        <v>-3711000000</v>
      </c>
      <c r="N208" s="19">
        <v>124.26609999999999</v>
      </c>
      <c r="O208">
        <v>33.314</v>
      </c>
      <c r="P208">
        <v>32.197000000000003</v>
      </c>
      <c r="Q208" s="19">
        <v>50180.785000000003</v>
      </c>
      <c r="R208" s="19">
        <v>42502.488100000002</v>
      </c>
      <c r="S208" s="19">
        <v>-0.88880000000000003</v>
      </c>
      <c r="T208" s="19">
        <v>52680.786800000002</v>
      </c>
      <c r="U208" s="19">
        <v>41547.098400000003</v>
      </c>
      <c r="V208">
        <v>26.8</v>
      </c>
      <c r="W208" s="19">
        <v>99.038499999999999</v>
      </c>
      <c r="X208">
        <v>98</v>
      </c>
      <c r="Z208">
        <v>96</v>
      </c>
      <c r="AA208">
        <v>2</v>
      </c>
      <c r="AB208">
        <v>86.5</v>
      </c>
      <c r="AC208">
        <v>81.180499999999995</v>
      </c>
      <c r="AD208">
        <v>99.576300000000003</v>
      </c>
      <c r="AE208">
        <v>7</v>
      </c>
      <c r="AF208">
        <v>93.778499999999994</v>
      </c>
      <c r="AG208">
        <v>4.4000000000000004</v>
      </c>
      <c r="AH208">
        <v>0.49</v>
      </c>
      <c r="AI208">
        <v>2.6</v>
      </c>
      <c r="AJ208">
        <v>2.2999999999999998</v>
      </c>
      <c r="AK208">
        <v>2.8</v>
      </c>
      <c r="AL208">
        <v>73.913600000000002</v>
      </c>
      <c r="AM208">
        <v>1.4</v>
      </c>
      <c r="AN208">
        <v>15915</v>
      </c>
      <c r="AO208">
        <v>0</v>
      </c>
      <c r="AP208">
        <v>100</v>
      </c>
      <c r="AQ208">
        <v>99.447999999999993</v>
      </c>
      <c r="AR208">
        <v>99.369299999999996</v>
      </c>
      <c r="AU208">
        <v>6.1185999999999998</v>
      </c>
      <c r="AV208" s="19">
        <v>96.1905</v>
      </c>
      <c r="AW208">
        <v>0.1</v>
      </c>
      <c r="AX208">
        <v>12.4</v>
      </c>
      <c r="AY208">
        <v>6</v>
      </c>
      <c r="AZ208">
        <v>6</v>
      </c>
      <c r="BA208">
        <v>88.7273</v>
      </c>
      <c r="BB208">
        <v>42.5</v>
      </c>
      <c r="BC208">
        <v>7.7815000000000003</v>
      </c>
      <c r="BD208" s="19">
        <v>-0.47799999999999998</v>
      </c>
      <c r="BE208" s="19">
        <v>98.557699999999997</v>
      </c>
      <c r="BF208">
        <v>38.580399999999997</v>
      </c>
      <c r="BG208">
        <v>41.2</v>
      </c>
      <c r="BH208" s="20">
        <v>3.1475</v>
      </c>
      <c r="BI208" s="20">
        <v>7022.1864999999998</v>
      </c>
      <c r="BJ208" s="19">
        <v>100</v>
      </c>
      <c r="BK208">
        <v>0.99580000000000002</v>
      </c>
      <c r="BL208">
        <v>1.0568</v>
      </c>
      <c r="BM208">
        <v>1.099</v>
      </c>
      <c r="BN208">
        <v>6</v>
      </c>
      <c r="BO208">
        <v>9.8569999999999993</v>
      </c>
      <c r="BP208">
        <v>15.52</v>
      </c>
      <c r="BQ208" s="19">
        <v>95.793300000000002</v>
      </c>
      <c r="BR208">
        <v>73.376900000000006</v>
      </c>
      <c r="BS208" s="20">
        <v>8.6630000000000003</v>
      </c>
      <c r="BT208" s="20">
        <v>8.6630000000000003</v>
      </c>
      <c r="BU208" s="20">
        <v>20.454000000000001</v>
      </c>
      <c r="BV208" s="20">
        <v>20.545000000000002</v>
      </c>
      <c r="BW208" s="19">
        <v>97.536900000000003</v>
      </c>
      <c r="BX208">
        <v>20.99</v>
      </c>
      <c r="BY208" s="5">
        <v>10660106</v>
      </c>
      <c r="BZ208" s="6">
        <v>19786022</v>
      </c>
      <c r="CA208" s="7">
        <f t="shared" si="15"/>
        <v>1.8560811684236536</v>
      </c>
      <c r="CB208">
        <v>5461512</v>
      </c>
      <c r="CC208" s="8">
        <f t="shared" si="16"/>
        <v>3.622810313334476</v>
      </c>
      <c r="CD208" s="8">
        <f t="shared" si="17"/>
        <v>1.9518598512646315</v>
      </c>
      <c r="CE208">
        <v>338411</v>
      </c>
      <c r="CF208" s="8">
        <f t="shared" si="18"/>
        <v>31.5004713203767</v>
      </c>
      <c r="CG208" s="8">
        <f t="shared" si="19"/>
        <v>58.46743161422058</v>
      </c>
      <c r="CH208">
        <v>100.16706000000001</v>
      </c>
    </row>
    <row r="209" spans="1:86" ht="15.5" x14ac:dyDescent="0.35">
      <c r="A209" t="s">
        <v>94</v>
      </c>
      <c r="B209">
        <v>2015</v>
      </c>
      <c r="C209" s="2">
        <v>57.644300000000001</v>
      </c>
      <c r="D209">
        <v>66932.25</v>
      </c>
      <c r="E209">
        <v>0.159</v>
      </c>
      <c r="F209">
        <v>8.3895999999999997</v>
      </c>
      <c r="G209">
        <v>55400</v>
      </c>
      <c r="H209">
        <v>9</v>
      </c>
      <c r="I209" s="19">
        <v>100</v>
      </c>
      <c r="J209" s="19">
        <v>99.98</v>
      </c>
      <c r="K209" s="19">
        <v>2.79</v>
      </c>
      <c r="L209" s="19">
        <v>99.523799999999994</v>
      </c>
      <c r="M209" s="19">
        <v>-2118000000</v>
      </c>
      <c r="N209" s="19">
        <v>100</v>
      </c>
      <c r="O209">
        <v>37.204999999999998</v>
      </c>
      <c r="P209">
        <v>31.569099999999999</v>
      </c>
      <c r="Q209" s="19">
        <v>42625.16</v>
      </c>
      <c r="R209" s="19">
        <v>42560.345699999998</v>
      </c>
      <c r="S209" s="19">
        <v>0.1361</v>
      </c>
      <c r="T209" s="19">
        <v>52752.499799999998</v>
      </c>
      <c r="U209" s="19">
        <v>42269.2212</v>
      </c>
      <c r="V209">
        <v>27.1</v>
      </c>
      <c r="W209" s="19">
        <v>98.095200000000006</v>
      </c>
      <c r="X209">
        <v>97</v>
      </c>
      <c r="Z209">
        <v>95</v>
      </c>
      <c r="AA209">
        <v>2</v>
      </c>
      <c r="AB209">
        <v>86.4</v>
      </c>
      <c r="AC209">
        <v>81.480500000000006</v>
      </c>
      <c r="AD209">
        <v>98.988299999999995</v>
      </c>
      <c r="AE209">
        <v>7</v>
      </c>
      <c r="AF209">
        <v>95.56</v>
      </c>
      <c r="AG209">
        <v>5.0999999999999996</v>
      </c>
      <c r="AH209">
        <v>0.51</v>
      </c>
      <c r="AI209">
        <v>2.5</v>
      </c>
      <c r="AJ209">
        <v>2.2999999999999998</v>
      </c>
      <c r="AK209">
        <v>2.7</v>
      </c>
      <c r="AL209">
        <v>73.126000000000005</v>
      </c>
      <c r="AM209">
        <v>1.4</v>
      </c>
      <c r="AN209">
        <v>12655</v>
      </c>
      <c r="AO209">
        <v>0</v>
      </c>
      <c r="AP209">
        <v>100</v>
      </c>
      <c r="AQ209">
        <v>99.447999999999993</v>
      </c>
      <c r="AR209">
        <v>99.630600000000001</v>
      </c>
      <c r="AU209">
        <v>5.625</v>
      </c>
      <c r="AV209" s="19">
        <v>85.714299999999994</v>
      </c>
      <c r="AW209">
        <v>0.1</v>
      </c>
      <c r="AX209">
        <v>11.6</v>
      </c>
      <c r="AY209">
        <v>6</v>
      </c>
      <c r="AZ209">
        <v>6</v>
      </c>
      <c r="BA209">
        <v>88.887699999999995</v>
      </c>
      <c r="BB209">
        <v>41.5</v>
      </c>
      <c r="BC209">
        <v>7.5776000000000003</v>
      </c>
      <c r="BD209" s="19">
        <v>0.46700000000000003</v>
      </c>
      <c r="BE209" s="19">
        <v>98.095200000000006</v>
      </c>
      <c r="BF209">
        <v>44.501199999999997</v>
      </c>
      <c r="BG209">
        <v>43.2</v>
      </c>
      <c r="BH209" s="20">
        <v>2.8719999999999999</v>
      </c>
      <c r="BI209" s="20">
        <v>6855.9712</v>
      </c>
      <c r="BJ209" s="19">
        <v>100</v>
      </c>
      <c r="BK209">
        <v>0.99419999999999997</v>
      </c>
      <c r="BL209">
        <v>1.0571999999999999</v>
      </c>
      <c r="BM209">
        <v>1.1015999999999999</v>
      </c>
      <c r="BN209">
        <v>6</v>
      </c>
      <c r="BO209">
        <v>10.59</v>
      </c>
      <c r="BP209">
        <v>14.09</v>
      </c>
      <c r="BQ209" s="19">
        <v>100</v>
      </c>
      <c r="BR209">
        <v>71.003299999999996</v>
      </c>
      <c r="BS209" s="20">
        <v>9.3759999999999994</v>
      </c>
      <c r="BT209" s="20">
        <v>9.3759999999999994</v>
      </c>
      <c r="BU209" s="20">
        <v>22.303999999999998</v>
      </c>
      <c r="BV209" s="20">
        <v>22.446000000000002</v>
      </c>
      <c r="BW209" s="19">
        <v>96.551699999999997</v>
      </c>
      <c r="BX209">
        <v>18.34</v>
      </c>
      <c r="BY209" s="5">
        <v>10734841</v>
      </c>
      <c r="BZ209" s="6">
        <v>19738123</v>
      </c>
      <c r="CA209" s="7">
        <f t="shared" si="15"/>
        <v>1.8386972848503298</v>
      </c>
      <c r="CB209">
        <v>5479531</v>
      </c>
      <c r="CC209" s="8">
        <f t="shared" si="16"/>
        <v>3.6021555494439212</v>
      </c>
      <c r="CD209" s="8">
        <f t="shared" si="17"/>
        <v>1.9590802570511965</v>
      </c>
      <c r="CE209">
        <v>338411</v>
      </c>
      <c r="CF209" s="8">
        <f t="shared" si="18"/>
        <v>31.72131225048831</v>
      </c>
      <c r="CG209" s="8">
        <f t="shared" si="19"/>
        <v>58.325890706862367</v>
      </c>
      <c r="CH209">
        <v>100</v>
      </c>
    </row>
    <row r="210" spans="1:86" ht="15.5" x14ac:dyDescent="0.35">
      <c r="A210" t="s">
        <v>94</v>
      </c>
      <c r="B210">
        <v>2016</v>
      </c>
      <c r="C210" s="2">
        <v>58.659100000000002</v>
      </c>
      <c r="D210">
        <v>79418.02</v>
      </c>
      <c r="E210">
        <v>0.1646</v>
      </c>
      <c r="F210">
        <v>8.8809000000000005</v>
      </c>
      <c r="G210">
        <v>55400</v>
      </c>
      <c r="H210">
        <v>10</v>
      </c>
      <c r="I210" s="19">
        <v>100.389</v>
      </c>
      <c r="J210" s="19">
        <v>101.08</v>
      </c>
      <c r="K210" s="19">
        <v>2.9319999999999999</v>
      </c>
      <c r="L210" s="19">
        <v>99.047600000000003</v>
      </c>
      <c r="M210" s="19">
        <v>-4701000000</v>
      </c>
      <c r="N210" s="19">
        <v>96.808199999999999</v>
      </c>
      <c r="O210">
        <v>30.678999999999998</v>
      </c>
      <c r="P210">
        <v>31.152899999999999</v>
      </c>
      <c r="Q210" s="19">
        <v>43502.557000000001</v>
      </c>
      <c r="R210" s="19">
        <v>43529.676200000002</v>
      </c>
      <c r="S210" s="19">
        <v>2.2774999999999999</v>
      </c>
      <c r="T210" s="19">
        <v>53953.9611</v>
      </c>
      <c r="U210" s="19">
        <v>44562.401100000003</v>
      </c>
      <c r="V210">
        <v>27.1</v>
      </c>
      <c r="W210" s="19">
        <v>99.047600000000003</v>
      </c>
      <c r="X210">
        <v>92</v>
      </c>
      <c r="Z210">
        <v>94</v>
      </c>
      <c r="AA210">
        <v>1.9</v>
      </c>
      <c r="AB210">
        <v>87.7</v>
      </c>
      <c r="AC210">
        <v>81.429299999999998</v>
      </c>
      <c r="AD210">
        <v>99.482799999999997</v>
      </c>
      <c r="AE210">
        <v>7</v>
      </c>
      <c r="AF210">
        <v>95.981999999999999</v>
      </c>
      <c r="AG210">
        <v>4.7</v>
      </c>
      <c r="AH210">
        <v>0.36</v>
      </c>
      <c r="AI210">
        <v>2.4</v>
      </c>
      <c r="AJ210">
        <v>2.2000000000000002</v>
      </c>
      <c r="AK210">
        <v>2.6</v>
      </c>
      <c r="AL210">
        <v>72.246099999999998</v>
      </c>
      <c r="AM210">
        <v>1.4</v>
      </c>
      <c r="AN210">
        <v>17321</v>
      </c>
      <c r="AO210">
        <v>0</v>
      </c>
      <c r="AP210">
        <v>100</v>
      </c>
      <c r="AQ210">
        <v>99.447999999999993</v>
      </c>
      <c r="AR210">
        <v>99.631900000000002</v>
      </c>
      <c r="AU210">
        <v>5.2781000000000002</v>
      </c>
      <c r="AV210" s="19">
        <v>84.761899999999997</v>
      </c>
      <c r="AW210">
        <v>0</v>
      </c>
      <c r="AX210">
        <v>11.5</v>
      </c>
      <c r="AY210">
        <v>6</v>
      </c>
      <c r="AZ210">
        <v>6</v>
      </c>
      <c r="BA210">
        <v>89.048100000000005</v>
      </c>
      <c r="BB210">
        <v>41.5</v>
      </c>
      <c r="BC210">
        <v>7.2991999999999999</v>
      </c>
      <c r="BD210" s="19">
        <v>2.5720000000000001</v>
      </c>
      <c r="BE210" s="19">
        <v>96.1905</v>
      </c>
      <c r="BF210">
        <v>44.231499999999997</v>
      </c>
      <c r="BG210">
        <v>42.4</v>
      </c>
      <c r="BH210" s="20">
        <v>2.7244000000000002</v>
      </c>
      <c r="BI210" s="20">
        <v>6543.6997000000001</v>
      </c>
      <c r="BJ210" s="19">
        <v>100</v>
      </c>
      <c r="BK210">
        <v>0.99560000000000004</v>
      </c>
      <c r="BL210">
        <v>1.0576000000000001</v>
      </c>
      <c r="BM210">
        <v>1.1022000000000001</v>
      </c>
      <c r="BN210">
        <v>6</v>
      </c>
      <c r="BO210">
        <v>9.2390000000000008</v>
      </c>
      <c r="BP210">
        <v>15.29</v>
      </c>
      <c r="BQ210" s="19">
        <v>99.569500000000005</v>
      </c>
      <c r="BR210">
        <v>73.478200000000001</v>
      </c>
      <c r="BS210" s="20">
        <v>8.8179999999999996</v>
      </c>
      <c r="BT210" s="20">
        <v>8.8179999999999996</v>
      </c>
      <c r="BU210" s="20">
        <v>20.056999999999999</v>
      </c>
      <c r="BV210" s="20">
        <v>20.149000000000001</v>
      </c>
      <c r="BW210" s="19">
        <v>97.044300000000007</v>
      </c>
      <c r="BX210">
        <v>17.920000000000002</v>
      </c>
      <c r="BY210" s="5">
        <v>11108083</v>
      </c>
      <c r="BZ210" s="6">
        <v>20343433</v>
      </c>
      <c r="CA210" s="7">
        <f t="shared" si="15"/>
        <v>1.8314080836450357</v>
      </c>
      <c r="CB210">
        <v>5495303</v>
      </c>
      <c r="CC210" s="8">
        <f t="shared" si="16"/>
        <v>3.7019674802281148</v>
      </c>
      <c r="CD210" s="8">
        <f t="shared" si="17"/>
        <v>2.0213777111107429</v>
      </c>
      <c r="CE210">
        <v>338411</v>
      </c>
      <c r="CF210" s="8">
        <f t="shared" si="18"/>
        <v>32.824237391810549</v>
      </c>
      <c r="CG210" s="8">
        <f t="shared" si="19"/>
        <v>60.11457369884549</v>
      </c>
      <c r="CH210">
        <v>100.30253999999999</v>
      </c>
    </row>
    <row r="211" spans="1:86" ht="15.5" x14ac:dyDescent="0.35">
      <c r="A211" t="s">
        <v>94</v>
      </c>
      <c r="B211">
        <v>2017</v>
      </c>
      <c r="C211" s="2">
        <v>59.603499999999997</v>
      </c>
      <c r="D211">
        <v>79683.3</v>
      </c>
      <c r="E211">
        <v>0.15040000000000001</v>
      </c>
      <c r="F211">
        <v>8.3643999999999998</v>
      </c>
      <c r="G211">
        <v>55400</v>
      </c>
      <c r="H211">
        <v>10</v>
      </c>
      <c r="I211" s="19">
        <v>101.232</v>
      </c>
      <c r="J211" s="19">
        <v>101.59</v>
      </c>
      <c r="K211" s="19">
        <v>3.3260000000000001</v>
      </c>
      <c r="L211" s="19">
        <v>98.571399999999997</v>
      </c>
      <c r="M211" s="19">
        <v>-1663000000</v>
      </c>
      <c r="N211" s="19">
        <v>113.80200000000001</v>
      </c>
      <c r="O211">
        <v>33.055</v>
      </c>
      <c r="P211">
        <v>31.043500000000002</v>
      </c>
      <c r="Q211" s="19">
        <v>46109.915999999997</v>
      </c>
      <c r="R211" s="19">
        <v>44862.220500000003</v>
      </c>
      <c r="S211" s="19">
        <v>3.0611999999999999</v>
      </c>
      <c r="T211" s="19">
        <v>55605.616900000001</v>
      </c>
      <c r="U211" s="19">
        <v>47234.852899999998</v>
      </c>
      <c r="V211">
        <v>27.4</v>
      </c>
      <c r="W211" s="19">
        <v>99.047600000000003</v>
      </c>
      <c r="X211">
        <v>89</v>
      </c>
      <c r="Z211">
        <v>94</v>
      </c>
      <c r="AA211">
        <v>1.9</v>
      </c>
      <c r="AB211">
        <v>87.5</v>
      </c>
      <c r="AC211">
        <v>81.631699999999995</v>
      </c>
      <c r="AD211">
        <v>99.804500000000004</v>
      </c>
      <c r="AE211">
        <v>8</v>
      </c>
      <c r="AF211">
        <v>96.181200000000004</v>
      </c>
      <c r="AG211">
        <v>4.4000000000000004</v>
      </c>
      <c r="AH211">
        <v>0.38</v>
      </c>
      <c r="AI211">
        <v>2.4</v>
      </c>
      <c r="AJ211">
        <v>2.2000000000000002</v>
      </c>
      <c r="AK211">
        <v>2.6</v>
      </c>
      <c r="AL211">
        <v>72.308499999999995</v>
      </c>
      <c r="AM211">
        <v>1.4</v>
      </c>
      <c r="AN211">
        <v>13356</v>
      </c>
      <c r="AO211">
        <v>0</v>
      </c>
      <c r="AP211">
        <v>100</v>
      </c>
      <c r="AQ211">
        <v>99.447999999999993</v>
      </c>
      <c r="AR211">
        <v>99.633099999999999</v>
      </c>
      <c r="AU211">
        <v>5.1266999999999996</v>
      </c>
      <c r="AV211" s="19">
        <v>86.666700000000006</v>
      </c>
      <c r="AW211">
        <v>0.1</v>
      </c>
      <c r="AX211">
        <v>12</v>
      </c>
      <c r="AY211">
        <v>6</v>
      </c>
      <c r="AZ211">
        <v>6</v>
      </c>
      <c r="BA211">
        <v>89.208399999999997</v>
      </c>
      <c r="BB211">
        <v>42</v>
      </c>
      <c r="BC211">
        <v>7.12</v>
      </c>
      <c r="BD211" s="19">
        <v>3.3029999999999999</v>
      </c>
      <c r="BE211" s="19">
        <v>96.666700000000006</v>
      </c>
      <c r="BF211">
        <v>46.613999999999997</v>
      </c>
      <c r="BG211">
        <v>44.4</v>
      </c>
      <c r="BH211" s="20">
        <v>2.7279</v>
      </c>
      <c r="BI211" s="20">
        <v>6731.4535999999998</v>
      </c>
      <c r="BJ211" s="19">
        <v>100</v>
      </c>
      <c r="BK211">
        <v>0.99490000000000001</v>
      </c>
      <c r="BL211">
        <v>1.0563</v>
      </c>
      <c r="BM211">
        <v>1.1004</v>
      </c>
      <c r="BN211">
        <v>6</v>
      </c>
      <c r="BO211">
        <v>8.8879999999999999</v>
      </c>
      <c r="BP211">
        <v>15.71</v>
      </c>
      <c r="BQ211" s="19">
        <v>98.019800000000004</v>
      </c>
      <c r="BR211">
        <v>73.726100000000002</v>
      </c>
      <c r="BS211" s="20">
        <v>8.64</v>
      </c>
      <c r="BT211" s="20">
        <v>8.64</v>
      </c>
      <c r="BU211" s="20">
        <v>20.041</v>
      </c>
      <c r="BV211" s="20">
        <v>20.126999999999999</v>
      </c>
      <c r="BW211" s="19">
        <v>98.522199999999998</v>
      </c>
      <c r="BX211">
        <v>17.420000000000002</v>
      </c>
      <c r="BY211" s="5">
        <v>11794394</v>
      </c>
      <c r="BZ211" s="6">
        <v>21914154</v>
      </c>
      <c r="CA211" s="7">
        <f t="shared" si="15"/>
        <v>1.8580144092184812</v>
      </c>
      <c r="CB211">
        <v>5508214</v>
      </c>
      <c r="CC211" s="8">
        <f t="shared" si="16"/>
        <v>3.9784500021241005</v>
      </c>
      <c r="CD211" s="8">
        <f t="shared" si="17"/>
        <v>2.1412374319516272</v>
      </c>
      <c r="CE211">
        <v>338411</v>
      </c>
      <c r="CF211" s="8">
        <f t="shared" si="18"/>
        <v>34.852277260490943</v>
      </c>
      <c r="CG211" s="8">
        <f t="shared" si="19"/>
        <v>64.756033344069792</v>
      </c>
      <c r="CH211">
        <v>99.532079999999993</v>
      </c>
    </row>
    <row r="212" spans="1:86" ht="15.5" x14ac:dyDescent="0.35">
      <c r="A212" t="s">
        <v>94</v>
      </c>
      <c r="B212">
        <v>2018</v>
      </c>
      <c r="C212" s="2">
        <v>60.4741</v>
      </c>
      <c r="D212">
        <v>68567.009999999995</v>
      </c>
      <c r="E212">
        <v>0.153</v>
      </c>
      <c r="F212">
        <v>8.6001999999999992</v>
      </c>
      <c r="G212">
        <v>55400</v>
      </c>
      <c r="H212">
        <v>10</v>
      </c>
      <c r="I212" s="19">
        <v>102.41500000000001</v>
      </c>
      <c r="J212" s="19">
        <v>102.93</v>
      </c>
      <c r="K212" s="19">
        <v>3.5790000000000002</v>
      </c>
      <c r="L212" s="19">
        <v>100</v>
      </c>
      <c r="M212" s="19">
        <v>-4415000000</v>
      </c>
      <c r="N212" s="19">
        <v>126.8343</v>
      </c>
      <c r="O212">
        <v>30.957999999999998</v>
      </c>
      <c r="P212">
        <v>31.491700000000002</v>
      </c>
      <c r="Q212" s="19">
        <v>49698.347000000002</v>
      </c>
      <c r="R212" s="19">
        <v>45337.241099999999</v>
      </c>
      <c r="S212" s="19">
        <v>1.0588</v>
      </c>
      <c r="T212" s="19">
        <v>56194.393300000003</v>
      </c>
      <c r="U212" s="19">
        <v>49248.677499999998</v>
      </c>
      <c r="V212">
        <v>27.3</v>
      </c>
      <c r="W212" s="19">
        <v>99.523799999999994</v>
      </c>
      <c r="X212">
        <v>91</v>
      </c>
      <c r="Z212">
        <v>96</v>
      </c>
      <c r="AA212">
        <v>1.9</v>
      </c>
      <c r="AB212">
        <v>88.9</v>
      </c>
      <c r="AC212">
        <v>81.734099999999998</v>
      </c>
      <c r="AD212">
        <v>100.02589999999999</v>
      </c>
      <c r="AE212">
        <v>8</v>
      </c>
      <c r="AF212">
        <v>96.267899999999997</v>
      </c>
      <c r="AG212">
        <v>4.5</v>
      </c>
      <c r="AH212">
        <v>0.59</v>
      </c>
      <c r="AI212">
        <v>2.4</v>
      </c>
      <c r="AJ212">
        <v>2.1</v>
      </c>
      <c r="AK212">
        <v>2.6</v>
      </c>
      <c r="AL212">
        <v>72.123999999999995</v>
      </c>
      <c r="AM212">
        <v>1.4</v>
      </c>
      <c r="AN212">
        <v>11822</v>
      </c>
      <c r="AO212">
        <v>0</v>
      </c>
      <c r="AP212">
        <v>100</v>
      </c>
      <c r="AQ212">
        <v>99.447999999999993</v>
      </c>
      <c r="AR212">
        <v>99.634500000000003</v>
      </c>
      <c r="AU212">
        <v>5.4969999999999999</v>
      </c>
      <c r="AV212" s="19">
        <v>77.830200000000005</v>
      </c>
      <c r="AW212">
        <v>0.1</v>
      </c>
      <c r="AX212">
        <v>11.6</v>
      </c>
      <c r="AY212">
        <v>6</v>
      </c>
      <c r="AZ212">
        <v>6</v>
      </c>
      <c r="BA212">
        <v>89.368799999999993</v>
      </c>
      <c r="BB212">
        <v>42</v>
      </c>
      <c r="BC212">
        <v>7.1055999999999999</v>
      </c>
      <c r="BD212" s="19">
        <v>1.1930000000000001</v>
      </c>
      <c r="BE212" s="19">
        <v>96.1905</v>
      </c>
      <c r="BF212">
        <v>45.741</v>
      </c>
      <c r="BG212">
        <v>44.2</v>
      </c>
      <c r="BH212" s="20">
        <v>2.7574999999999998</v>
      </c>
      <c r="BI212" s="20">
        <v>6872.6895000000004</v>
      </c>
      <c r="BJ212" s="19">
        <v>100</v>
      </c>
      <c r="BK212">
        <v>0.99470000000000003</v>
      </c>
      <c r="BL212">
        <v>1.0579000000000001</v>
      </c>
      <c r="BM212">
        <v>1.1035999999999999</v>
      </c>
      <c r="BN212">
        <v>6</v>
      </c>
      <c r="BO212">
        <v>7.7460000000000004</v>
      </c>
      <c r="BP212">
        <v>15.67</v>
      </c>
      <c r="BQ212" s="19">
        <v>96.933499999999995</v>
      </c>
      <c r="BR212">
        <v>77.762200000000007</v>
      </c>
      <c r="BS212" s="20">
        <v>7.3609999999999998</v>
      </c>
      <c r="BT212" s="20">
        <v>7.3609999999999998</v>
      </c>
      <c r="BU212" s="20">
        <v>16.957999999999998</v>
      </c>
      <c r="BV212" s="20">
        <v>17.027000000000001</v>
      </c>
      <c r="BW212" s="19">
        <v>98.543700000000001</v>
      </c>
      <c r="BX212">
        <v>17.190000000000001</v>
      </c>
      <c r="BY212" s="5">
        <v>11967117</v>
      </c>
      <c r="BZ212" s="6">
        <v>22235084</v>
      </c>
      <c r="CA212" s="7">
        <f t="shared" si="15"/>
        <v>1.8580150925239554</v>
      </c>
      <c r="CB212">
        <v>5515525</v>
      </c>
      <c r="CC212" s="8">
        <f t="shared" si="16"/>
        <v>4.031363106866527</v>
      </c>
      <c r="CD212" s="8">
        <f t="shared" si="17"/>
        <v>2.1697149410074292</v>
      </c>
      <c r="CE212">
        <v>338411</v>
      </c>
      <c r="CF212" s="8">
        <f t="shared" si="18"/>
        <v>35.362671426165228</v>
      </c>
      <c r="CG212" s="8">
        <f t="shared" si="19"/>
        <v>65.704377221780618</v>
      </c>
      <c r="CH212">
        <v>99.499179999999996</v>
      </c>
    </row>
    <row r="213" spans="1:86" ht="15.5" x14ac:dyDescent="0.35">
      <c r="A213" t="s">
        <v>94</v>
      </c>
      <c r="B213">
        <v>2019</v>
      </c>
      <c r="C213" s="2">
        <v>61.127899999999997</v>
      </c>
      <c r="D213">
        <v>67925.41</v>
      </c>
      <c r="E213">
        <v>0.14050000000000001</v>
      </c>
      <c r="F213">
        <v>7.9942000000000002</v>
      </c>
      <c r="G213">
        <v>55400</v>
      </c>
      <c r="H213">
        <v>10</v>
      </c>
      <c r="I213" s="19">
        <v>103.57899999999999</v>
      </c>
      <c r="J213" s="19">
        <v>104.1</v>
      </c>
      <c r="K213" s="19">
        <v>3.831</v>
      </c>
      <c r="L213" s="19">
        <v>98.571399999999997</v>
      </c>
      <c r="M213" s="19">
        <v>-368000000</v>
      </c>
      <c r="N213" s="19">
        <v>122.82040000000001</v>
      </c>
      <c r="O213">
        <v>33.366</v>
      </c>
      <c r="P213">
        <v>32.543999999999997</v>
      </c>
      <c r="Q213" s="19">
        <v>48395.834000000003</v>
      </c>
      <c r="R213" s="19">
        <v>45898.571000000004</v>
      </c>
      <c r="S213" s="19">
        <v>1.2381</v>
      </c>
      <c r="T213" s="19">
        <v>56890.147799999999</v>
      </c>
      <c r="U213" s="19">
        <v>52276.111599999997</v>
      </c>
      <c r="V213">
        <v>27.7</v>
      </c>
      <c r="W213" s="19">
        <v>99.523799999999994</v>
      </c>
      <c r="X213">
        <v>91</v>
      </c>
      <c r="Z213">
        <v>96</v>
      </c>
      <c r="AA213">
        <v>1.9</v>
      </c>
      <c r="AB213">
        <v>89.6</v>
      </c>
      <c r="AC213">
        <v>81.982900000000001</v>
      </c>
      <c r="AD213">
        <v>99.9983</v>
      </c>
      <c r="AE213">
        <v>8</v>
      </c>
      <c r="AF213">
        <v>96.305400000000006</v>
      </c>
      <c r="AG213">
        <v>3.9</v>
      </c>
      <c r="AH213">
        <v>0.47</v>
      </c>
      <c r="AI213">
        <v>2.2999999999999998</v>
      </c>
      <c r="AJ213">
        <v>2.1</v>
      </c>
      <c r="AK213">
        <v>2.5</v>
      </c>
      <c r="AL213">
        <v>72.432100000000005</v>
      </c>
      <c r="AM213">
        <v>1.4</v>
      </c>
      <c r="AN213">
        <v>15671</v>
      </c>
      <c r="AO213">
        <v>0</v>
      </c>
      <c r="AP213">
        <v>100</v>
      </c>
      <c r="AQ213">
        <v>99.447999999999993</v>
      </c>
      <c r="AR213">
        <v>99.636200000000002</v>
      </c>
      <c r="AU213">
        <v>5.3787000000000003</v>
      </c>
      <c r="AV213" s="19">
        <v>75.943399999999997</v>
      </c>
      <c r="AW213">
        <v>0</v>
      </c>
      <c r="AX213">
        <v>12.2</v>
      </c>
      <c r="AY213">
        <v>6</v>
      </c>
      <c r="AZ213">
        <v>6</v>
      </c>
      <c r="BA213">
        <v>89.529200000000003</v>
      </c>
      <c r="BB213">
        <v>47</v>
      </c>
      <c r="BC213">
        <v>7.3548</v>
      </c>
      <c r="BD213" s="19">
        <v>1.35</v>
      </c>
      <c r="BE213" s="19">
        <v>97.619</v>
      </c>
      <c r="BF213">
        <v>46.443399999999997</v>
      </c>
      <c r="BG213">
        <v>45.4</v>
      </c>
      <c r="BH213" s="20">
        <v>2.7995999999999999</v>
      </c>
      <c r="BI213" s="20">
        <v>7245.8584000000001</v>
      </c>
      <c r="BJ213" s="19">
        <v>100</v>
      </c>
      <c r="BK213">
        <v>0.99450000000000005</v>
      </c>
      <c r="BL213">
        <v>1.0517000000000001</v>
      </c>
      <c r="BM213">
        <v>1.0956999999999999</v>
      </c>
      <c r="BN213">
        <v>6</v>
      </c>
      <c r="BO213">
        <v>7.3860000000000001</v>
      </c>
      <c r="BP213">
        <v>14.38</v>
      </c>
      <c r="BQ213" s="19">
        <v>96.197500000000005</v>
      </c>
      <c r="BR213">
        <v>78.869699999999995</v>
      </c>
      <c r="BS213" s="20">
        <v>6.6950000000000003</v>
      </c>
      <c r="BT213" s="20">
        <v>6.6950000000000003</v>
      </c>
      <c r="BU213" s="20">
        <v>17.128</v>
      </c>
      <c r="BV213" s="20">
        <v>17.201000000000001</v>
      </c>
      <c r="BW213" s="19">
        <v>99.516900000000007</v>
      </c>
      <c r="BX213">
        <v>18.21</v>
      </c>
      <c r="BY213" s="5">
        <v>12426677</v>
      </c>
      <c r="BZ213" s="6">
        <v>23095660</v>
      </c>
      <c r="CA213" s="7">
        <f t="shared" si="15"/>
        <v>1.8585547850000446</v>
      </c>
      <c r="CB213">
        <v>5521606</v>
      </c>
      <c r="CC213" s="8">
        <f t="shared" si="16"/>
        <v>4.1827794304772921</v>
      </c>
      <c r="CD213" s="8">
        <f t="shared" si="17"/>
        <v>2.2505548204634667</v>
      </c>
      <c r="CE213">
        <v>338411</v>
      </c>
      <c r="CF213" s="8">
        <f t="shared" si="18"/>
        <v>36.720665108403686</v>
      </c>
      <c r="CG213" s="8">
        <f t="shared" si="19"/>
        <v>68.247367845607855</v>
      </c>
      <c r="CH213">
        <v>99.499409999999997</v>
      </c>
    </row>
    <row r="214" spans="1:86" ht="15.5" x14ac:dyDescent="0.35">
      <c r="A214" t="s">
        <v>94</v>
      </c>
      <c r="B214">
        <v>2020</v>
      </c>
      <c r="C214" s="2">
        <v>61.684199999999997</v>
      </c>
      <c r="D214">
        <v>68082.03</v>
      </c>
      <c r="E214">
        <v>0.1288</v>
      </c>
      <c r="F214">
        <v>7.1371000000000002</v>
      </c>
      <c r="G214">
        <v>55400</v>
      </c>
      <c r="H214">
        <v>10</v>
      </c>
      <c r="I214" s="19">
        <v>103.976</v>
      </c>
      <c r="J214" s="19">
        <v>104.3</v>
      </c>
      <c r="K214" s="19">
        <v>2.9140000000000001</v>
      </c>
      <c r="L214" s="19">
        <v>99.523799999999994</v>
      </c>
      <c r="M214" s="19">
        <v>1141000000</v>
      </c>
      <c r="N214" s="19">
        <v>110.703</v>
      </c>
      <c r="O214">
        <v>40.816000000000003</v>
      </c>
      <c r="P214">
        <v>33.383899999999997</v>
      </c>
      <c r="Q214" s="19">
        <v>48827.137999999999</v>
      </c>
      <c r="R214" s="19">
        <v>44690.980199999998</v>
      </c>
      <c r="S214" s="19">
        <v>-2.6309999999999998</v>
      </c>
      <c r="T214" s="19">
        <v>55393.368799999997</v>
      </c>
      <c r="U214" s="19">
        <v>53296.579299999998</v>
      </c>
      <c r="V214">
        <v>27.1</v>
      </c>
      <c r="W214" s="19">
        <v>98.571399999999997</v>
      </c>
      <c r="X214">
        <v>90</v>
      </c>
      <c r="Z214">
        <v>95</v>
      </c>
      <c r="AA214">
        <v>1.8</v>
      </c>
      <c r="AB214">
        <v>92.2</v>
      </c>
      <c r="AC214">
        <v>81.931700000000006</v>
      </c>
      <c r="AD214">
        <v>99.636200000000002</v>
      </c>
      <c r="AE214">
        <v>9</v>
      </c>
      <c r="AF214">
        <v>96.3142</v>
      </c>
      <c r="AH214">
        <v>0.53</v>
      </c>
      <c r="AI214">
        <v>2.2999999999999998</v>
      </c>
      <c r="AJ214">
        <v>2.1</v>
      </c>
      <c r="AK214">
        <v>2.5</v>
      </c>
      <c r="AL214">
        <v>72.756100000000004</v>
      </c>
      <c r="AM214">
        <v>1.4</v>
      </c>
      <c r="AN214">
        <v>17504</v>
      </c>
      <c r="AO214">
        <v>0</v>
      </c>
      <c r="AP214">
        <v>100</v>
      </c>
      <c r="AQ214">
        <v>99.447999999999993</v>
      </c>
      <c r="AR214">
        <v>99.637900000000002</v>
      </c>
      <c r="AU214">
        <v>4.8952</v>
      </c>
      <c r="AV214" s="19">
        <v>80.660399999999996</v>
      </c>
      <c r="AW214">
        <v>0</v>
      </c>
      <c r="AX214">
        <v>10.8</v>
      </c>
      <c r="AY214">
        <v>6</v>
      </c>
      <c r="AZ214">
        <v>6</v>
      </c>
      <c r="BA214">
        <v>89.689599999999999</v>
      </c>
      <c r="BB214">
        <v>46</v>
      </c>
      <c r="BC214">
        <v>7.8343999999999996</v>
      </c>
      <c r="BD214" s="19">
        <v>-2.4910000000000001</v>
      </c>
      <c r="BE214" s="19">
        <v>99.047600000000003</v>
      </c>
      <c r="BF214">
        <v>51.868099999999998</v>
      </c>
      <c r="BG214">
        <v>47.3</v>
      </c>
      <c r="BH214" s="20">
        <v>2.9123999999999999</v>
      </c>
      <c r="BI214" s="20">
        <v>7548.3252000000002</v>
      </c>
      <c r="BJ214" s="19">
        <v>100</v>
      </c>
      <c r="BK214">
        <v>0.997</v>
      </c>
      <c r="BL214">
        <v>1.0553999999999999</v>
      </c>
      <c r="BM214">
        <v>1.1005</v>
      </c>
      <c r="BN214">
        <v>6</v>
      </c>
      <c r="BO214">
        <v>9.3650000000000002</v>
      </c>
      <c r="BP214">
        <v>14.14</v>
      </c>
      <c r="BQ214" s="19">
        <v>97.022300000000001</v>
      </c>
      <c r="BR214">
        <v>78.869699999999995</v>
      </c>
      <c r="BS214" s="20">
        <v>7.7590000000000003</v>
      </c>
      <c r="BT214" s="20">
        <v>7.7590000000000003</v>
      </c>
      <c r="BU214" s="20">
        <v>21.193000000000001</v>
      </c>
      <c r="BV214" s="20">
        <v>21.329000000000001</v>
      </c>
      <c r="BW214" s="19">
        <v>99.516900000000007</v>
      </c>
      <c r="BX214">
        <v>17.170000000000002</v>
      </c>
      <c r="BY214" s="5">
        <v>7342100</v>
      </c>
      <c r="BZ214" s="6">
        <v>14323661</v>
      </c>
      <c r="CA214" s="7">
        <f t="shared" si="15"/>
        <v>1.9508942945478813</v>
      </c>
      <c r="CB214">
        <v>5529543</v>
      </c>
      <c r="CC214" s="8">
        <f t="shared" si="16"/>
        <v>2.5903878494117869</v>
      </c>
      <c r="CD214" s="8">
        <f t="shared" si="17"/>
        <v>1.3277950817997075</v>
      </c>
      <c r="CE214">
        <v>338411</v>
      </c>
      <c r="CF214" s="8">
        <f t="shared" si="18"/>
        <v>21.695807760386039</v>
      </c>
      <c r="CG214" s="8">
        <f t="shared" si="19"/>
        <v>42.326227575344774</v>
      </c>
      <c r="CH214">
        <v>99.4542</v>
      </c>
    </row>
    <row r="215" spans="1:86" ht="15.5" x14ac:dyDescent="0.35">
      <c r="A215" t="s">
        <v>94</v>
      </c>
      <c r="B215">
        <v>2021</v>
      </c>
      <c r="C215" s="2">
        <v>62.151600000000002</v>
      </c>
      <c r="D215">
        <v>68223.13</v>
      </c>
      <c r="E215">
        <v>0.12529999999999999</v>
      </c>
      <c r="F215">
        <v>7.1172000000000004</v>
      </c>
      <c r="G215">
        <v>55400</v>
      </c>
      <c r="H215">
        <v>10</v>
      </c>
      <c r="I215" s="19">
        <v>106.124</v>
      </c>
      <c r="J215" s="19">
        <v>107.6</v>
      </c>
      <c r="K215" s="19">
        <v>6.2510000000000003</v>
      </c>
      <c r="L215" s="19">
        <v>99.523799999999994</v>
      </c>
      <c r="M215" s="19">
        <v>973000000</v>
      </c>
      <c r="N215" s="19">
        <v>137.035</v>
      </c>
      <c r="O215">
        <v>35.615000000000002</v>
      </c>
      <c r="P215">
        <v>33.639699999999998</v>
      </c>
      <c r="Q215" s="19">
        <v>53203.798999999999</v>
      </c>
      <c r="R215" s="19">
        <v>45818.076300000001</v>
      </c>
      <c r="S215" s="19">
        <v>2.5219999999999998</v>
      </c>
      <c r="T215" s="19">
        <v>56790.376600000003</v>
      </c>
      <c r="U215" s="19">
        <v>56790.376600000003</v>
      </c>
      <c r="V215">
        <v>27.7</v>
      </c>
      <c r="W215" s="19">
        <v>98.095200000000006</v>
      </c>
      <c r="X215">
        <v>89</v>
      </c>
      <c r="Z215">
        <v>93</v>
      </c>
      <c r="AA215">
        <v>1.8</v>
      </c>
      <c r="AB215">
        <v>92.8</v>
      </c>
      <c r="AC215">
        <v>81.885400000000004</v>
      </c>
      <c r="AD215">
        <v>99.594999999999999</v>
      </c>
      <c r="AE215">
        <v>8</v>
      </c>
      <c r="AH215">
        <v>0.38</v>
      </c>
      <c r="AI215">
        <v>2.2999999999999998</v>
      </c>
      <c r="AJ215">
        <v>2.1</v>
      </c>
      <c r="AK215">
        <v>2.5</v>
      </c>
      <c r="AL215">
        <v>73.055599999999998</v>
      </c>
      <c r="AM215">
        <v>1.3</v>
      </c>
      <c r="AN215">
        <v>22484</v>
      </c>
      <c r="AO215">
        <v>0</v>
      </c>
      <c r="AP215">
        <v>100</v>
      </c>
      <c r="AQ215">
        <v>99.447999999999993</v>
      </c>
      <c r="AR215">
        <v>99.639899999999997</v>
      </c>
      <c r="AV215" s="19">
        <v>83.490600000000001</v>
      </c>
      <c r="AW215">
        <v>0</v>
      </c>
      <c r="AX215">
        <v>12.7</v>
      </c>
      <c r="AY215">
        <v>6</v>
      </c>
      <c r="AZ215">
        <v>6</v>
      </c>
      <c r="BA215">
        <v>89.849900000000005</v>
      </c>
      <c r="BB215">
        <v>46</v>
      </c>
      <c r="BC215">
        <v>8.0000999999999998</v>
      </c>
      <c r="BD215" s="19">
        <v>2.6760000000000002</v>
      </c>
      <c r="BE215" s="19">
        <v>99.047600000000003</v>
      </c>
      <c r="BF215">
        <v>52.930300000000003</v>
      </c>
      <c r="BG215">
        <v>50.2</v>
      </c>
      <c r="BH215" s="20">
        <v>2.9885000000000002</v>
      </c>
      <c r="BI215" s="20">
        <v>7870.4287000000004</v>
      </c>
      <c r="BJ215" s="19">
        <v>100</v>
      </c>
      <c r="BN215">
        <v>6</v>
      </c>
      <c r="BO215">
        <v>8.4920000000000009</v>
      </c>
      <c r="BP215">
        <v>14.57</v>
      </c>
      <c r="BQ215" s="19">
        <v>95.185699999999997</v>
      </c>
      <c r="BS215" s="20">
        <v>7.617</v>
      </c>
      <c r="BT215" s="20">
        <v>7.617</v>
      </c>
      <c r="BU215" s="20">
        <v>17.058</v>
      </c>
      <c r="BV215" s="20">
        <v>17.119</v>
      </c>
      <c r="BW215" s="19">
        <v>99.516900000000007</v>
      </c>
      <c r="BX215">
        <v>16.11</v>
      </c>
      <c r="BY215" s="5">
        <v>8974675</v>
      </c>
      <c r="BZ215" s="6">
        <v>17488715</v>
      </c>
      <c r="CA215" s="7">
        <f t="shared" si="15"/>
        <v>1.948673907411689</v>
      </c>
      <c r="CB215">
        <v>5541017</v>
      </c>
      <c r="CC215" s="8">
        <f t="shared" si="16"/>
        <v>3.1562283602450596</v>
      </c>
      <c r="CD215" s="8">
        <f t="shared" si="17"/>
        <v>1.6196801056556946</v>
      </c>
      <c r="CE215">
        <v>338411</v>
      </c>
      <c r="CF215" s="8">
        <f t="shared" si="18"/>
        <v>26.520045152196591</v>
      </c>
      <c r="CG215" s="8">
        <f t="shared" si="19"/>
        <v>51.678920011465351</v>
      </c>
      <c r="CH215">
        <v>98.377089999999995</v>
      </c>
    </row>
    <row r="216" spans="1:86" ht="15.5" x14ac:dyDescent="0.35">
      <c r="A216" t="s">
        <v>94</v>
      </c>
      <c r="B216">
        <v>2022</v>
      </c>
      <c r="C216" s="2">
        <v>62.468800000000002</v>
      </c>
      <c r="E216">
        <v>0.1132</v>
      </c>
      <c r="F216">
        <v>6.5069999999999997</v>
      </c>
      <c r="H216">
        <v>11</v>
      </c>
      <c r="I216" s="19">
        <v>113.735</v>
      </c>
      <c r="J216" s="19">
        <v>117.06</v>
      </c>
      <c r="K216" s="19">
        <v>8.7970000000000006</v>
      </c>
      <c r="L216" s="19">
        <v>99.528300000000002</v>
      </c>
      <c r="M216" s="19">
        <v>-6775000000</v>
      </c>
      <c r="N216" s="19"/>
      <c r="O216">
        <v>36.945999999999998</v>
      </c>
      <c r="P216">
        <v>34.295200000000001</v>
      </c>
      <c r="Q216" s="19">
        <v>50551.800999999999</v>
      </c>
      <c r="R216" s="19">
        <v>46356.225599999998</v>
      </c>
      <c r="S216" s="19">
        <v>1.1745000000000001</v>
      </c>
      <c r="T216" s="19">
        <v>57457.3995</v>
      </c>
      <c r="U216" s="19">
        <v>61344.622199999998</v>
      </c>
      <c r="W216" s="19">
        <v>96.698099999999997</v>
      </c>
      <c r="X216">
        <v>91</v>
      </c>
      <c r="Z216">
        <v>94</v>
      </c>
      <c r="AA216">
        <v>1.8</v>
      </c>
      <c r="AB216">
        <v>93</v>
      </c>
      <c r="AC216">
        <v>81.187799999999996</v>
      </c>
      <c r="AD216">
        <v>99.874499999999998</v>
      </c>
      <c r="AE216">
        <v>8</v>
      </c>
      <c r="AI216">
        <v>2.2999999999999998</v>
      </c>
      <c r="AJ216">
        <v>2.1</v>
      </c>
      <c r="AK216">
        <v>2.5</v>
      </c>
      <c r="AL216">
        <v>72.938299999999998</v>
      </c>
      <c r="AM216">
        <v>1.3</v>
      </c>
      <c r="AN216">
        <v>60353</v>
      </c>
      <c r="AO216">
        <v>0</v>
      </c>
      <c r="AP216">
        <v>100</v>
      </c>
      <c r="AQ216">
        <v>99.447900000000004</v>
      </c>
      <c r="AR216">
        <v>99.641999999999996</v>
      </c>
      <c r="AV216" s="19">
        <v>78.773600000000002</v>
      </c>
      <c r="AX216">
        <v>12.2</v>
      </c>
      <c r="AY216">
        <v>6</v>
      </c>
      <c r="AZ216">
        <v>6</v>
      </c>
      <c r="BA216">
        <v>90.010300000000001</v>
      </c>
      <c r="BB216">
        <v>45.5</v>
      </c>
      <c r="BC216">
        <v>7.8940000000000001</v>
      </c>
      <c r="BD216" s="19">
        <v>0.76300000000000001</v>
      </c>
      <c r="BE216" s="19">
        <v>97.169799999999995</v>
      </c>
      <c r="BG216" s="23">
        <v>47.74</v>
      </c>
      <c r="BH216" s="20">
        <v>2.9647000000000001</v>
      </c>
      <c r="BI216" s="20">
        <v>8073.1454999999996</v>
      </c>
      <c r="BJ216" s="19">
        <v>100</v>
      </c>
      <c r="BN216">
        <v>6</v>
      </c>
      <c r="BO216">
        <v>8.0679999999999996</v>
      </c>
      <c r="BQ216" s="19"/>
      <c r="BS216" s="20">
        <v>6.7190000000000003</v>
      </c>
      <c r="BT216" s="20">
        <v>6.7190000000000003</v>
      </c>
      <c r="BU216" s="20">
        <v>14.138</v>
      </c>
      <c r="BV216" s="20">
        <v>14.19</v>
      </c>
      <c r="BW216" s="19">
        <v>98.550700000000006</v>
      </c>
      <c r="BX216">
        <v>21.4</v>
      </c>
      <c r="BY216" s="5">
        <v>11533023</v>
      </c>
      <c r="BZ216" s="6">
        <v>21971266</v>
      </c>
      <c r="CA216" s="7">
        <f t="shared" si="15"/>
        <v>1.9050743243987287</v>
      </c>
      <c r="CB216">
        <v>5556106</v>
      </c>
      <c r="CC216" s="8">
        <f t="shared" si="16"/>
        <v>3.9544360744737412</v>
      </c>
      <c r="CD216" s="8">
        <f t="shared" si="17"/>
        <v>2.0757384758318147</v>
      </c>
      <c r="CE216">
        <v>338411</v>
      </c>
      <c r="CF216" s="8">
        <f t="shared" si="18"/>
        <v>34.079929434917894</v>
      </c>
      <c r="CG216" s="8">
        <f t="shared" si="19"/>
        <v>64.924798543782558</v>
      </c>
      <c r="CH216">
        <v>96.82038</v>
      </c>
    </row>
    <row r="217" spans="1:86" ht="15.5" x14ac:dyDescent="0.35">
      <c r="A217" t="s">
        <v>94</v>
      </c>
      <c r="B217">
        <v>2023</v>
      </c>
      <c r="C217" s="26">
        <v>62.6357</v>
      </c>
      <c r="E217">
        <v>0.1023</v>
      </c>
      <c r="F217">
        <v>5.7789000000000001</v>
      </c>
      <c r="H217">
        <v>11</v>
      </c>
      <c r="I217" s="19">
        <v>118.672</v>
      </c>
      <c r="J217" s="19">
        <v>118.61</v>
      </c>
      <c r="K217" s="19">
        <v>6.0270000000000001</v>
      </c>
      <c r="L217" s="19">
        <v>99.528300000000002</v>
      </c>
      <c r="M217" s="19">
        <v>-1550000000</v>
      </c>
      <c r="N217" s="19"/>
      <c r="P217">
        <v>35.331800000000001</v>
      </c>
      <c r="Q217" s="19">
        <v>53026.110999999997</v>
      </c>
      <c r="R217" s="19">
        <v>45588.513099999996</v>
      </c>
      <c r="S217" s="19">
        <v>-1.6560999999999999</v>
      </c>
      <c r="T217" s="19">
        <v>56505.8387</v>
      </c>
      <c r="U217" s="19">
        <v>61734.459799999997</v>
      </c>
      <c r="W217" s="19">
        <v>97.169799999999995</v>
      </c>
      <c r="X217">
        <v>91</v>
      </c>
      <c r="Z217">
        <v>94</v>
      </c>
      <c r="AA217">
        <v>1.8</v>
      </c>
      <c r="AB217">
        <v>93.5</v>
      </c>
      <c r="AC217">
        <v>81.685400000000001</v>
      </c>
      <c r="AE217">
        <v>8</v>
      </c>
      <c r="AI217">
        <v>2.2999999999999998</v>
      </c>
      <c r="AJ217">
        <v>2.1</v>
      </c>
      <c r="AK217">
        <v>2.5</v>
      </c>
      <c r="AL217" s="24">
        <v>72.938299999999998</v>
      </c>
      <c r="AM217">
        <v>1.3</v>
      </c>
      <c r="AN217">
        <v>38156</v>
      </c>
      <c r="AV217" s="19">
        <v>71.09</v>
      </c>
      <c r="AY217" s="25">
        <v>6</v>
      </c>
      <c r="AZ217">
        <v>6</v>
      </c>
      <c r="BB217">
        <v>46</v>
      </c>
      <c r="BD217" s="19">
        <v>-0.94699999999999995</v>
      </c>
      <c r="BE217" s="19">
        <v>96.698099999999997</v>
      </c>
      <c r="BG217" s="23">
        <v>50.75</v>
      </c>
      <c r="BH217" s="20"/>
      <c r="BI217" s="20"/>
      <c r="BJ217" s="19">
        <v>100</v>
      </c>
      <c r="BN217">
        <v>6</v>
      </c>
      <c r="BO217">
        <v>7.4820000000000002</v>
      </c>
      <c r="BQ217" s="19"/>
      <c r="BS217" s="20">
        <v>7.1509999999999998</v>
      </c>
      <c r="BT217" s="20">
        <v>7.1509999999999998</v>
      </c>
      <c r="BU217" s="20">
        <v>16.106999999999999</v>
      </c>
      <c r="BV217" s="20">
        <v>16.161999999999999</v>
      </c>
      <c r="BW217" s="19">
        <v>97.549000000000007</v>
      </c>
      <c r="BX217">
        <v>17.79</v>
      </c>
      <c r="BY217" s="5">
        <v>12255457</v>
      </c>
      <c r="BZ217" s="6">
        <v>22832061</v>
      </c>
      <c r="CA217" s="7">
        <f t="shared" si="15"/>
        <v>1.8630117995599837</v>
      </c>
      <c r="CB217">
        <v>5583911</v>
      </c>
      <c r="CC217" s="8">
        <f t="shared" si="16"/>
        <v>4.0889013094943669</v>
      </c>
      <c r="CD217" s="8">
        <f t="shared" si="17"/>
        <v>2.1947801460302645</v>
      </c>
      <c r="CE217">
        <v>338411</v>
      </c>
      <c r="CF217" s="8">
        <f t="shared" si="18"/>
        <v>36.214712287721142</v>
      </c>
      <c r="CG217" s="8">
        <f t="shared" si="19"/>
        <v>67.468436309694425</v>
      </c>
      <c r="CH217">
        <v>95.882850000000005</v>
      </c>
    </row>
    <row r="218" spans="1:86" ht="15.5" x14ac:dyDescent="0.35">
      <c r="A218" t="s">
        <v>95</v>
      </c>
      <c r="B218">
        <v>2000</v>
      </c>
      <c r="C218" s="2">
        <v>53.692</v>
      </c>
      <c r="D218">
        <v>722482.3</v>
      </c>
      <c r="E218">
        <v>0.1434</v>
      </c>
      <c r="F218">
        <v>6.5860000000000003</v>
      </c>
      <c r="G218">
        <v>547000</v>
      </c>
      <c r="H218">
        <v>10</v>
      </c>
      <c r="I218" s="19">
        <v>78.225999999999999</v>
      </c>
      <c r="J218" s="19">
        <v>78.832999999999998</v>
      </c>
      <c r="K218" s="19">
        <v>4.9669999999999996</v>
      </c>
      <c r="L218" s="19">
        <v>88.829800000000006</v>
      </c>
      <c r="M218" s="19">
        <v>15021000000</v>
      </c>
      <c r="N218" s="19">
        <v>64.551599999999993</v>
      </c>
      <c r="O218">
        <v>31.654</v>
      </c>
      <c r="P218">
        <v>0.33050000000000002</v>
      </c>
      <c r="Q218" s="19">
        <v>22502.094000000001</v>
      </c>
      <c r="R218" s="19">
        <v>33255.137999999999</v>
      </c>
      <c r="S218" s="19">
        <v>3.4287000000000001</v>
      </c>
      <c r="T218" s="19">
        <v>45922.478900000002</v>
      </c>
      <c r="U218" s="19">
        <v>26001.879700000001</v>
      </c>
      <c r="V218">
        <v>32.6</v>
      </c>
      <c r="W218" s="19">
        <v>90.163899999999998</v>
      </c>
      <c r="X218">
        <v>97</v>
      </c>
      <c r="Y218">
        <v>26</v>
      </c>
      <c r="Z218">
        <v>84</v>
      </c>
      <c r="AA218">
        <v>4.0999999999999996</v>
      </c>
      <c r="AB218">
        <v>14.3</v>
      </c>
      <c r="AC218">
        <v>79.056100000000001</v>
      </c>
      <c r="AE218">
        <v>9</v>
      </c>
      <c r="AF218">
        <v>90.239099999999993</v>
      </c>
      <c r="AG218">
        <v>13.4</v>
      </c>
      <c r="AH218">
        <v>0.37</v>
      </c>
      <c r="AI218">
        <v>5.4</v>
      </c>
      <c r="AJ218">
        <v>4.7</v>
      </c>
      <c r="AK218">
        <v>6</v>
      </c>
      <c r="AL218">
        <v>64.196600000000004</v>
      </c>
      <c r="AM218">
        <v>2.7</v>
      </c>
      <c r="AN218">
        <v>171637</v>
      </c>
      <c r="AO218">
        <v>0</v>
      </c>
      <c r="AP218">
        <v>100</v>
      </c>
      <c r="AQ218">
        <v>98.662999999999997</v>
      </c>
      <c r="AR218">
        <v>97.355900000000005</v>
      </c>
      <c r="AU218">
        <v>16.089300000000001</v>
      </c>
      <c r="AV218" s="19">
        <v>74.074100000000001</v>
      </c>
      <c r="AW218">
        <v>0</v>
      </c>
      <c r="AY218">
        <v>3</v>
      </c>
      <c r="AZ218">
        <v>5</v>
      </c>
      <c r="BA218">
        <v>88.830699999999993</v>
      </c>
      <c r="BB218">
        <v>10.9185</v>
      </c>
      <c r="BC218">
        <v>6.9706999999999999</v>
      </c>
      <c r="BD218" s="19">
        <v>4.3639999999999999</v>
      </c>
      <c r="BE218" s="19">
        <v>78.260900000000007</v>
      </c>
      <c r="BF218">
        <v>13.7369</v>
      </c>
      <c r="BG218">
        <v>9.3000000000000007</v>
      </c>
      <c r="BH218" s="20">
        <v>2.0935000000000001</v>
      </c>
      <c r="BI218" s="20">
        <v>2902.9508999999998</v>
      </c>
      <c r="BJ218" s="19">
        <v>91.044799999999995</v>
      </c>
      <c r="BK218">
        <v>0.99070000000000003</v>
      </c>
      <c r="BL218">
        <v>0.99609999999999999</v>
      </c>
      <c r="BM218">
        <v>0.99950000000000006</v>
      </c>
      <c r="BN218">
        <v>7</v>
      </c>
      <c r="BO218">
        <v>10.156000000000001</v>
      </c>
      <c r="BP218">
        <v>20.32</v>
      </c>
      <c r="BQ218" s="19">
        <v>109.8874</v>
      </c>
      <c r="BR218">
        <v>71.287499999999994</v>
      </c>
      <c r="BS218" s="20">
        <v>10.218</v>
      </c>
      <c r="BT218" s="20">
        <v>10.218</v>
      </c>
      <c r="BU218" s="20">
        <v>20.484000000000002</v>
      </c>
      <c r="BV218" s="20">
        <v>20.629000000000001</v>
      </c>
      <c r="BW218" s="19">
        <v>86.069599999999994</v>
      </c>
      <c r="BX218">
        <v>18.079999999999998</v>
      </c>
      <c r="BY218" s="5">
        <v>114110689</v>
      </c>
      <c r="BZ218" s="6">
        <v>280124560</v>
      </c>
      <c r="CA218" s="7">
        <f t="shared" si="15"/>
        <v>2.4548494313271565</v>
      </c>
      <c r="CB218">
        <v>60918661</v>
      </c>
      <c r="CC218" s="8">
        <f t="shared" si="16"/>
        <v>4.5983374454011718</v>
      </c>
      <c r="CD218" s="8">
        <f t="shared" si="17"/>
        <v>1.873164759809806</v>
      </c>
      <c r="CE218">
        <v>549060</v>
      </c>
      <c r="CF218" s="8">
        <f t="shared" si="18"/>
        <v>207.82917896040505</v>
      </c>
      <c r="CG218" s="8">
        <f t="shared" si="19"/>
        <v>510.18934178414014</v>
      </c>
      <c r="CH218">
        <v>103.93174</v>
      </c>
    </row>
    <row r="219" spans="1:86" ht="15.5" x14ac:dyDescent="0.35">
      <c r="A219" t="s">
        <v>95</v>
      </c>
      <c r="B219">
        <v>2001</v>
      </c>
      <c r="C219" s="2">
        <v>53.8264</v>
      </c>
      <c r="D219">
        <v>714145.7</v>
      </c>
      <c r="E219">
        <v>0.14219999999999999</v>
      </c>
      <c r="F219">
        <v>6.6055000000000001</v>
      </c>
      <c r="G219">
        <v>554000</v>
      </c>
      <c r="H219">
        <v>10</v>
      </c>
      <c r="I219" s="19">
        <v>79.622</v>
      </c>
      <c r="J219" s="19">
        <v>80.033000000000001</v>
      </c>
      <c r="K219" s="19">
        <v>3.9790000000000001</v>
      </c>
      <c r="L219" s="19"/>
      <c r="M219" s="19">
        <v>21696000000</v>
      </c>
      <c r="N219" s="19">
        <v>63.875500000000002</v>
      </c>
      <c r="O219">
        <v>32.552</v>
      </c>
      <c r="P219">
        <v>1.0041</v>
      </c>
      <c r="Q219" s="19">
        <v>22486.945</v>
      </c>
      <c r="R219" s="19">
        <v>33640.673799999997</v>
      </c>
      <c r="S219" s="19">
        <v>1.1593</v>
      </c>
      <c r="T219" s="19">
        <v>46454.870699999999</v>
      </c>
      <c r="U219" s="19">
        <v>27349.744600000002</v>
      </c>
      <c r="V219">
        <v>32.5</v>
      </c>
      <c r="W219" s="19"/>
      <c r="X219">
        <v>97</v>
      </c>
      <c r="Y219">
        <v>28</v>
      </c>
      <c r="Z219">
        <v>85</v>
      </c>
      <c r="AA219">
        <v>3.9</v>
      </c>
      <c r="AB219">
        <v>26.3</v>
      </c>
      <c r="AC219">
        <v>79.158500000000004</v>
      </c>
      <c r="AE219">
        <v>9</v>
      </c>
      <c r="AF219">
        <v>90.312700000000007</v>
      </c>
      <c r="AG219">
        <v>13.4</v>
      </c>
      <c r="AH219">
        <v>0.32</v>
      </c>
      <c r="AI219">
        <v>5.2</v>
      </c>
      <c r="AJ219">
        <v>4.5999999999999996</v>
      </c>
      <c r="AK219">
        <v>5.8</v>
      </c>
      <c r="AL219">
        <v>64.320099999999996</v>
      </c>
      <c r="AM219">
        <v>2.7</v>
      </c>
      <c r="AN219">
        <v>179476</v>
      </c>
      <c r="AO219">
        <v>0</v>
      </c>
      <c r="AP219">
        <v>100</v>
      </c>
      <c r="AQ219">
        <v>98.662300000000002</v>
      </c>
      <c r="AR219">
        <v>97.352400000000003</v>
      </c>
      <c r="AU219">
        <v>15.8803</v>
      </c>
      <c r="AV219" s="19"/>
      <c r="AW219">
        <v>0</v>
      </c>
      <c r="AY219">
        <v>3</v>
      </c>
      <c r="AZ219">
        <v>5</v>
      </c>
      <c r="BA219">
        <v>88.849199999999996</v>
      </c>
      <c r="BB219">
        <v>10.9185</v>
      </c>
      <c r="BC219">
        <v>7.0617000000000001</v>
      </c>
      <c r="BD219" s="19">
        <v>1.8460000000000001</v>
      </c>
      <c r="BE219" s="19"/>
      <c r="BF219">
        <v>14.918699999999999</v>
      </c>
      <c r="BG219">
        <v>9.4</v>
      </c>
      <c r="BH219" s="20">
        <v>2.1379999999999999</v>
      </c>
      <c r="BI219" s="20">
        <v>2971.3904000000002</v>
      </c>
      <c r="BJ219" s="19"/>
      <c r="BK219">
        <v>0.99170000000000003</v>
      </c>
      <c r="BL219">
        <v>0.99770000000000003</v>
      </c>
      <c r="BM219">
        <v>1.0016</v>
      </c>
      <c r="BN219">
        <v>7</v>
      </c>
      <c r="BO219">
        <v>9.8569999999999993</v>
      </c>
      <c r="BP219">
        <v>19.57</v>
      </c>
      <c r="BQ219" s="19">
        <v>110.6099</v>
      </c>
      <c r="BR219">
        <v>75.361400000000003</v>
      </c>
      <c r="BS219" s="20">
        <v>8.61</v>
      </c>
      <c r="BT219" s="20">
        <v>8.61</v>
      </c>
      <c r="BU219" s="20">
        <v>17.91</v>
      </c>
      <c r="BV219" s="20">
        <v>18.009</v>
      </c>
      <c r="BW219" s="19"/>
      <c r="BX219">
        <v>17.41</v>
      </c>
      <c r="BY219" s="5">
        <v>117985948</v>
      </c>
      <c r="BZ219" s="6">
        <v>289300418</v>
      </c>
      <c r="CA219" s="7">
        <f t="shared" si="15"/>
        <v>2.4519904522867417</v>
      </c>
      <c r="CB219">
        <v>61364377</v>
      </c>
      <c r="CC219" s="8">
        <f t="shared" si="16"/>
        <v>4.7144684284825384</v>
      </c>
      <c r="CD219" s="8">
        <f t="shared" si="17"/>
        <v>1.9227107610006373</v>
      </c>
      <c r="CE219">
        <v>549060</v>
      </c>
      <c r="CF219" s="8">
        <f t="shared" si="18"/>
        <v>214.88716715841619</v>
      </c>
      <c r="CG219" s="8">
        <f t="shared" si="19"/>
        <v>526.9012821913816</v>
      </c>
      <c r="CH219">
        <v>103.13288</v>
      </c>
    </row>
    <row r="220" spans="1:86" ht="15.5" x14ac:dyDescent="0.35">
      <c r="A220" t="s">
        <v>95</v>
      </c>
      <c r="B220">
        <v>2002</v>
      </c>
      <c r="C220" s="2">
        <v>53.8551</v>
      </c>
      <c r="D220">
        <v>718850.3</v>
      </c>
      <c r="E220">
        <v>0.13880000000000001</v>
      </c>
      <c r="F220">
        <v>6.4698000000000002</v>
      </c>
      <c r="G220">
        <v>547000</v>
      </c>
      <c r="H220">
        <v>10</v>
      </c>
      <c r="I220" s="19">
        <v>81.164000000000001</v>
      </c>
      <c r="J220" s="19">
        <v>81.683000000000007</v>
      </c>
      <c r="K220" s="19">
        <v>4.1139999999999999</v>
      </c>
      <c r="L220" s="19">
        <v>84.126999999999995</v>
      </c>
      <c r="M220" s="19">
        <v>17225000000</v>
      </c>
      <c r="N220" s="19">
        <v>65.522900000000007</v>
      </c>
      <c r="O220">
        <v>34.481999999999999</v>
      </c>
      <c r="P220">
        <v>2.7433999999999998</v>
      </c>
      <c r="Q220" s="19">
        <v>24295.366999999998</v>
      </c>
      <c r="R220" s="19">
        <v>33753.578300000001</v>
      </c>
      <c r="S220" s="19">
        <v>0.33560000000000001</v>
      </c>
      <c r="T220" s="19">
        <v>46610.782099999997</v>
      </c>
      <c r="U220" s="19">
        <v>28350.098600000001</v>
      </c>
      <c r="V220">
        <v>31.8</v>
      </c>
      <c r="W220" s="19">
        <v>88.648700000000005</v>
      </c>
      <c r="X220">
        <v>97</v>
      </c>
      <c r="Y220">
        <v>29</v>
      </c>
      <c r="Z220">
        <v>86</v>
      </c>
      <c r="AA220">
        <v>3.8</v>
      </c>
      <c r="AB220">
        <v>30.2</v>
      </c>
      <c r="AC220">
        <v>79.260999999999996</v>
      </c>
      <c r="AE220">
        <v>9</v>
      </c>
      <c r="AF220">
        <v>90.433300000000003</v>
      </c>
      <c r="AG220">
        <v>12.5</v>
      </c>
      <c r="AH220">
        <v>0.33</v>
      </c>
      <c r="AI220">
        <v>5.0999999999999996</v>
      </c>
      <c r="AJ220">
        <v>4.5</v>
      </c>
      <c r="AK220">
        <v>5.7</v>
      </c>
      <c r="AL220">
        <v>64.235100000000003</v>
      </c>
      <c r="AM220">
        <v>2.7</v>
      </c>
      <c r="AN220">
        <v>191373</v>
      </c>
      <c r="AO220">
        <v>0</v>
      </c>
      <c r="AP220">
        <v>100</v>
      </c>
      <c r="AQ220">
        <v>98.661500000000004</v>
      </c>
      <c r="AR220">
        <v>97.3489</v>
      </c>
      <c r="AU220">
        <v>15.642099999999999</v>
      </c>
      <c r="AV220" s="19">
        <v>79.365099999999998</v>
      </c>
      <c r="AW220">
        <v>0</v>
      </c>
      <c r="AY220">
        <v>3</v>
      </c>
      <c r="AZ220">
        <v>5</v>
      </c>
      <c r="BA220">
        <v>88.867699999999999</v>
      </c>
      <c r="BB220">
        <v>12.1317</v>
      </c>
      <c r="BC220">
        <v>7.3163999999999998</v>
      </c>
      <c r="BD220" s="19">
        <v>1.1200000000000001</v>
      </c>
      <c r="BE220" s="19">
        <v>79.459500000000006</v>
      </c>
      <c r="BF220">
        <v>12.4567</v>
      </c>
      <c r="BG220">
        <v>8.6999999999999993</v>
      </c>
      <c r="BH220" s="20">
        <v>2.1745000000000001</v>
      </c>
      <c r="BI220" s="20">
        <v>3100.9535999999998</v>
      </c>
      <c r="BJ220" s="19">
        <v>85.572100000000006</v>
      </c>
      <c r="BK220">
        <v>0.99229999999999996</v>
      </c>
      <c r="BL220">
        <v>0.99919999999999998</v>
      </c>
      <c r="BM220">
        <v>1.0037</v>
      </c>
      <c r="BN220">
        <v>7</v>
      </c>
      <c r="BO220">
        <v>10.346</v>
      </c>
      <c r="BP220">
        <v>19.899999999999999</v>
      </c>
      <c r="BQ220" s="19">
        <v>110.7328</v>
      </c>
      <c r="BR220">
        <v>74.519599999999997</v>
      </c>
      <c r="BS220" s="20">
        <v>8.702</v>
      </c>
      <c r="BT220" s="20">
        <v>8.702</v>
      </c>
      <c r="BU220" s="20">
        <v>18.846</v>
      </c>
      <c r="BV220" s="20">
        <v>18.934999999999999</v>
      </c>
      <c r="BW220" s="19">
        <v>85.572100000000006</v>
      </c>
      <c r="BX220">
        <v>17.989999999999998</v>
      </c>
      <c r="BY220" s="5">
        <v>118062974</v>
      </c>
      <c r="BZ220" s="6">
        <v>289540127</v>
      </c>
      <c r="CA220" s="7">
        <f t="shared" si="15"/>
        <v>2.4524210867329161</v>
      </c>
      <c r="CB220">
        <v>61812142</v>
      </c>
      <c r="CC220" s="8">
        <f t="shared" si="16"/>
        <v>4.6841950081587527</v>
      </c>
      <c r="CD220" s="8">
        <f t="shared" si="17"/>
        <v>1.9100288419061744</v>
      </c>
      <c r="CE220">
        <v>549060</v>
      </c>
      <c r="CF220" s="8">
        <f t="shared" si="18"/>
        <v>215.02745419444142</v>
      </c>
      <c r="CG220" s="8">
        <f t="shared" si="19"/>
        <v>527.33786289294426</v>
      </c>
      <c r="CH220">
        <v>102.55374</v>
      </c>
    </row>
    <row r="221" spans="1:86" ht="15.5" x14ac:dyDescent="0.35">
      <c r="A221" t="s">
        <v>95</v>
      </c>
      <c r="B221">
        <v>2003</v>
      </c>
      <c r="C221" s="2">
        <v>53.778300000000002</v>
      </c>
      <c r="D221">
        <v>760505.8</v>
      </c>
      <c r="E221">
        <v>0.13919999999999999</v>
      </c>
      <c r="F221">
        <v>6.5034999999999998</v>
      </c>
      <c r="G221">
        <v>551000</v>
      </c>
      <c r="H221">
        <v>10</v>
      </c>
      <c r="I221" s="19">
        <v>82.927000000000007</v>
      </c>
      <c r="J221" s="19">
        <v>83.637</v>
      </c>
      <c r="K221" s="19">
        <v>3.5779999999999998</v>
      </c>
      <c r="L221" s="19">
        <v>85.714299999999994</v>
      </c>
      <c r="M221" s="19">
        <v>15413000000</v>
      </c>
      <c r="N221" s="19">
        <v>77.437600000000003</v>
      </c>
      <c r="O221">
        <v>32.533999999999999</v>
      </c>
      <c r="P221">
        <v>5.8764000000000003</v>
      </c>
      <c r="Q221" s="19">
        <v>29675.138999999999</v>
      </c>
      <c r="R221" s="19">
        <v>33840.617599999998</v>
      </c>
      <c r="S221" s="19">
        <v>0.25790000000000002</v>
      </c>
      <c r="T221" s="19">
        <v>46730.9758</v>
      </c>
      <c r="U221" s="19">
        <v>28027.676200000002</v>
      </c>
      <c r="V221">
        <v>31.4</v>
      </c>
      <c r="W221" s="19">
        <v>91.351299999999995</v>
      </c>
      <c r="X221">
        <v>97</v>
      </c>
      <c r="Y221">
        <v>28</v>
      </c>
      <c r="Z221">
        <v>87</v>
      </c>
      <c r="AA221">
        <v>3.6</v>
      </c>
      <c r="AB221">
        <v>36.1</v>
      </c>
      <c r="AC221">
        <v>79.114599999999996</v>
      </c>
      <c r="AE221">
        <v>9</v>
      </c>
      <c r="AF221">
        <v>90.599900000000005</v>
      </c>
      <c r="AG221">
        <v>10.1</v>
      </c>
      <c r="AH221">
        <v>0.41</v>
      </c>
      <c r="AI221">
        <v>4.9000000000000004</v>
      </c>
      <c r="AJ221">
        <v>4.3</v>
      </c>
      <c r="AK221">
        <v>5.5</v>
      </c>
      <c r="AL221">
        <v>64.248599999999996</v>
      </c>
      <c r="AM221">
        <v>2.6</v>
      </c>
      <c r="AN221">
        <v>195616</v>
      </c>
      <c r="AO221">
        <v>0</v>
      </c>
      <c r="AP221">
        <v>100</v>
      </c>
      <c r="AQ221">
        <v>98.660700000000006</v>
      </c>
      <c r="AR221">
        <v>97.345399999999998</v>
      </c>
      <c r="AU221">
        <v>15.3887</v>
      </c>
      <c r="AV221" s="19">
        <v>50.251300000000001</v>
      </c>
      <c r="AW221">
        <v>0.2</v>
      </c>
      <c r="AY221">
        <v>3</v>
      </c>
      <c r="AZ221">
        <v>5</v>
      </c>
      <c r="BA221">
        <v>88.865200000000002</v>
      </c>
      <c r="BB221">
        <v>12.1951</v>
      </c>
      <c r="BC221">
        <v>7.3236999999999997</v>
      </c>
      <c r="BD221" s="19">
        <v>0.99399999999999999</v>
      </c>
      <c r="BE221" s="19">
        <v>85.945899999999995</v>
      </c>
      <c r="BF221">
        <v>12.0654</v>
      </c>
      <c r="BG221">
        <v>8.8000000000000007</v>
      </c>
      <c r="BH221" s="20">
        <v>2.1198999999999999</v>
      </c>
      <c r="BI221" s="20">
        <v>3184.6356999999998</v>
      </c>
      <c r="BJ221" s="19">
        <v>89.552199999999999</v>
      </c>
      <c r="BK221">
        <v>0.99260000000000004</v>
      </c>
      <c r="BL221">
        <v>1.0024</v>
      </c>
      <c r="BM221">
        <v>1.0087999999999999</v>
      </c>
      <c r="BN221">
        <v>7</v>
      </c>
      <c r="BO221">
        <v>9.5210000000000008</v>
      </c>
      <c r="BP221">
        <v>20.18</v>
      </c>
      <c r="BQ221" s="19">
        <v>109.6005</v>
      </c>
      <c r="BR221">
        <v>76.334100000000007</v>
      </c>
      <c r="BS221" s="20">
        <v>8.3059999999999992</v>
      </c>
      <c r="BT221" s="20">
        <v>8.3070000000000004</v>
      </c>
      <c r="BU221" s="20">
        <v>17.178999999999998</v>
      </c>
      <c r="BV221" s="20">
        <v>17.25</v>
      </c>
      <c r="BW221" s="19">
        <v>85.074600000000004</v>
      </c>
      <c r="BX221">
        <v>17.71</v>
      </c>
      <c r="BY221" s="5">
        <v>116021323</v>
      </c>
      <c r="BZ221" s="6">
        <v>283097308</v>
      </c>
      <c r="CA221" s="7">
        <f t="shared" si="15"/>
        <v>2.4400455078416923</v>
      </c>
      <c r="CB221">
        <v>62249855</v>
      </c>
      <c r="CC221" s="8">
        <f t="shared" si="16"/>
        <v>4.5477585128511544</v>
      </c>
      <c r="CD221" s="8">
        <f t="shared" si="17"/>
        <v>1.8638006947967991</v>
      </c>
      <c r="CE221">
        <v>549060</v>
      </c>
      <c r="CF221" s="8">
        <f t="shared" si="18"/>
        <v>211.30900630167923</v>
      </c>
      <c r="CG221" s="8">
        <f t="shared" si="19"/>
        <v>515.60359159290419</v>
      </c>
      <c r="CH221">
        <v>103.02073</v>
      </c>
    </row>
    <row r="222" spans="1:86" ht="15.5" x14ac:dyDescent="0.35">
      <c r="A222" t="s">
        <v>95</v>
      </c>
      <c r="B222">
        <v>2004</v>
      </c>
      <c r="C222" s="2">
        <v>53.730499999999999</v>
      </c>
      <c r="D222">
        <v>761775.2</v>
      </c>
      <c r="E222">
        <v>0.1356</v>
      </c>
      <c r="F222">
        <v>6.4732000000000003</v>
      </c>
      <c r="G222">
        <v>549000</v>
      </c>
      <c r="H222">
        <v>10</v>
      </c>
      <c r="I222" s="19">
        <v>84.863</v>
      </c>
      <c r="J222" s="19">
        <v>85.533000000000001</v>
      </c>
      <c r="K222" s="19">
        <v>4.0730000000000004</v>
      </c>
      <c r="L222" s="19">
        <v>88.67</v>
      </c>
      <c r="M222" s="19">
        <v>11288000000</v>
      </c>
      <c r="N222" s="19">
        <v>89.302300000000002</v>
      </c>
      <c r="O222">
        <v>33.06</v>
      </c>
      <c r="P222">
        <v>10.725</v>
      </c>
      <c r="Q222" s="19">
        <v>33876.29</v>
      </c>
      <c r="R222" s="19">
        <v>34557.147100000002</v>
      </c>
      <c r="S222" s="19">
        <v>2.1173999999999999</v>
      </c>
      <c r="T222" s="19">
        <v>47720.441299999999</v>
      </c>
      <c r="U222" s="19">
        <v>28925.126899999999</v>
      </c>
      <c r="V222">
        <v>30.6</v>
      </c>
      <c r="W222" s="19">
        <v>92.537300000000002</v>
      </c>
      <c r="X222">
        <v>98</v>
      </c>
      <c r="Y222">
        <v>35</v>
      </c>
      <c r="Z222">
        <v>88</v>
      </c>
      <c r="AA222">
        <v>3.5</v>
      </c>
      <c r="AB222">
        <v>39.200000000000003</v>
      </c>
      <c r="AC222">
        <v>80.163399999999996</v>
      </c>
      <c r="AE222">
        <v>9</v>
      </c>
      <c r="AF222">
        <v>90.714299999999994</v>
      </c>
      <c r="AG222">
        <v>8.9</v>
      </c>
      <c r="AH222">
        <v>0.42</v>
      </c>
      <c r="AI222">
        <v>4.8</v>
      </c>
      <c r="AJ222">
        <v>4.2</v>
      </c>
      <c r="AK222">
        <v>5.3</v>
      </c>
      <c r="AL222">
        <v>64.604699999999994</v>
      </c>
      <c r="AM222">
        <v>2.5</v>
      </c>
      <c r="AN222">
        <v>200629</v>
      </c>
      <c r="AO222">
        <v>0</v>
      </c>
      <c r="AP222">
        <v>100</v>
      </c>
      <c r="AQ222">
        <v>98.66</v>
      </c>
      <c r="AR222">
        <v>97.466200000000001</v>
      </c>
      <c r="AU222">
        <v>15.1341</v>
      </c>
      <c r="AV222" s="19">
        <v>56.310699999999997</v>
      </c>
      <c r="AW222">
        <v>0</v>
      </c>
      <c r="AY222">
        <v>3</v>
      </c>
      <c r="AZ222">
        <v>5</v>
      </c>
      <c r="BA222">
        <v>88.862700000000004</v>
      </c>
      <c r="BB222">
        <v>12.1951</v>
      </c>
      <c r="BC222">
        <v>7.3838999999999997</v>
      </c>
      <c r="BD222" s="19">
        <v>2.5190000000000001</v>
      </c>
      <c r="BE222" s="19">
        <v>85.572100000000006</v>
      </c>
      <c r="BF222">
        <v>12.0693</v>
      </c>
      <c r="BG222">
        <v>8.9</v>
      </c>
      <c r="BH222" s="20">
        <v>2.0945999999999998</v>
      </c>
      <c r="BI222" s="20">
        <v>3320.6669999999999</v>
      </c>
      <c r="BJ222" s="19">
        <v>91.826899999999995</v>
      </c>
      <c r="BK222">
        <v>0.99539999999999995</v>
      </c>
      <c r="BL222">
        <v>1.0015000000000001</v>
      </c>
      <c r="BM222">
        <v>1.0054000000000001</v>
      </c>
      <c r="BN222">
        <v>7</v>
      </c>
      <c r="BO222">
        <v>10.688000000000001</v>
      </c>
      <c r="BP222">
        <v>19.53</v>
      </c>
      <c r="BQ222" s="19">
        <v>108.8501</v>
      </c>
      <c r="BR222">
        <v>73.636200000000002</v>
      </c>
      <c r="BS222" s="20">
        <v>8.9139999999999997</v>
      </c>
      <c r="BT222" s="20">
        <v>8.9139999999999997</v>
      </c>
      <c r="BU222" s="20">
        <v>19.667000000000002</v>
      </c>
      <c r="BV222" s="20">
        <v>19.757999999999999</v>
      </c>
      <c r="BW222" s="19">
        <v>91.826899999999995</v>
      </c>
      <c r="BX222">
        <v>19</v>
      </c>
      <c r="BY222" s="5">
        <v>120304154</v>
      </c>
      <c r="BZ222" s="6">
        <v>283017422</v>
      </c>
      <c r="CA222" s="7">
        <f t="shared" si="15"/>
        <v>2.3525157909343677</v>
      </c>
      <c r="CB222">
        <v>62707588</v>
      </c>
      <c r="CC222" s="8">
        <f t="shared" si="16"/>
        <v>4.5132882801998377</v>
      </c>
      <c r="CD222" s="8">
        <f t="shared" si="17"/>
        <v>1.918494361479826</v>
      </c>
      <c r="CE222">
        <v>549060</v>
      </c>
      <c r="CF222" s="8">
        <f t="shared" si="18"/>
        <v>219.10930317269515</v>
      </c>
      <c r="CG222" s="8">
        <f t="shared" si="19"/>
        <v>515.45809565439117</v>
      </c>
      <c r="CH222">
        <v>103.30199</v>
      </c>
    </row>
    <row r="223" spans="1:86" ht="15.5" x14ac:dyDescent="0.35">
      <c r="A223" t="s">
        <v>95</v>
      </c>
      <c r="B223">
        <v>2005</v>
      </c>
      <c r="C223" s="2">
        <v>53.705399999999997</v>
      </c>
      <c r="D223">
        <v>764185.1</v>
      </c>
      <c r="E223">
        <v>0.13389999999999999</v>
      </c>
      <c r="F223">
        <v>6.4603000000000002</v>
      </c>
      <c r="G223">
        <v>551000</v>
      </c>
      <c r="H223">
        <v>10</v>
      </c>
      <c r="I223" s="19">
        <v>86.465999999999994</v>
      </c>
      <c r="J223" s="19">
        <v>87.12</v>
      </c>
      <c r="K223" s="19">
        <v>3.875</v>
      </c>
      <c r="L223" s="19">
        <v>89.756100000000004</v>
      </c>
      <c r="M223" s="19">
        <v>2283000000</v>
      </c>
      <c r="N223" s="19">
        <v>91.538700000000006</v>
      </c>
      <c r="O223">
        <v>36.365000000000002</v>
      </c>
      <c r="P223">
        <v>15.3688</v>
      </c>
      <c r="Q223" s="19">
        <v>34964.764999999999</v>
      </c>
      <c r="R223" s="19">
        <v>34946.037199999999</v>
      </c>
      <c r="S223" s="19">
        <v>1.1254</v>
      </c>
      <c r="T223" s="19">
        <v>48257.465100000001</v>
      </c>
      <c r="U223" s="19">
        <v>30431.236700000001</v>
      </c>
      <c r="V223">
        <v>29.8</v>
      </c>
      <c r="W223" s="19">
        <v>92.156899999999993</v>
      </c>
      <c r="X223">
        <v>98</v>
      </c>
      <c r="Y223">
        <v>35</v>
      </c>
      <c r="Z223">
        <v>87</v>
      </c>
      <c r="AA223">
        <v>3.4</v>
      </c>
      <c r="AB223">
        <v>42.9</v>
      </c>
      <c r="AC223">
        <v>80.163399999999996</v>
      </c>
      <c r="AD223">
        <v>89.919399999999996</v>
      </c>
      <c r="AE223">
        <v>9</v>
      </c>
      <c r="AF223">
        <v>91.695700000000002</v>
      </c>
      <c r="AG223">
        <v>9</v>
      </c>
      <c r="AH223">
        <v>0.42</v>
      </c>
      <c r="AI223">
        <v>4.5999999999999996</v>
      </c>
      <c r="AJ223">
        <v>4.0999999999999996</v>
      </c>
      <c r="AK223">
        <v>5.0999999999999996</v>
      </c>
      <c r="AL223">
        <v>64.743799999999993</v>
      </c>
      <c r="AM223">
        <v>2.4</v>
      </c>
      <c r="AN223">
        <v>191417</v>
      </c>
      <c r="AO223">
        <v>0</v>
      </c>
      <c r="AP223">
        <v>100</v>
      </c>
      <c r="AQ223">
        <v>98.659199999999998</v>
      </c>
      <c r="AR223">
        <v>97.587800000000001</v>
      </c>
      <c r="AU223">
        <v>14.892300000000001</v>
      </c>
      <c r="AV223" s="19">
        <v>57.767000000000003</v>
      </c>
      <c r="AW223">
        <v>0</v>
      </c>
      <c r="AY223">
        <v>3</v>
      </c>
      <c r="AZ223">
        <v>5</v>
      </c>
      <c r="BA223">
        <v>88.860200000000006</v>
      </c>
      <c r="BB223">
        <v>12.1951</v>
      </c>
      <c r="BC223">
        <v>7.4107000000000003</v>
      </c>
      <c r="BD223" s="19">
        <v>1.988</v>
      </c>
      <c r="BE223" s="19">
        <v>85.2941</v>
      </c>
      <c r="BF223">
        <v>10.619899999999999</v>
      </c>
      <c r="BG223">
        <v>8.6</v>
      </c>
      <c r="BH223" s="20">
        <v>2.0514999999999999</v>
      </c>
      <c r="BI223" s="20">
        <v>3297.8474000000001</v>
      </c>
      <c r="BJ223" s="19">
        <v>90.430599999999998</v>
      </c>
      <c r="BK223">
        <v>0.99029999999999996</v>
      </c>
      <c r="BL223">
        <v>0.99839999999999995</v>
      </c>
      <c r="BM223">
        <v>1.0039</v>
      </c>
      <c r="BN223">
        <v>7</v>
      </c>
      <c r="BO223">
        <v>11.348000000000001</v>
      </c>
      <c r="BP223">
        <v>19.170000000000002</v>
      </c>
      <c r="BQ223" s="19">
        <v>105.9631</v>
      </c>
      <c r="BR223">
        <v>73.798599999999993</v>
      </c>
      <c r="BS223" s="20">
        <v>8.8819999999999997</v>
      </c>
      <c r="BT223" s="20">
        <v>8.8819999999999997</v>
      </c>
      <c r="BU223" s="20">
        <v>21.225000000000001</v>
      </c>
      <c r="BV223" s="20">
        <v>21.305</v>
      </c>
      <c r="BW223" s="19">
        <v>92.788499999999999</v>
      </c>
      <c r="BX223">
        <v>18.940000000000001</v>
      </c>
      <c r="BY223" s="5">
        <v>125301325</v>
      </c>
      <c r="BZ223" s="6">
        <v>295593643</v>
      </c>
      <c r="CA223" s="7">
        <f t="shared" si="15"/>
        <v>2.3590623882069881</v>
      </c>
      <c r="CB223">
        <v>63180854</v>
      </c>
      <c r="CC223" s="8">
        <f t="shared" si="16"/>
        <v>4.6785319331074566</v>
      </c>
      <c r="CD223" s="8">
        <f t="shared" si="17"/>
        <v>1.9832167035918824</v>
      </c>
      <c r="CE223">
        <v>549060</v>
      </c>
      <c r="CF223" s="8">
        <f t="shared" si="18"/>
        <v>228.21062361126289</v>
      </c>
      <c r="CG223" s="8">
        <f t="shared" si="19"/>
        <v>538.36309875059192</v>
      </c>
      <c r="CH223">
        <v>102.61028</v>
      </c>
    </row>
    <row r="224" spans="1:86" ht="15.5" x14ac:dyDescent="0.35">
      <c r="A224" t="s">
        <v>95</v>
      </c>
      <c r="B224">
        <v>2006</v>
      </c>
      <c r="C224" s="2">
        <v>53.609499999999997</v>
      </c>
      <c r="D224">
        <v>749732.6</v>
      </c>
      <c r="E224">
        <v>0.12690000000000001</v>
      </c>
      <c r="F224">
        <v>6.2465999999999999</v>
      </c>
      <c r="G224">
        <v>538000</v>
      </c>
      <c r="H224">
        <v>10</v>
      </c>
      <c r="I224" s="19">
        <v>88.102000000000004</v>
      </c>
      <c r="J224" s="19">
        <v>88.44</v>
      </c>
      <c r="K224" s="19">
        <v>3.7789999999999999</v>
      </c>
      <c r="L224" s="19">
        <v>91.707300000000004</v>
      </c>
      <c r="M224" s="19">
        <v>5877000000</v>
      </c>
      <c r="N224" s="19">
        <v>97.946399999999997</v>
      </c>
      <c r="O224">
        <v>37.009</v>
      </c>
      <c r="P224">
        <v>20.485099999999999</v>
      </c>
      <c r="Q224" s="19">
        <v>36685.03</v>
      </c>
      <c r="R224" s="19">
        <v>35645.4162</v>
      </c>
      <c r="S224" s="19">
        <v>2.0013000000000001</v>
      </c>
      <c r="T224" s="19">
        <v>49223.247199999998</v>
      </c>
      <c r="U224" s="19">
        <v>32430.444299999999</v>
      </c>
      <c r="V224">
        <v>29.7</v>
      </c>
      <c r="W224" s="19">
        <v>92.195099999999996</v>
      </c>
      <c r="X224">
        <v>99</v>
      </c>
      <c r="Y224">
        <v>39</v>
      </c>
      <c r="Z224">
        <v>89</v>
      </c>
      <c r="AA224">
        <v>3.3</v>
      </c>
      <c r="AB224">
        <v>46.9</v>
      </c>
      <c r="AC224">
        <v>80.812200000000004</v>
      </c>
      <c r="AD224">
        <v>98.265199999999993</v>
      </c>
      <c r="AE224">
        <v>9</v>
      </c>
      <c r="AF224">
        <v>91.807199999999995</v>
      </c>
      <c r="AG224">
        <v>7.9</v>
      </c>
      <c r="AH224">
        <v>0.41</v>
      </c>
      <c r="AI224">
        <v>4.5</v>
      </c>
      <c r="AJ224">
        <v>4</v>
      </c>
      <c r="AK224">
        <v>5</v>
      </c>
      <c r="AL224">
        <v>65.695300000000003</v>
      </c>
      <c r="AM224">
        <v>2.4</v>
      </c>
      <c r="AN224">
        <v>132512</v>
      </c>
      <c r="AO224">
        <v>0</v>
      </c>
      <c r="AP224">
        <v>100</v>
      </c>
      <c r="AQ224">
        <v>98.658500000000004</v>
      </c>
      <c r="AR224">
        <v>97.7102</v>
      </c>
      <c r="AU224">
        <v>14.6287</v>
      </c>
      <c r="AV224" s="19">
        <v>64.251199999999997</v>
      </c>
      <c r="AW224">
        <v>0</v>
      </c>
      <c r="AY224">
        <v>3</v>
      </c>
      <c r="AZ224">
        <v>5</v>
      </c>
      <c r="BA224">
        <v>88.857699999999994</v>
      </c>
      <c r="BB224">
        <v>12.1951</v>
      </c>
      <c r="BC224">
        <v>7.4021999999999997</v>
      </c>
      <c r="BD224" s="19">
        <v>2.9289999999999998</v>
      </c>
      <c r="BE224" s="19">
        <v>86.274500000000003</v>
      </c>
      <c r="BF224">
        <v>11.790100000000001</v>
      </c>
      <c r="BG224">
        <v>8.5</v>
      </c>
      <c r="BH224" s="20">
        <v>2.0508999999999999</v>
      </c>
      <c r="BI224" s="20">
        <v>3405.1808999999998</v>
      </c>
      <c r="BJ224" s="19">
        <v>90.430599999999998</v>
      </c>
      <c r="BK224">
        <v>0.98870000000000002</v>
      </c>
      <c r="BL224">
        <v>0.99550000000000005</v>
      </c>
      <c r="BM224">
        <v>1</v>
      </c>
      <c r="BN224">
        <v>7</v>
      </c>
      <c r="BO224">
        <v>11.784000000000001</v>
      </c>
      <c r="BP224">
        <v>18.46</v>
      </c>
      <c r="BQ224" s="19">
        <v>105.5585</v>
      </c>
      <c r="BR224">
        <v>73.068700000000007</v>
      </c>
      <c r="BS224" s="20">
        <v>8.8320000000000007</v>
      </c>
      <c r="BT224" s="20">
        <v>8.8330000000000002</v>
      </c>
      <c r="BU224" s="20">
        <v>22.446999999999999</v>
      </c>
      <c r="BV224" s="20">
        <v>22.538</v>
      </c>
      <c r="BW224" s="19">
        <v>91.826899999999995</v>
      </c>
      <c r="BX224">
        <v>21.92</v>
      </c>
      <c r="BY224" s="5">
        <v>124401921</v>
      </c>
      <c r="BZ224" s="6">
        <v>297481567</v>
      </c>
      <c r="CA224" s="7">
        <f t="shared" si="15"/>
        <v>2.3912939977832015</v>
      </c>
      <c r="CB224">
        <v>63622342</v>
      </c>
      <c r="CC224" s="8">
        <f t="shared" si="16"/>
        <v>4.6757405912533052</v>
      </c>
      <c r="CD224" s="8">
        <f t="shared" si="17"/>
        <v>1.9553181648044331</v>
      </c>
      <c r="CE224">
        <v>549060</v>
      </c>
      <c r="CF224" s="8">
        <f t="shared" si="18"/>
        <v>226.572543984264</v>
      </c>
      <c r="CG224" s="8">
        <f t="shared" si="19"/>
        <v>541.80156449204094</v>
      </c>
      <c r="CH224">
        <v>102.13827000000001</v>
      </c>
    </row>
    <row r="225" spans="1:86" ht="15.5" x14ac:dyDescent="0.35">
      <c r="A225" t="s">
        <v>95</v>
      </c>
      <c r="B225">
        <v>2007</v>
      </c>
      <c r="C225" s="2">
        <v>53.618099999999998</v>
      </c>
      <c r="D225">
        <v>744719.8</v>
      </c>
      <c r="E225">
        <v>0.1215</v>
      </c>
      <c r="F225">
        <v>6.0964</v>
      </c>
      <c r="G225">
        <v>530000</v>
      </c>
      <c r="H225">
        <v>10</v>
      </c>
      <c r="I225" s="19">
        <v>89.516000000000005</v>
      </c>
      <c r="J225" s="19">
        <v>90.692999999999998</v>
      </c>
      <c r="K225" s="19">
        <v>5.1950000000000003</v>
      </c>
      <c r="L225" s="19">
        <v>91.747600000000006</v>
      </c>
      <c r="M225" s="19">
        <v>-2712000000</v>
      </c>
      <c r="N225" s="19">
        <v>110.53749999999999</v>
      </c>
      <c r="O225">
        <v>36.459000000000003</v>
      </c>
      <c r="P225">
        <v>25.2273</v>
      </c>
      <c r="Q225" s="19">
        <v>41762.589999999997</v>
      </c>
      <c r="R225" s="19">
        <v>36322.1685</v>
      </c>
      <c r="S225" s="19">
        <v>1.8986000000000001</v>
      </c>
      <c r="T225" s="19">
        <v>50157.7837</v>
      </c>
      <c r="U225" s="19">
        <v>34067.466099999998</v>
      </c>
      <c r="V225">
        <v>32.4</v>
      </c>
      <c r="W225" s="19">
        <v>89.320400000000006</v>
      </c>
      <c r="X225">
        <v>99</v>
      </c>
      <c r="Y225">
        <v>42</v>
      </c>
      <c r="Z225">
        <v>90</v>
      </c>
      <c r="AA225">
        <v>3.2</v>
      </c>
      <c r="AB225">
        <v>66.099999999999994</v>
      </c>
      <c r="AC225">
        <v>81.112200000000001</v>
      </c>
      <c r="AD225">
        <v>97.344499999999996</v>
      </c>
      <c r="AE225">
        <v>9</v>
      </c>
      <c r="AF225">
        <v>91.833399999999997</v>
      </c>
      <c r="AG225">
        <v>7.7</v>
      </c>
      <c r="AH225">
        <v>0.4</v>
      </c>
      <c r="AI225">
        <v>4.4000000000000004</v>
      </c>
      <c r="AJ225">
        <v>3.9</v>
      </c>
      <c r="AK225">
        <v>4.9000000000000004</v>
      </c>
      <c r="AL225">
        <v>66.642600000000002</v>
      </c>
      <c r="AM225">
        <v>2.4</v>
      </c>
      <c r="AN225">
        <v>91973</v>
      </c>
      <c r="AO225">
        <v>0</v>
      </c>
      <c r="AP225">
        <v>100</v>
      </c>
      <c r="AQ225">
        <v>98.657700000000006</v>
      </c>
      <c r="AR225">
        <v>97.833399999999997</v>
      </c>
      <c r="AU225">
        <v>14.334</v>
      </c>
      <c r="AV225" s="19">
        <v>64.734300000000005</v>
      </c>
      <c r="AW225">
        <v>0</v>
      </c>
      <c r="AY225">
        <v>3</v>
      </c>
      <c r="AZ225">
        <v>5</v>
      </c>
      <c r="BA225">
        <v>88.855099999999993</v>
      </c>
      <c r="BB225">
        <v>18.197600000000001</v>
      </c>
      <c r="BC225">
        <v>7.3341000000000003</v>
      </c>
      <c r="BD225" s="19">
        <v>2.4860000000000002</v>
      </c>
      <c r="BE225" s="19">
        <v>86.893199999999993</v>
      </c>
      <c r="BF225">
        <v>12.5601</v>
      </c>
      <c r="BG225">
        <v>9.4</v>
      </c>
      <c r="BH225" s="20">
        <v>2.0245000000000002</v>
      </c>
      <c r="BI225" s="20">
        <v>3563.5654</v>
      </c>
      <c r="BJ225" s="19">
        <v>90.430599999999998</v>
      </c>
      <c r="BK225">
        <v>0.99199999999999999</v>
      </c>
      <c r="BL225">
        <v>0.99780000000000002</v>
      </c>
      <c r="BM225">
        <v>1.0018</v>
      </c>
      <c r="BN225">
        <v>7</v>
      </c>
      <c r="BO225">
        <v>10.996</v>
      </c>
      <c r="BP225">
        <v>18.03</v>
      </c>
      <c r="BQ225" s="19">
        <v>105.4143</v>
      </c>
      <c r="BR225">
        <v>76.009900000000002</v>
      </c>
      <c r="BS225" s="20">
        <v>8.0079999999999991</v>
      </c>
      <c r="BT225" s="20">
        <v>8.0090000000000003</v>
      </c>
      <c r="BU225" s="20">
        <v>19.643999999999998</v>
      </c>
      <c r="BV225" s="20">
        <v>19.704000000000001</v>
      </c>
      <c r="BW225" s="19">
        <v>91.346199999999996</v>
      </c>
      <c r="BX225">
        <v>23.95</v>
      </c>
      <c r="BY225" s="5">
        <v>127005145</v>
      </c>
      <c r="BZ225" s="6">
        <v>301962648</v>
      </c>
      <c r="CA225" s="7">
        <f t="shared" si="15"/>
        <v>2.377562326313631</v>
      </c>
      <c r="CB225">
        <v>64016890</v>
      </c>
      <c r="CC225" s="8">
        <f t="shared" si="16"/>
        <v>4.7169215499222155</v>
      </c>
      <c r="CD225" s="8">
        <f t="shared" si="17"/>
        <v>1.9839318186184927</v>
      </c>
      <c r="CE225">
        <v>549060</v>
      </c>
      <c r="CF225" s="8">
        <f t="shared" si="18"/>
        <v>231.31378173605799</v>
      </c>
      <c r="CG225" s="8">
        <f t="shared" si="19"/>
        <v>549.96293301278547</v>
      </c>
      <c r="CH225">
        <v>101.1426</v>
      </c>
    </row>
    <row r="226" spans="1:86" ht="15.5" x14ac:dyDescent="0.35">
      <c r="A226" t="s">
        <v>95</v>
      </c>
      <c r="B226">
        <v>2008</v>
      </c>
      <c r="C226" s="2">
        <v>53.864400000000003</v>
      </c>
      <c r="D226">
        <v>739792.1</v>
      </c>
      <c r="E226">
        <v>0.1188</v>
      </c>
      <c r="F226">
        <v>5.9496000000000002</v>
      </c>
      <c r="G226">
        <v>523000</v>
      </c>
      <c r="H226">
        <v>10</v>
      </c>
      <c r="I226" s="19">
        <v>92.346000000000004</v>
      </c>
      <c r="J226" s="19">
        <v>92.54</v>
      </c>
      <c r="K226" s="19">
        <v>4.5810000000000004</v>
      </c>
      <c r="L226" s="19">
        <v>91.262100000000004</v>
      </c>
      <c r="M226" s="19">
        <v>-20404000000</v>
      </c>
      <c r="N226" s="19">
        <v>121.723</v>
      </c>
      <c r="O226">
        <v>36.786999999999999</v>
      </c>
      <c r="P226">
        <v>28.400700000000001</v>
      </c>
      <c r="Q226" s="19">
        <v>45753.56</v>
      </c>
      <c r="R226" s="19">
        <v>36257.365899999997</v>
      </c>
      <c r="S226" s="19">
        <v>-0.1784</v>
      </c>
      <c r="T226" s="19">
        <v>50068.296900000001</v>
      </c>
      <c r="U226" s="19">
        <v>35053.262699999999</v>
      </c>
      <c r="V226">
        <v>33</v>
      </c>
      <c r="W226" s="19">
        <v>91.747600000000006</v>
      </c>
      <c r="X226">
        <v>99</v>
      </c>
      <c r="Y226">
        <v>47</v>
      </c>
      <c r="Z226">
        <v>89</v>
      </c>
      <c r="AA226">
        <v>3.2</v>
      </c>
      <c r="AB226">
        <v>70.7</v>
      </c>
      <c r="AC226">
        <v>81.214600000000004</v>
      </c>
      <c r="AD226">
        <v>99.467500000000001</v>
      </c>
      <c r="AE226">
        <v>10</v>
      </c>
      <c r="AF226">
        <v>91.897800000000004</v>
      </c>
      <c r="AG226">
        <v>7.1</v>
      </c>
      <c r="AH226">
        <v>0.39</v>
      </c>
      <c r="AI226">
        <v>4.4000000000000004</v>
      </c>
      <c r="AJ226">
        <v>3.9</v>
      </c>
      <c r="AK226">
        <v>4.8</v>
      </c>
      <c r="AL226">
        <v>66.862399999999994</v>
      </c>
      <c r="AM226">
        <v>2.4</v>
      </c>
      <c r="AN226">
        <v>79528</v>
      </c>
      <c r="AO226">
        <v>0</v>
      </c>
      <c r="AP226">
        <v>100</v>
      </c>
      <c r="AQ226">
        <v>98.656999999999996</v>
      </c>
      <c r="AR226">
        <v>97.957499999999996</v>
      </c>
      <c r="AU226">
        <v>14.0596</v>
      </c>
      <c r="AV226" s="19">
        <v>64.903800000000004</v>
      </c>
      <c r="AW226">
        <v>0</v>
      </c>
      <c r="AY226">
        <v>3</v>
      </c>
      <c r="AZ226">
        <v>5</v>
      </c>
      <c r="BA226">
        <v>88.852599999999995</v>
      </c>
      <c r="BB226">
        <v>18.197600000000001</v>
      </c>
      <c r="BC226">
        <v>7.4164000000000003</v>
      </c>
      <c r="BD226" s="19">
        <v>0.26500000000000001</v>
      </c>
      <c r="BE226" s="19">
        <v>87.378600000000006</v>
      </c>
      <c r="BF226">
        <v>13.6875</v>
      </c>
      <c r="BG226">
        <v>10.5</v>
      </c>
      <c r="BH226" s="20">
        <v>2.0611999999999999</v>
      </c>
      <c r="BI226" s="20">
        <v>3636.4841000000001</v>
      </c>
      <c r="BJ226" s="19">
        <v>90.865399999999994</v>
      </c>
      <c r="BK226">
        <v>0.98929999999999996</v>
      </c>
      <c r="BL226">
        <v>0.99760000000000004</v>
      </c>
      <c r="BM226">
        <v>1.0034000000000001</v>
      </c>
      <c r="BN226">
        <v>7</v>
      </c>
      <c r="BO226">
        <v>10.866</v>
      </c>
      <c r="BP226">
        <v>18.260000000000002</v>
      </c>
      <c r="BQ226" s="19">
        <v>102.86069999999999</v>
      </c>
      <c r="BR226">
        <v>77.172600000000003</v>
      </c>
      <c r="BS226" s="20">
        <v>7.3860000000000001</v>
      </c>
      <c r="BT226" s="20">
        <v>7.3860000000000001</v>
      </c>
      <c r="BU226" s="20">
        <v>19.213999999999999</v>
      </c>
      <c r="BV226" s="20">
        <v>19.286999999999999</v>
      </c>
      <c r="BW226" s="19">
        <v>91.346199999999996</v>
      </c>
      <c r="BX226">
        <v>23.22</v>
      </c>
      <c r="BY226" s="5">
        <v>126255594</v>
      </c>
      <c r="BZ226" s="6">
        <v>301042789</v>
      </c>
      <c r="CA226" s="7">
        <f t="shared" si="15"/>
        <v>2.3843916888149921</v>
      </c>
      <c r="CB226">
        <v>64375116</v>
      </c>
      <c r="CC226" s="8">
        <f t="shared" si="16"/>
        <v>4.6763844122626512</v>
      </c>
      <c r="CD226" s="8">
        <f t="shared" si="17"/>
        <v>1.9612484115756779</v>
      </c>
      <c r="CE226">
        <v>549060</v>
      </c>
      <c r="CF226" s="8">
        <f t="shared" si="18"/>
        <v>229.94862856518412</v>
      </c>
      <c r="CG226" s="8">
        <f t="shared" si="19"/>
        <v>548.2875988052308</v>
      </c>
      <c r="CH226">
        <v>100.64381</v>
      </c>
    </row>
    <row r="227" spans="1:86" ht="15.5" x14ac:dyDescent="0.35">
      <c r="A227" t="s">
        <v>95</v>
      </c>
      <c r="B227">
        <v>2009</v>
      </c>
      <c r="C227" s="2">
        <v>54.244700000000002</v>
      </c>
      <c r="D227">
        <v>701582.2</v>
      </c>
      <c r="E227">
        <v>0.1183</v>
      </c>
      <c r="F227">
        <v>5.7239000000000004</v>
      </c>
      <c r="G227">
        <v>500000</v>
      </c>
      <c r="H227">
        <v>10</v>
      </c>
      <c r="I227" s="19">
        <v>92.44</v>
      </c>
      <c r="J227" s="19">
        <v>92.923000000000002</v>
      </c>
      <c r="K227" s="19">
        <v>3.16</v>
      </c>
      <c r="L227" s="19">
        <v>90.430599999999998</v>
      </c>
      <c r="M227" s="19">
        <v>-14847000000</v>
      </c>
      <c r="N227" s="19">
        <v>95.756500000000003</v>
      </c>
      <c r="O227">
        <v>37.369</v>
      </c>
      <c r="P227">
        <v>31.457999999999998</v>
      </c>
      <c r="Q227" s="19">
        <v>41943.313000000002</v>
      </c>
      <c r="R227" s="19">
        <v>35052.8511</v>
      </c>
      <c r="S227" s="19">
        <v>-3.3220999999999998</v>
      </c>
      <c r="T227" s="19">
        <v>48404.965799999998</v>
      </c>
      <c r="U227" s="19">
        <v>34666.959900000002</v>
      </c>
      <c r="V227">
        <v>32.700000000000003</v>
      </c>
      <c r="W227" s="19">
        <v>88.995199999999997</v>
      </c>
      <c r="X227">
        <v>98</v>
      </c>
      <c r="Y227">
        <v>51</v>
      </c>
      <c r="Z227">
        <v>89</v>
      </c>
      <c r="AA227">
        <v>3.1</v>
      </c>
      <c r="AB227">
        <v>71.599999999999994</v>
      </c>
      <c r="AC227">
        <v>81.414599999999993</v>
      </c>
      <c r="AD227">
        <v>97.727400000000003</v>
      </c>
      <c r="AE227">
        <v>10</v>
      </c>
      <c r="AF227">
        <v>91.970799999999997</v>
      </c>
      <c r="AG227">
        <v>7</v>
      </c>
      <c r="AH227">
        <v>0.4</v>
      </c>
      <c r="AI227">
        <v>4.3</v>
      </c>
      <c r="AJ227">
        <v>3.8</v>
      </c>
      <c r="AK227">
        <v>4.7</v>
      </c>
      <c r="AL227">
        <v>67.048299999999998</v>
      </c>
      <c r="AM227">
        <v>2.2999999999999998</v>
      </c>
      <c r="AN227">
        <v>58032</v>
      </c>
      <c r="AO227">
        <v>0</v>
      </c>
      <c r="AP227">
        <v>100</v>
      </c>
      <c r="AQ227">
        <v>98.656199999999998</v>
      </c>
      <c r="AR227">
        <v>98.082300000000004</v>
      </c>
      <c r="AU227">
        <v>13.856999999999999</v>
      </c>
      <c r="AV227" s="19">
        <v>63.507100000000001</v>
      </c>
      <c r="AW227">
        <v>0</v>
      </c>
      <c r="AY227">
        <v>3</v>
      </c>
      <c r="AZ227">
        <v>5</v>
      </c>
      <c r="BA227">
        <v>88.849900000000005</v>
      </c>
      <c r="BB227">
        <v>18.890799999999999</v>
      </c>
      <c r="BC227">
        <v>7.9781000000000004</v>
      </c>
      <c r="BD227" s="19">
        <v>-2.7320000000000002</v>
      </c>
      <c r="BE227" s="19">
        <v>85.645899999999997</v>
      </c>
      <c r="BF227">
        <v>13.9254</v>
      </c>
      <c r="BG227">
        <v>11.2</v>
      </c>
      <c r="BH227" s="20">
        <v>2.2121</v>
      </c>
      <c r="BI227" s="20">
        <v>3722.9998000000001</v>
      </c>
      <c r="BJ227" s="19">
        <v>90.047399999999996</v>
      </c>
      <c r="BK227">
        <v>0.99039999999999995</v>
      </c>
      <c r="BL227">
        <v>0.99829999999999997</v>
      </c>
      <c r="BM227">
        <v>1.004</v>
      </c>
      <c r="BN227">
        <v>7</v>
      </c>
      <c r="BO227">
        <v>14.337999999999999</v>
      </c>
      <c r="BP227">
        <v>18.43</v>
      </c>
      <c r="BQ227" s="19">
        <v>105.6627</v>
      </c>
      <c r="BR227">
        <v>71.451800000000006</v>
      </c>
      <c r="BS227" s="20">
        <v>9.1219999999999999</v>
      </c>
      <c r="BT227" s="20">
        <v>9.1219999999999999</v>
      </c>
      <c r="BU227" s="20">
        <v>24.006</v>
      </c>
      <c r="BV227" s="20">
        <v>24.120999999999999</v>
      </c>
      <c r="BW227" s="19">
        <v>90.521299999999997</v>
      </c>
      <c r="BX227">
        <v>23.82</v>
      </c>
      <c r="BY227" s="5">
        <v>124039307</v>
      </c>
      <c r="BZ227" s="6">
        <v>294689672</v>
      </c>
      <c r="CA227" s="7">
        <f t="shared" si="15"/>
        <v>2.3757765109087559</v>
      </c>
      <c r="CB227">
        <v>64706436</v>
      </c>
      <c r="CC227" s="8">
        <f t="shared" si="16"/>
        <v>4.5542559630389778</v>
      </c>
      <c r="CD227" s="8">
        <f t="shared" si="17"/>
        <v>1.916954706020279</v>
      </c>
      <c r="CE227">
        <v>549060</v>
      </c>
      <c r="CF227" s="8">
        <f t="shared" si="18"/>
        <v>225.91211707281536</v>
      </c>
      <c r="CG227" s="8">
        <f t="shared" si="19"/>
        <v>536.71670127126356</v>
      </c>
      <c r="CH227">
        <v>101.42421</v>
      </c>
    </row>
    <row r="228" spans="1:86" ht="15.5" x14ac:dyDescent="0.35">
      <c r="A228" t="s">
        <v>95</v>
      </c>
      <c r="B228">
        <v>2010</v>
      </c>
      <c r="C228" s="2">
        <v>54.591500000000003</v>
      </c>
      <c r="D228">
        <v>692466</v>
      </c>
      <c r="E228">
        <v>0.1182</v>
      </c>
      <c r="F228">
        <v>5.8093000000000004</v>
      </c>
      <c r="G228">
        <v>509000</v>
      </c>
      <c r="H228">
        <v>10</v>
      </c>
      <c r="I228" s="19">
        <v>94.046999999999997</v>
      </c>
      <c r="J228" s="19">
        <v>94.667000000000002</v>
      </c>
      <c r="K228" s="19">
        <v>4.1509999999999998</v>
      </c>
      <c r="L228" s="19">
        <v>90.952399999999997</v>
      </c>
      <c r="M228" s="19">
        <v>-16654000000</v>
      </c>
      <c r="N228" s="19">
        <v>103.4572</v>
      </c>
      <c r="O228">
        <v>38.588000000000001</v>
      </c>
      <c r="P228">
        <v>33.645400000000002</v>
      </c>
      <c r="Q228" s="19">
        <v>40988.557999999997</v>
      </c>
      <c r="R228" s="19">
        <v>35578.196799999998</v>
      </c>
      <c r="S228" s="19">
        <v>1.4986999999999999</v>
      </c>
      <c r="T228" s="19">
        <v>49130.422899999998</v>
      </c>
      <c r="U228" s="19">
        <v>35911.543899999997</v>
      </c>
      <c r="V228">
        <v>33.700000000000003</v>
      </c>
      <c r="W228" s="19">
        <v>88.995199999999997</v>
      </c>
      <c r="X228">
        <v>99</v>
      </c>
      <c r="Y228">
        <v>64</v>
      </c>
      <c r="Z228">
        <v>89</v>
      </c>
      <c r="AA228">
        <v>3.1</v>
      </c>
      <c r="AB228">
        <v>77.3</v>
      </c>
      <c r="AC228">
        <v>81.663399999999996</v>
      </c>
      <c r="AD228">
        <v>96.580699999999993</v>
      </c>
      <c r="AE228">
        <v>9</v>
      </c>
      <c r="AF228">
        <v>92.739900000000006</v>
      </c>
      <c r="AG228">
        <v>6.5</v>
      </c>
      <c r="AH228">
        <v>0.43</v>
      </c>
      <c r="AI228">
        <v>4.2</v>
      </c>
      <c r="AJ228">
        <v>3.8</v>
      </c>
      <c r="AK228">
        <v>4.5999999999999996</v>
      </c>
      <c r="AL228">
        <v>67.879800000000003</v>
      </c>
      <c r="AM228">
        <v>2.2999999999999998</v>
      </c>
      <c r="AN228">
        <v>52644</v>
      </c>
      <c r="AO228">
        <v>0</v>
      </c>
      <c r="AP228">
        <v>100</v>
      </c>
      <c r="AQ228">
        <v>98.655500000000004</v>
      </c>
      <c r="AR228">
        <v>98.207800000000006</v>
      </c>
      <c r="AU228">
        <v>13.777900000000001</v>
      </c>
      <c r="AV228" s="19">
        <v>68.720399999999998</v>
      </c>
      <c r="AW228">
        <v>0.1</v>
      </c>
      <c r="AY228">
        <v>3</v>
      </c>
      <c r="AZ228">
        <v>5</v>
      </c>
      <c r="BA228">
        <v>88.847300000000004</v>
      </c>
      <c r="BB228">
        <v>18.890799999999999</v>
      </c>
      <c r="BC228">
        <v>7.9077000000000002</v>
      </c>
      <c r="BD228" s="19">
        <v>1.843</v>
      </c>
      <c r="BE228" s="19">
        <v>86.602900000000005</v>
      </c>
      <c r="BF228">
        <v>14.581</v>
      </c>
      <c r="BG228">
        <v>11.9</v>
      </c>
      <c r="BH228" s="20">
        <v>2.1785999999999999</v>
      </c>
      <c r="BI228" s="20">
        <v>3849.5934999999999</v>
      </c>
      <c r="BJ228" s="19">
        <v>90.521299999999997</v>
      </c>
      <c r="BK228">
        <v>0.98799999999999999</v>
      </c>
      <c r="BL228">
        <v>1.0007999999999999</v>
      </c>
      <c r="BM228">
        <v>1.01</v>
      </c>
      <c r="BN228">
        <v>7</v>
      </c>
      <c r="BO228">
        <v>12.875999999999999</v>
      </c>
      <c r="BP228">
        <v>18.23</v>
      </c>
      <c r="BQ228" s="19">
        <v>102.19580000000001</v>
      </c>
      <c r="BR228">
        <v>71.566500000000005</v>
      </c>
      <c r="BS228" s="20">
        <v>9.2789999999999999</v>
      </c>
      <c r="BT228" s="20">
        <v>9.2789999999999999</v>
      </c>
      <c r="BU228" s="20">
        <v>23.591999999999999</v>
      </c>
      <c r="BV228" s="20">
        <v>23.68</v>
      </c>
      <c r="BW228" s="19">
        <v>90.047399999999996</v>
      </c>
      <c r="BX228">
        <v>23.79</v>
      </c>
      <c r="BY228" s="5">
        <v>125864400</v>
      </c>
      <c r="BZ228" s="6">
        <v>391222795</v>
      </c>
      <c r="CA228" s="7">
        <f t="shared" si="15"/>
        <v>3.1082879273249624</v>
      </c>
      <c r="CB228">
        <v>65026211</v>
      </c>
      <c r="CC228" s="8">
        <f t="shared" si="16"/>
        <v>6.0163861461957238</v>
      </c>
      <c r="CD228" s="8">
        <f t="shared" si="17"/>
        <v>1.9355948634313016</v>
      </c>
      <c r="CE228">
        <v>549060</v>
      </c>
      <c r="CF228" s="8">
        <f t="shared" si="18"/>
        <v>229.23614905474813</v>
      </c>
      <c r="CG228" s="8">
        <f t="shared" si="19"/>
        <v>712.53195461333917</v>
      </c>
      <c r="CH228">
        <v>100.93841</v>
      </c>
    </row>
    <row r="229" spans="1:86" ht="15.5" x14ac:dyDescent="0.35">
      <c r="A229" t="s">
        <v>95</v>
      </c>
      <c r="B229">
        <v>2011</v>
      </c>
      <c r="C229" s="2">
        <v>55.276400000000002</v>
      </c>
      <c r="D229">
        <v>661113.9</v>
      </c>
      <c r="E229">
        <v>0.1113</v>
      </c>
      <c r="F229">
        <v>5.5755999999999997</v>
      </c>
      <c r="G229">
        <v>482000</v>
      </c>
      <c r="H229">
        <v>10</v>
      </c>
      <c r="I229" s="19">
        <v>96.197999999999993</v>
      </c>
      <c r="J229" s="19">
        <v>97.156999999999996</v>
      </c>
      <c r="K229" s="19">
        <v>4.6689999999999996</v>
      </c>
      <c r="L229" s="19">
        <v>90.9953</v>
      </c>
      <c r="M229" s="19">
        <v>-24621000000</v>
      </c>
      <c r="N229" s="19">
        <v>117.8184</v>
      </c>
      <c r="O229">
        <v>39.128</v>
      </c>
      <c r="P229">
        <v>35.693800000000003</v>
      </c>
      <c r="Q229" s="19">
        <v>44197.637999999999</v>
      </c>
      <c r="R229" s="19">
        <v>36269.956200000001</v>
      </c>
      <c r="S229" s="19">
        <v>1.9442999999999999</v>
      </c>
      <c r="T229" s="19">
        <v>50085.682999999997</v>
      </c>
      <c r="U229" s="19">
        <v>37510.375999999997</v>
      </c>
      <c r="V229">
        <v>33.299999999999997</v>
      </c>
      <c r="W229" s="19">
        <v>87.677700000000002</v>
      </c>
      <c r="X229">
        <v>99</v>
      </c>
      <c r="Y229">
        <v>74</v>
      </c>
      <c r="Z229">
        <v>89</v>
      </c>
      <c r="AA229">
        <v>3.1</v>
      </c>
      <c r="AB229">
        <v>77.8</v>
      </c>
      <c r="AC229">
        <v>82.114599999999996</v>
      </c>
      <c r="AD229">
        <v>97.198499999999996</v>
      </c>
      <c r="AE229">
        <v>9</v>
      </c>
      <c r="AF229">
        <v>92.845799999999997</v>
      </c>
      <c r="AG229">
        <v>6.5</v>
      </c>
      <c r="AH229">
        <v>0.36</v>
      </c>
      <c r="AI229">
        <v>4.2</v>
      </c>
      <c r="AJ229">
        <v>3.7</v>
      </c>
      <c r="AK229">
        <v>4.5</v>
      </c>
      <c r="AL229">
        <v>67.743399999999994</v>
      </c>
      <c r="AM229">
        <v>2.2999999999999998</v>
      </c>
      <c r="AN229">
        <v>70178</v>
      </c>
      <c r="AO229">
        <v>0</v>
      </c>
      <c r="AP229">
        <v>100</v>
      </c>
      <c r="AQ229">
        <v>98.654700000000005</v>
      </c>
      <c r="AR229">
        <v>98.334299999999999</v>
      </c>
      <c r="AU229">
        <v>13.797499999999999</v>
      </c>
      <c r="AV229" s="19">
        <v>65.402799999999999</v>
      </c>
      <c r="AW229">
        <v>0</v>
      </c>
      <c r="AY229">
        <v>3</v>
      </c>
      <c r="AZ229">
        <v>5</v>
      </c>
      <c r="BA229">
        <v>88.8446</v>
      </c>
      <c r="BB229">
        <v>18.890799999999999</v>
      </c>
      <c r="BC229">
        <v>7.8525</v>
      </c>
      <c r="BD229" s="19">
        <v>2.4849999999999999</v>
      </c>
      <c r="BE229" s="19">
        <v>84.834100000000007</v>
      </c>
      <c r="BF229">
        <v>12.419499999999999</v>
      </c>
      <c r="BG229">
        <v>10.6</v>
      </c>
      <c r="BH229" s="20">
        <v>2.1916000000000002</v>
      </c>
      <c r="BI229" s="20">
        <v>3920.6570000000002</v>
      </c>
      <c r="BJ229" s="19">
        <v>89.671400000000006</v>
      </c>
      <c r="BK229">
        <v>0.99550000000000005</v>
      </c>
      <c r="BL229">
        <v>1.0033000000000001</v>
      </c>
      <c r="BM229">
        <v>1.0087999999999999</v>
      </c>
      <c r="BN229">
        <v>7</v>
      </c>
      <c r="BO229">
        <v>12.414999999999999</v>
      </c>
      <c r="BP229">
        <v>18.04</v>
      </c>
      <c r="BQ229" s="19">
        <v>98.503</v>
      </c>
      <c r="BR229">
        <v>72.108999999999995</v>
      </c>
      <c r="BS229" s="20">
        <v>9.2279999999999998</v>
      </c>
      <c r="BT229" s="20">
        <v>9.2279999999999998</v>
      </c>
      <c r="BU229" s="20">
        <v>23.018000000000001</v>
      </c>
      <c r="BV229" s="20">
        <v>23.103999999999999</v>
      </c>
      <c r="BW229" s="19">
        <v>88.732399999999998</v>
      </c>
      <c r="BX229">
        <v>23.62</v>
      </c>
      <c r="BY229" s="5">
        <v>148791996</v>
      </c>
      <c r="BZ229" s="6">
        <v>401006928</v>
      </c>
      <c r="CA229" s="7">
        <f t="shared" si="15"/>
        <v>2.6950840016958977</v>
      </c>
      <c r="CB229">
        <v>65340830</v>
      </c>
      <c r="CC229" s="8">
        <f t="shared" si="16"/>
        <v>6.1371569354108297</v>
      </c>
      <c r="CD229" s="8">
        <f t="shared" si="17"/>
        <v>2.2771672168841444</v>
      </c>
      <c r="CE229">
        <v>549060</v>
      </c>
      <c r="CF229" s="8">
        <f t="shared" si="18"/>
        <v>270.99405529450331</v>
      </c>
      <c r="CG229" s="8">
        <f t="shared" si="19"/>
        <v>730.35174297890944</v>
      </c>
      <c r="CH229">
        <v>100.32867</v>
      </c>
    </row>
    <row r="230" spans="1:86" ht="15.5" x14ac:dyDescent="0.35">
      <c r="A230" s="9" t="s">
        <v>95</v>
      </c>
      <c r="B230" s="9">
        <v>2012</v>
      </c>
      <c r="C230" s="10">
        <v>56.293500000000002</v>
      </c>
      <c r="D230" s="9">
        <v>654311.6</v>
      </c>
      <c r="E230" s="9">
        <v>0.11169999999999999</v>
      </c>
      <c r="F230" s="9">
        <v>5.5765000000000002</v>
      </c>
      <c r="G230" s="9">
        <v>483000</v>
      </c>
      <c r="H230" s="9">
        <v>10</v>
      </c>
      <c r="I230" s="21">
        <v>98.33</v>
      </c>
      <c r="J230" s="21">
        <v>98.826999999999998</v>
      </c>
      <c r="K230" s="21">
        <v>3.8420000000000001</v>
      </c>
      <c r="L230" s="21">
        <v>90.521299999999997</v>
      </c>
      <c r="M230" s="21">
        <v>-57232000000</v>
      </c>
      <c r="N230" s="21">
        <v>112.3342</v>
      </c>
      <c r="O230" s="9">
        <v>39.204999999999998</v>
      </c>
      <c r="P230" s="9">
        <v>37.434600000000003</v>
      </c>
      <c r="Q230" s="21">
        <v>41150.451000000001</v>
      </c>
      <c r="R230" s="21">
        <v>36161.291799999999</v>
      </c>
      <c r="S230" s="21">
        <v>-0.29959999999999998</v>
      </c>
      <c r="T230" s="21">
        <v>49935.626900000003</v>
      </c>
      <c r="U230" s="21">
        <v>37671.0239</v>
      </c>
      <c r="V230" s="9">
        <v>33.1</v>
      </c>
      <c r="W230" s="21">
        <v>87.677700000000002</v>
      </c>
      <c r="X230" s="9">
        <v>99</v>
      </c>
      <c r="Y230" s="9">
        <v>78</v>
      </c>
      <c r="Z230" s="9">
        <v>91</v>
      </c>
      <c r="AA230" s="9">
        <v>3.1</v>
      </c>
      <c r="AB230" s="9">
        <v>81.400000000000006</v>
      </c>
      <c r="AC230" s="9">
        <v>81.968299999999999</v>
      </c>
      <c r="AD230" s="9">
        <v>98.715900000000005</v>
      </c>
      <c r="AE230" s="9">
        <v>9</v>
      </c>
      <c r="AF230" s="9">
        <v>92.920599999999993</v>
      </c>
      <c r="AG230" s="9">
        <v>5.9</v>
      </c>
      <c r="AH230" s="9">
        <v>0.38</v>
      </c>
      <c r="AI230" s="9">
        <v>4.0999999999999996</v>
      </c>
      <c r="AJ230" s="9">
        <v>3.7</v>
      </c>
      <c r="AK230" s="9">
        <v>4.5</v>
      </c>
      <c r="AL230" s="9">
        <v>67.752799999999993</v>
      </c>
      <c r="AM230" s="9">
        <v>2.2999999999999998</v>
      </c>
      <c r="AN230" s="9">
        <v>103287</v>
      </c>
      <c r="AO230" s="9">
        <v>0</v>
      </c>
      <c r="AP230" s="9">
        <v>100</v>
      </c>
      <c r="AQ230" s="9">
        <v>98.653899999999993</v>
      </c>
      <c r="AR230" s="9">
        <v>98.461500000000001</v>
      </c>
      <c r="AS230" s="9"/>
      <c r="AT230" s="9"/>
      <c r="AU230" s="9">
        <v>12.5586</v>
      </c>
      <c r="AV230" s="21">
        <v>63.507100000000001</v>
      </c>
      <c r="AW230" s="9">
        <v>0.1</v>
      </c>
      <c r="AX230" s="9"/>
      <c r="AY230" s="9">
        <v>3</v>
      </c>
      <c r="AZ230" s="9">
        <v>5</v>
      </c>
      <c r="BA230" s="9">
        <v>88.921400000000006</v>
      </c>
      <c r="BB230" s="9">
        <v>26.863099999999999</v>
      </c>
      <c r="BC230" s="9">
        <v>7.9410999999999996</v>
      </c>
      <c r="BD230" s="21">
        <v>0.221</v>
      </c>
      <c r="BE230" s="21">
        <v>83.412300000000002</v>
      </c>
      <c r="BF230" s="9">
        <v>15.744</v>
      </c>
      <c r="BG230" s="9">
        <v>12.3</v>
      </c>
      <c r="BH230" s="22">
        <v>2.2271000000000001</v>
      </c>
      <c r="BI230" s="22">
        <v>4052.1704</v>
      </c>
      <c r="BJ230" s="21">
        <v>89.671400000000006</v>
      </c>
      <c r="BK230" s="9">
        <v>0.99939999999999996</v>
      </c>
      <c r="BL230" s="9">
        <v>1.0029999999999999</v>
      </c>
      <c r="BM230" s="9">
        <v>1.0056</v>
      </c>
      <c r="BN230" s="9">
        <v>7</v>
      </c>
      <c r="BO230" s="9">
        <v>12.843</v>
      </c>
      <c r="BP230" s="9">
        <v>17.13</v>
      </c>
      <c r="BQ230" s="21">
        <v>97.417199999999994</v>
      </c>
      <c r="BR230" s="9">
        <v>70.019900000000007</v>
      </c>
      <c r="BS230" s="22">
        <v>9.8409999999999993</v>
      </c>
      <c r="BT230" s="22">
        <v>9.8409999999999993</v>
      </c>
      <c r="BU230" s="22">
        <v>24.949000000000002</v>
      </c>
      <c r="BV230" s="22">
        <v>25.050999999999998</v>
      </c>
      <c r="BW230" s="21">
        <v>89.671400000000006</v>
      </c>
      <c r="BX230" s="9">
        <v>23.52</v>
      </c>
      <c r="BY230" s="14">
        <v>148855084</v>
      </c>
      <c r="BZ230" s="6">
        <v>400525558</v>
      </c>
      <c r="CA230" s="7">
        <f t="shared" si="15"/>
        <v>2.6907079505594851</v>
      </c>
      <c r="CB230">
        <v>65657659</v>
      </c>
      <c r="CC230" s="8">
        <f t="shared" si="16"/>
        <v>6.1002107613979959</v>
      </c>
      <c r="CD230" s="8">
        <f t="shared" si="17"/>
        <v>2.2671396797744494</v>
      </c>
      <c r="CE230">
        <v>549060</v>
      </c>
      <c r="CF230" s="8">
        <f t="shared" si="18"/>
        <v>271.10895712672567</v>
      </c>
      <c r="CG230" s="8">
        <f t="shared" si="19"/>
        <v>729.47502640877133</v>
      </c>
      <c r="CH230" s="9">
        <v>100.01607</v>
      </c>
    </row>
    <row r="231" spans="1:86" ht="15.5" x14ac:dyDescent="0.35">
      <c r="A231" t="s">
        <v>95</v>
      </c>
      <c r="B231">
        <v>2013</v>
      </c>
      <c r="C231" s="2">
        <v>57.167900000000003</v>
      </c>
      <c r="D231">
        <v>651522</v>
      </c>
      <c r="E231">
        <v>0.10920000000000001</v>
      </c>
      <c r="F231">
        <v>5.4698000000000002</v>
      </c>
      <c r="G231">
        <v>482000</v>
      </c>
      <c r="H231">
        <v>10</v>
      </c>
      <c r="I231" s="19">
        <v>99.302999999999997</v>
      </c>
      <c r="J231" s="19">
        <v>99.587000000000003</v>
      </c>
      <c r="K231" s="19">
        <v>3.1909999999999998</v>
      </c>
      <c r="L231" s="19">
        <v>87.677700000000002</v>
      </c>
      <c r="M231" s="19">
        <v>-17160000000</v>
      </c>
      <c r="N231" s="19">
        <v>114.7317</v>
      </c>
      <c r="O231">
        <v>35.582999999999998</v>
      </c>
      <c r="P231">
        <v>38.734099999999998</v>
      </c>
      <c r="Q231" s="19">
        <v>42951.716</v>
      </c>
      <c r="R231" s="19">
        <v>36256.0867</v>
      </c>
      <c r="S231" s="19">
        <v>0.2621</v>
      </c>
      <c r="T231" s="19">
        <v>50066.530400000003</v>
      </c>
      <c r="U231" s="19">
        <v>39583.351999999999</v>
      </c>
      <c r="V231">
        <v>32.5</v>
      </c>
      <c r="W231" s="19">
        <v>89.099500000000006</v>
      </c>
      <c r="X231">
        <v>99</v>
      </c>
      <c r="Y231">
        <v>82</v>
      </c>
      <c r="Z231">
        <v>90</v>
      </c>
      <c r="AA231">
        <v>3.1</v>
      </c>
      <c r="AB231">
        <v>81.900000000000006</v>
      </c>
      <c r="AC231">
        <v>82.219499999999996</v>
      </c>
      <c r="AD231">
        <v>97.295400000000001</v>
      </c>
      <c r="AE231">
        <v>9</v>
      </c>
      <c r="AF231">
        <v>92.941999999999993</v>
      </c>
      <c r="AG231">
        <v>5.3</v>
      </c>
      <c r="AH231">
        <v>0.34</v>
      </c>
      <c r="AI231">
        <v>4.0999999999999996</v>
      </c>
      <c r="AJ231">
        <v>3.7</v>
      </c>
      <c r="AK231">
        <v>4.5</v>
      </c>
      <c r="AL231">
        <v>67.601500000000001</v>
      </c>
      <c r="AM231">
        <v>2.2999999999999998</v>
      </c>
      <c r="AN231">
        <v>116297</v>
      </c>
      <c r="AO231">
        <v>0</v>
      </c>
      <c r="AP231">
        <v>100</v>
      </c>
      <c r="AQ231">
        <v>98.653199999999998</v>
      </c>
      <c r="AR231">
        <v>98.589600000000004</v>
      </c>
      <c r="AU231">
        <v>12.458299999999999</v>
      </c>
      <c r="AV231" s="19">
        <v>62.085299999999997</v>
      </c>
      <c r="AW231">
        <v>0.1</v>
      </c>
      <c r="AY231">
        <v>3</v>
      </c>
      <c r="AZ231">
        <v>5</v>
      </c>
      <c r="BA231">
        <v>88.997799999999998</v>
      </c>
      <c r="BB231">
        <v>26.863099999999999</v>
      </c>
      <c r="BC231">
        <v>8.0025999999999993</v>
      </c>
      <c r="BD231" s="19">
        <v>0.91500000000000004</v>
      </c>
      <c r="BE231" s="19">
        <v>85.308099999999996</v>
      </c>
      <c r="BF231">
        <v>17.959</v>
      </c>
      <c r="BG231">
        <v>13.4</v>
      </c>
      <c r="BH231" s="20">
        <v>2.2370000000000001</v>
      </c>
      <c r="BI231" s="20">
        <v>4133.5625</v>
      </c>
      <c r="BJ231" s="19">
        <v>89.201899999999995</v>
      </c>
      <c r="BK231">
        <v>0.99729999999999996</v>
      </c>
      <c r="BL231">
        <v>1.0057</v>
      </c>
      <c r="BM231">
        <v>1.0117</v>
      </c>
      <c r="BN231">
        <v>7</v>
      </c>
      <c r="BO231">
        <v>13.433999999999999</v>
      </c>
      <c r="BP231">
        <v>16.98</v>
      </c>
      <c r="BQ231" s="19">
        <v>97.250900000000001</v>
      </c>
      <c r="BR231">
        <v>69.0274</v>
      </c>
      <c r="BS231" s="20">
        <v>9.9130000000000003</v>
      </c>
      <c r="BT231" s="20">
        <v>9.9130000000000003</v>
      </c>
      <c r="BU231" s="20">
        <v>24.363</v>
      </c>
      <c r="BV231" s="20">
        <v>24.619</v>
      </c>
      <c r="BW231" s="19">
        <v>89.671400000000006</v>
      </c>
      <c r="BX231">
        <v>24.16</v>
      </c>
      <c r="BY231" s="5">
        <v>153694338</v>
      </c>
      <c r="BZ231" s="6">
        <v>408126035</v>
      </c>
      <c r="CA231" s="7">
        <f t="shared" si="15"/>
        <v>2.6554396232865782</v>
      </c>
      <c r="CB231">
        <v>65997932</v>
      </c>
      <c r="CC231" s="8">
        <f t="shared" si="16"/>
        <v>6.1839215659060347</v>
      </c>
      <c r="CD231" s="8">
        <f t="shared" si="17"/>
        <v>2.3287750591942791</v>
      </c>
      <c r="CE231">
        <v>549060</v>
      </c>
      <c r="CF231" s="8">
        <f t="shared" si="18"/>
        <v>279.92266418970604</v>
      </c>
      <c r="CG231" s="8">
        <f t="shared" si="19"/>
        <v>743.3177339452883</v>
      </c>
      <c r="CH231">
        <v>99.591290000000001</v>
      </c>
    </row>
    <row r="232" spans="1:86" ht="15.5" x14ac:dyDescent="0.35">
      <c r="A232" t="s">
        <v>95</v>
      </c>
      <c r="B232">
        <v>2014</v>
      </c>
      <c r="C232" s="2">
        <v>58.062600000000003</v>
      </c>
      <c r="D232">
        <v>611773.9</v>
      </c>
      <c r="E232">
        <v>9.8299999999999998E-2</v>
      </c>
      <c r="F232">
        <v>4.9476000000000004</v>
      </c>
      <c r="G232">
        <v>453000</v>
      </c>
      <c r="H232">
        <v>10</v>
      </c>
      <c r="I232" s="19">
        <v>99.909000000000006</v>
      </c>
      <c r="J232" s="19">
        <v>99.92</v>
      </c>
      <c r="K232" s="19">
        <v>2.8130000000000002</v>
      </c>
      <c r="L232" s="19">
        <v>87.5</v>
      </c>
      <c r="M232" s="19">
        <v>-26144000000</v>
      </c>
      <c r="N232" s="19">
        <v>114.83969999999999</v>
      </c>
      <c r="O232">
        <v>32.027999999999999</v>
      </c>
      <c r="P232">
        <v>40.142200000000003</v>
      </c>
      <c r="Q232" s="19">
        <v>43277.417000000001</v>
      </c>
      <c r="R232" s="19">
        <v>36444.394899999999</v>
      </c>
      <c r="S232" s="19">
        <v>0.51939999999999997</v>
      </c>
      <c r="T232" s="19">
        <v>50326.567900000002</v>
      </c>
      <c r="U232" s="19">
        <v>40218.125899999999</v>
      </c>
      <c r="V232">
        <v>32.299999999999997</v>
      </c>
      <c r="W232" s="19">
        <v>88.461500000000001</v>
      </c>
      <c r="X232">
        <v>98</v>
      </c>
      <c r="Y232">
        <v>83</v>
      </c>
      <c r="Z232">
        <v>91</v>
      </c>
      <c r="AA232">
        <v>3.1</v>
      </c>
      <c r="AB232">
        <v>83.8</v>
      </c>
      <c r="AC232">
        <v>82.719499999999996</v>
      </c>
      <c r="AD232">
        <v>97.228300000000004</v>
      </c>
      <c r="AE232">
        <v>9</v>
      </c>
      <c r="AF232">
        <v>93.028599999999997</v>
      </c>
      <c r="AG232">
        <v>5.4</v>
      </c>
      <c r="AH232">
        <v>0.36</v>
      </c>
      <c r="AI232">
        <v>4.0999999999999996</v>
      </c>
      <c r="AJ232">
        <v>3.7</v>
      </c>
      <c r="AK232">
        <v>4.5</v>
      </c>
      <c r="AL232">
        <v>68.153700000000001</v>
      </c>
      <c r="AM232">
        <v>2.4</v>
      </c>
      <c r="AN232">
        <v>52342</v>
      </c>
      <c r="AO232">
        <v>0</v>
      </c>
      <c r="AP232">
        <v>100</v>
      </c>
      <c r="AQ232">
        <v>98.6524</v>
      </c>
      <c r="AR232">
        <v>98.718400000000003</v>
      </c>
      <c r="AU232">
        <v>10.6877</v>
      </c>
      <c r="AV232" s="19">
        <v>58.095199999999998</v>
      </c>
      <c r="AW232">
        <v>0</v>
      </c>
      <c r="AY232">
        <v>3</v>
      </c>
      <c r="AZ232">
        <v>5</v>
      </c>
      <c r="BA232">
        <v>89.073700000000002</v>
      </c>
      <c r="BB232">
        <v>26.169799999999999</v>
      </c>
      <c r="BC232">
        <v>8.0960999999999999</v>
      </c>
      <c r="BD232" s="19">
        <v>1.02</v>
      </c>
      <c r="BE232" s="19">
        <v>81.730800000000002</v>
      </c>
      <c r="BF232">
        <v>17.4358</v>
      </c>
      <c r="BG232">
        <v>13.2</v>
      </c>
      <c r="BH232" s="20">
        <v>2.2759</v>
      </c>
      <c r="BI232" s="20">
        <v>4210.0361000000003</v>
      </c>
      <c r="BJ232" s="19">
        <v>88.461500000000001</v>
      </c>
      <c r="BK232">
        <v>0.99519999999999997</v>
      </c>
      <c r="BL232">
        <v>1.0068999999999999</v>
      </c>
      <c r="BM232">
        <v>1.0152000000000001</v>
      </c>
      <c r="BN232">
        <v>7</v>
      </c>
      <c r="BO232">
        <v>13.5</v>
      </c>
      <c r="BP232">
        <v>15.66</v>
      </c>
      <c r="BQ232" s="19">
        <v>97.575400000000002</v>
      </c>
      <c r="BR232">
        <v>68.417100000000005</v>
      </c>
      <c r="BS232" s="20">
        <v>10.273</v>
      </c>
      <c r="BT232" s="20">
        <v>10.273</v>
      </c>
      <c r="BU232" s="20">
        <v>24.827999999999999</v>
      </c>
      <c r="BV232" s="20">
        <v>25.087</v>
      </c>
      <c r="BW232" s="19">
        <v>89.655199999999994</v>
      </c>
      <c r="BX232">
        <v>26.87</v>
      </c>
      <c r="BY232" s="5">
        <v>152958605</v>
      </c>
      <c r="BZ232" s="6">
        <v>402315167</v>
      </c>
      <c r="CA232" s="7">
        <f t="shared" si="15"/>
        <v>2.6302225167390878</v>
      </c>
      <c r="CB232">
        <v>66312067</v>
      </c>
      <c r="CC232" s="8">
        <f t="shared" si="16"/>
        <v>6.0669978361555224</v>
      </c>
      <c r="CD232" s="8">
        <f t="shared" si="17"/>
        <v>2.3066481248427984</v>
      </c>
      <c r="CE232">
        <v>549060</v>
      </c>
      <c r="CF232" s="8">
        <f t="shared" si="18"/>
        <v>278.58267766728591</v>
      </c>
      <c r="CG232" s="8">
        <f t="shared" si="19"/>
        <v>732.73443157396275</v>
      </c>
      <c r="CH232">
        <v>100.08888</v>
      </c>
    </row>
    <row r="233" spans="1:86" ht="15.5" x14ac:dyDescent="0.35">
      <c r="A233" t="s">
        <v>95</v>
      </c>
      <c r="B233">
        <v>2015</v>
      </c>
      <c r="C233" s="2">
        <v>58.9739</v>
      </c>
      <c r="D233">
        <v>624228.19999999995</v>
      </c>
      <c r="E233">
        <v>9.8699999999999996E-2</v>
      </c>
      <c r="F233">
        <v>5.0034999999999998</v>
      </c>
      <c r="G233">
        <v>457000</v>
      </c>
      <c r="H233">
        <v>10</v>
      </c>
      <c r="I233" s="19">
        <v>99.998000000000005</v>
      </c>
      <c r="J233" s="19">
        <v>100.1</v>
      </c>
      <c r="K233" s="19">
        <v>2.79</v>
      </c>
      <c r="L233" s="19">
        <v>87.619</v>
      </c>
      <c r="M233" s="19">
        <v>-7939000000</v>
      </c>
      <c r="N233" s="19">
        <v>100</v>
      </c>
      <c r="O233">
        <v>30.934000000000001</v>
      </c>
      <c r="P233">
        <v>41.387099999999997</v>
      </c>
      <c r="Q233" s="19">
        <v>36775.675999999999</v>
      </c>
      <c r="R233" s="19">
        <v>36702.432399999998</v>
      </c>
      <c r="S233" s="19">
        <v>0.70799999999999996</v>
      </c>
      <c r="T233" s="19">
        <v>50682.895400000001</v>
      </c>
      <c r="U233" s="19">
        <v>40916.1054</v>
      </c>
      <c r="V233">
        <v>32.700000000000003</v>
      </c>
      <c r="W233" s="19">
        <v>88.095200000000006</v>
      </c>
      <c r="X233">
        <v>97</v>
      </c>
      <c r="Y233">
        <v>88</v>
      </c>
      <c r="Z233">
        <v>91</v>
      </c>
      <c r="AA233">
        <v>3.2</v>
      </c>
      <c r="AB233">
        <v>78</v>
      </c>
      <c r="AC233">
        <v>82.322000000000003</v>
      </c>
      <c r="AD233">
        <v>96.091099999999997</v>
      </c>
      <c r="AE233">
        <v>9</v>
      </c>
      <c r="AF233">
        <v>93.885900000000007</v>
      </c>
      <c r="AG233">
        <v>5.5</v>
      </c>
      <c r="AH233">
        <v>0.32</v>
      </c>
      <c r="AI233">
        <v>4.2</v>
      </c>
      <c r="AJ233">
        <v>3.8</v>
      </c>
      <c r="AK233">
        <v>4.5999999999999996</v>
      </c>
      <c r="AL233">
        <v>68.105900000000005</v>
      </c>
      <c r="AM233">
        <v>2.4</v>
      </c>
      <c r="AN233">
        <v>-345</v>
      </c>
      <c r="AO233">
        <v>0</v>
      </c>
      <c r="AP233">
        <v>100</v>
      </c>
      <c r="AQ233">
        <v>98.651600000000002</v>
      </c>
      <c r="AR233">
        <v>98.848200000000006</v>
      </c>
      <c r="AU233">
        <v>11.3443</v>
      </c>
      <c r="AV233" s="19">
        <v>51.428600000000003</v>
      </c>
      <c r="AW233">
        <v>0.1</v>
      </c>
      <c r="AY233">
        <v>3</v>
      </c>
      <c r="AZ233">
        <v>5</v>
      </c>
      <c r="BA233">
        <v>89.149199999999993</v>
      </c>
      <c r="BB233">
        <v>26.169799999999999</v>
      </c>
      <c r="BC233">
        <v>8.2428000000000008</v>
      </c>
      <c r="BD233" s="19">
        <v>0.98599999999999999</v>
      </c>
      <c r="BE233" s="19">
        <v>82.857100000000003</v>
      </c>
      <c r="BF233">
        <v>16.704599999999999</v>
      </c>
      <c r="BG233">
        <v>13.3</v>
      </c>
      <c r="BH233" s="20">
        <v>2.2269999999999999</v>
      </c>
      <c r="BI233" s="20">
        <v>4310.7094999999999</v>
      </c>
      <c r="BJ233" s="19">
        <v>87.619</v>
      </c>
      <c r="BK233">
        <v>0.99380000000000002</v>
      </c>
      <c r="BL233">
        <v>1.0034000000000001</v>
      </c>
      <c r="BM233">
        <v>1.0103</v>
      </c>
      <c r="BN233">
        <v>7</v>
      </c>
      <c r="BO233">
        <v>13.967000000000001</v>
      </c>
      <c r="BP233">
        <v>15.57</v>
      </c>
      <c r="BQ233" s="19">
        <v>100</v>
      </c>
      <c r="BR233">
        <v>67.989099999999993</v>
      </c>
      <c r="BS233" s="20">
        <v>10.353999999999999</v>
      </c>
      <c r="BT233" s="20">
        <v>10.353999999999999</v>
      </c>
      <c r="BU233" s="20">
        <v>25.262</v>
      </c>
      <c r="BV233" s="20">
        <v>25.553000000000001</v>
      </c>
      <c r="BW233" s="19">
        <v>89.655199999999994</v>
      </c>
      <c r="BX233">
        <v>26.34</v>
      </c>
      <c r="BY233" s="5">
        <v>157492941</v>
      </c>
      <c r="BZ233" s="6">
        <v>410052887</v>
      </c>
      <c r="CA233" s="7">
        <f t="shared" si="15"/>
        <v>2.6036270857371315</v>
      </c>
      <c r="CB233">
        <v>66548272</v>
      </c>
      <c r="CC233" s="8">
        <f t="shared" si="16"/>
        <v>6.1617360552953198</v>
      </c>
      <c r="CD233" s="8">
        <f t="shared" si="17"/>
        <v>2.366597001947699</v>
      </c>
      <c r="CE233">
        <v>549060</v>
      </c>
      <c r="CF233" s="8">
        <f t="shared" si="18"/>
        <v>286.84103923068517</v>
      </c>
      <c r="CG233" s="8">
        <f t="shared" si="19"/>
        <v>746.82709904199908</v>
      </c>
      <c r="CH233">
        <v>100</v>
      </c>
    </row>
    <row r="234" spans="1:86" ht="15.5" x14ac:dyDescent="0.35">
      <c r="A234" t="s">
        <v>95</v>
      </c>
      <c r="B234">
        <v>2016</v>
      </c>
      <c r="C234" s="2">
        <v>59.662300000000002</v>
      </c>
      <c r="D234">
        <v>691219.9</v>
      </c>
      <c r="E234">
        <v>9.8699999999999996E-2</v>
      </c>
      <c r="F234">
        <v>5.0321999999999996</v>
      </c>
      <c r="G234">
        <v>457000</v>
      </c>
      <c r="H234">
        <v>10</v>
      </c>
      <c r="I234" s="19">
        <v>100.30500000000001</v>
      </c>
      <c r="J234" s="19">
        <v>100.767</v>
      </c>
      <c r="K234" s="19">
        <v>2.9319999999999999</v>
      </c>
      <c r="L234" s="19">
        <v>89.523799999999994</v>
      </c>
      <c r="M234" s="19">
        <v>-13040000000</v>
      </c>
      <c r="N234" s="19">
        <v>98.995500000000007</v>
      </c>
      <c r="O234">
        <v>31.073</v>
      </c>
      <c r="P234">
        <v>42.527799999999999</v>
      </c>
      <c r="Q234" s="19">
        <v>37081.495999999999</v>
      </c>
      <c r="R234" s="19">
        <v>36920.534299999999</v>
      </c>
      <c r="S234" s="19">
        <v>0.59419999999999995</v>
      </c>
      <c r="T234" s="19">
        <v>50984.075299999997</v>
      </c>
      <c r="U234" s="19">
        <v>42880.235099999998</v>
      </c>
      <c r="V234">
        <v>31.9</v>
      </c>
      <c r="W234" s="19">
        <v>89.047600000000003</v>
      </c>
      <c r="X234">
        <v>96</v>
      </c>
      <c r="Y234">
        <v>90</v>
      </c>
      <c r="Z234">
        <v>90</v>
      </c>
      <c r="AA234">
        <v>3.2</v>
      </c>
      <c r="AB234">
        <v>79.3</v>
      </c>
      <c r="AC234">
        <v>82.5732</v>
      </c>
      <c r="AD234">
        <v>98.4529</v>
      </c>
      <c r="AE234">
        <v>9</v>
      </c>
      <c r="AF234">
        <v>94.529300000000006</v>
      </c>
      <c r="AG234">
        <v>5.5</v>
      </c>
      <c r="AH234">
        <v>0.37</v>
      </c>
      <c r="AI234">
        <v>4.2</v>
      </c>
      <c r="AJ234">
        <v>3.8</v>
      </c>
      <c r="AK234">
        <v>4.5999999999999996</v>
      </c>
      <c r="AL234">
        <v>67.536500000000004</v>
      </c>
      <c r="AM234">
        <v>2.5</v>
      </c>
      <c r="AN234">
        <v>15548</v>
      </c>
      <c r="AO234">
        <v>0</v>
      </c>
      <c r="AP234">
        <v>100</v>
      </c>
      <c r="AQ234">
        <v>98.650800000000004</v>
      </c>
      <c r="AR234">
        <v>98.978800000000007</v>
      </c>
      <c r="AU234">
        <v>10.5082</v>
      </c>
      <c r="AV234" s="19">
        <v>42.857100000000003</v>
      </c>
      <c r="AW234">
        <v>0.1</v>
      </c>
      <c r="AY234">
        <v>3</v>
      </c>
      <c r="AZ234">
        <v>5</v>
      </c>
      <c r="BA234">
        <v>89.224199999999996</v>
      </c>
      <c r="BB234">
        <v>26.169799999999999</v>
      </c>
      <c r="BC234">
        <v>8.6006</v>
      </c>
      <c r="BD234" s="19">
        <v>0.72799999999999998</v>
      </c>
      <c r="BE234" s="19">
        <v>82.381</v>
      </c>
      <c r="BF234">
        <v>18.410699999999999</v>
      </c>
      <c r="BG234">
        <v>14.2</v>
      </c>
      <c r="BH234" s="20">
        <v>2.2223999999999999</v>
      </c>
      <c r="BI234" s="20">
        <v>4392.0469000000003</v>
      </c>
      <c r="BJ234" s="19">
        <v>87.619</v>
      </c>
      <c r="BK234">
        <v>0.99450000000000005</v>
      </c>
      <c r="BL234">
        <v>1.0024999999999999</v>
      </c>
      <c r="BM234">
        <v>1.0082</v>
      </c>
      <c r="BN234">
        <v>7</v>
      </c>
      <c r="BO234">
        <v>13.94</v>
      </c>
      <c r="BP234">
        <v>14.63</v>
      </c>
      <c r="BQ234" s="19">
        <v>99.539699999999996</v>
      </c>
      <c r="BR234">
        <v>68.510099999999994</v>
      </c>
      <c r="BS234" s="20">
        <v>10.057</v>
      </c>
      <c r="BT234" s="20">
        <v>10.057</v>
      </c>
      <c r="BU234" s="20">
        <v>24.937999999999999</v>
      </c>
      <c r="BV234" s="20">
        <v>25.25</v>
      </c>
      <c r="BW234" s="19">
        <v>85.221699999999998</v>
      </c>
      <c r="BX234">
        <v>25.14</v>
      </c>
      <c r="BY234" s="5">
        <v>157263479</v>
      </c>
      <c r="BZ234" s="6">
        <v>404763426</v>
      </c>
      <c r="CA234" s="7">
        <f t="shared" si="15"/>
        <v>2.5737916302869022</v>
      </c>
      <c r="CB234">
        <v>66724104</v>
      </c>
      <c r="CC234" s="8">
        <f t="shared" si="16"/>
        <v>6.066224973212079</v>
      </c>
      <c r="CD234" s="8">
        <f t="shared" si="17"/>
        <v>2.3569215556645018</v>
      </c>
      <c r="CE234">
        <v>549060</v>
      </c>
      <c r="CF234" s="8">
        <f t="shared" si="18"/>
        <v>286.42312133464469</v>
      </c>
      <c r="CG234" s="8">
        <f t="shared" si="19"/>
        <v>737.19343241175829</v>
      </c>
      <c r="CH234">
        <v>100.19532</v>
      </c>
    </row>
    <row r="235" spans="1:86" ht="15.5" x14ac:dyDescent="0.35">
      <c r="A235" t="s">
        <v>95</v>
      </c>
      <c r="B235">
        <v>2017</v>
      </c>
      <c r="C235" s="2">
        <v>60.261299999999999</v>
      </c>
      <c r="D235">
        <v>719763.9</v>
      </c>
      <c r="E235">
        <v>9.7699999999999995E-2</v>
      </c>
      <c r="F235">
        <v>5.0711000000000004</v>
      </c>
      <c r="G235">
        <v>457000</v>
      </c>
      <c r="H235">
        <v>10</v>
      </c>
      <c r="I235" s="19">
        <v>101.474</v>
      </c>
      <c r="J235" s="19">
        <v>102.00700000000001</v>
      </c>
      <c r="K235" s="19">
        <v>3.3260000000000001</v>
      </c>
      <c r="L235" s="19">
        <v>87.142899999999997</v>
      </c>
      <c r="M235" s="19">
        <v>-14151000000</v>
      </c>
      <c r="N235" s="19">
        <v>105.7349</v>
      </c>
      <c r="O235">
        <v>32.639000000000003</v>
      </c>
      <c r="P235">
        <v>43.624299999999998</v>
      </c>
      <c r="Q235" s="19">
        <v>38756.650999999998</v>
      </c>
      <c r="R235" s="19">
        <v>37580.597900000001</v>
      </c>
      <c r="S235" s="19">
        <v>1.7878000000000001</v>
      </c>
      <c r="T235" s="19">
        <v>51895.566299999999</v>
      </c>
      <c r="U235" s="19">
        <v>44469.145900000003</v>
      </c>
      <c r="V235">
        <v>31.6</v>
      </c>
      <c r="W235" s="19">
        <v>87.142899999999997</v>
      </c>
      <c r="X235">
        <v>96</v>
      </c>
      <c r="Y235">
        <v>90</v>
      </c>
      <c r="Z235">
        <v>90</v>
      </c>
      <c r="AA235">
        <v>3.3</v>
      </c>
      <c r="AB235">
        <v>80.5</v>
      </c>
      <c r="AC235">
        <v>82.575599999999994</v>
      </c>
      <c r="AD235">
        <v>99.649299999999997</v>
      </c>
      <c r="AE235">
        <v>8</v>
      </c>
      <c r="AF235">
        <v>94.5685</v>
      </c>
      <c r="AG235">
        <v>5.5</v>
      </c>
      <c r="AH235">
        <v>0.32</v>
      </c>
      <c r="AI235">
        <v>4.2</v>
      </c>
      <c r="AJ235">
        <v>3.8</v>
      </c>
      <c r="AK235">
        <v>4.5999999999999996</v>
      </c>
      <c r="AL235">
        <v>67.806200000000004</v>
      </c>
      <c r="AM235">
        <v>2.5</v>
      </c>
      <c r="AN235">
        <v>102984</v>
      </c>
      <c r="AO235">
        <v>0</v>
      </c>
      <c r="AP235">
        <v>100</v>
      </c>
      <c r="AQ235">
        <v>98.65</v>
      </c>
      <c r="AR235">
        <v>99.110200000000006</v>
      </c>
      <c r="AU235">
        <v>10.458299999999999</v>
      </c>
      <c r="AV235" s="19">
        <v>56.1905</v>
      </c>
      <c r="AW235">
        <v>0</v>
      </c>
      <c r="AY235">
        <v>3</v>
      </c>
      <c r="AZ235">
        <v>5</v>
      </c>
      <c r="BA235">
        <v>89.2988</v>
      </c>
      <c r="BB235">
        <v>38.994799999999998</v>
      </c>
      <c r="BC235">
        <v>8.5954999999999995</v>
      </c>
      <c r="BD235" s="19">
        <v>2.286</v>
      </c>
      <c r="BE235" s="19">
        <v>83.333299999999994</v>
      </c>
      <c r="BF235">
        <v>17.398099999999999</v>
      </c>
      <c r="BG235">
        <v>14.1</v>
      </c>
      <c r="BH235" s="20">
        <v>2.1989000000000001</v>
      </c>
      <c r="BI235" s="20">
        <v>4546.7622000000001</v>
      </c>
      <c r="BJ235" s="19">
        <v>88.571399999999997</v>
      </c>
      <c r="BK235">
        <v>0.99409999999999998</v>
      </c>
      <c r="BL235">
        <v>1.0019</v>
      </c>
      <c r="BM235">
        <v>1.0076000000000001</v>
      </c>
      <c r="BN235">
        <v>7</v>
      </c>
      <c r="BO235">
        <v>13.425000000000001</v>
      </c>
      <c r="BP235">
        <v>14.78</v>
      </c>
      <c r="BQ235" s="19">
        <v>97.711699999999993</v>
      </c>
      <c r="BR235">
        <v>71.125699999999995</v>
      </c>
      <c r="BS235" s="20">
        <v>9.4090000000000007</v>
      </c>
      <c r="BT235" s="20">
        <v>9.41</v>
      </c>
      <c r="BU235" s="20">
        <v>22.571999999999999</v>
      </c>
      <c r="BV235" s="20">
        <v>22.834</v>
      </c>
      <c r="BW235" s="19">
        <v>85.714299999999994</v>
      </c>
      <c r="BX235">
        <v>25.11</v>
      </c>
      <c r="BY235" s="5">
        <v>166830634</v>
      </c>
      <c r="BZ235" s="6">
        <v>433058728</v>
      </c>
      <c r="CA235" s="7">
        <f t="shared" si="15"/>
        <v>2.5957986109433593</v>
      </c>
      <c r="CB235">
        <v>66918020</v>
      </c>
      <c r="CC235" s="8">
        <f t="shared" si="16"/>
        <v>6.4714814933257143</v>
      </c>
      <c r="CD235" s="8">
        <f t="shared" si="17"/>
        <v>2.4930599261603974</v>
      </c>
      <c r="CE235">
        <v>549060</v>
      </c>
      <c r="CF235" s="8">
        <f t="shared" si="18"/>
        <v>303.84772884566348</v>
      </c>
      <c r="CG235" s="8">
        <f t="shared" si="19"/>
        <v>788.7275124758678</v>
      </c>
      <c r="CH235">
        <v>99.646810000000002</v>
      </c>
    </row>
    <row r="236" spans="1:86" ht="15.5" x14ac:dyDescent="0.35">
      <c r="A236" t="s">
        <v>95</v>
      </c>
      <c r="B236">
        <v>2018</v>
      </c>
      <c r="C236" s="2">
        <v>60.825000000000003</v>
      </c>
      <c r="D236">
        <v>645519.9</v>
      </c>
      <c r="E236">
        <v>9.3100000000000002E-2</v>
      </c>
      <c r="F236">
        <v>4.8933999999999997</v>
      </c>
      <c r="G236">
        <v>457000</v>
      </c>
      <c r="H236">
        <v>10</v>
      </c>
      <c r="I236" s="19">
        <v>103.604</v>
      </c>
      <c r="J236" s="19">
        <v>104.25700000000001</v>
      </c>
      <c r="K236" s="19">
        <v>3.5790000000000002</v>
      </c>
      <c r="L236" s="19">
        <v>87.619</v>
      </c>
      <c r="M236" s="19">
        <v>-19423000000</v>
      </c>
      <c r="N236" s="19">
        <v>115.0035</v>
      </c>
      <c r="O236">
        <v>34.381</v>
      </c>
      <c r="P236">
        <v>44.414200000000001</v>
      </c>
      <c r="Q236" s="19">
        <v>41539.756000000001</v>
      </c>
      <c r="R236" s="19">
        <v>38062.443599999999</v>
      </c>
      <c r="S236" s="19">
        <v>1.2822</v>
      </c>
      <c r="T236" s="19">
        <v>52560.953600000001</v>
      </c>
      <c r="U236" s="19">
        <v>46381.059099999999</v>
      </c>
      <c r="V236">
        <v>32.4</v>
      </c>
      <c r="W236" s="19">
        <v>89.523799999999994</v>
      </c>
      <c r="X236">
        <v>96</v>
      </c>
      <c r="Y236">
        <v>91</v>
      </c>
      <c r="Z236">
        <v>90</v>
      </c>
      <c r="AA236">
        <v>3.3</v>
      </c>
      <c r="AB236">
        <v>82</v>
      </c>
      <c r="AC236">
        <v>82.675600000000003</v>
      </c>
      <c r="AD236">
        <v>99.343999999999994</v>
      </c>
      <c r="AE236">
        <v>9</v>
      </c>
      <c r="AF236">
        <v>94.605400000000003</v>
      </c>
      <c r="AG236">
        <v>5.2</v>
      </c>
      <c r="AH236">
        <v>0.27</v>
      </c>
      <c r="AI236">
        <v>4.2</v>
      </c>
      <c r="AJ236">
        <v>3.8</v>
      </c>
      <c r="AK236">
        <v>4.5999999999999996</v>
      </c>
      <c r="AL236">
        <v>67.725899999999996</v>
      </c>
      <c r="AM236">
        <v>2.6</v>
      </c>
      <c r="AN236">
        <v>132925</v>
      </c>
      <c r="AO236">
        <v>0</v>
      </c>
      <c r="AP236">
        <v>100</v>
      </c>
      <c r="AQ236">
        <v>98.649199999999993</v>
      </c>
      <c r="AR236">
        <v>99.242599999999996</v>
      </c>
      <c r="AU236">
        <v>10.459899999999999</v>
      </c>
      <c r="AV236" s="19">
        <v>48.113199999999999</v>
      </c>
      <c r="AW236">
        <v>0</v>
      </c>
      <c r="AY236">
        <v>3</v>
      </c>
      <c r="AZ236">
        <v>5</v>
      </c>
      <c r="BA236">
        <v>89.373000000000005</v>
      </c>
      <c r="BB236">
        <v>39.583300000000001</v>
      </c>
      <c r="BC236">
        <v>8.4677000000000007</v>
      </c>
      <c r="BD236" s="19">
        <v>1.587</v>
      </c>
      <c r="BE236" s="19">
        <v>83.8095</v>
      </c>
      <c r="BF236">
        <v>20.454499999999999</v>
      </c>
      <c r="BG236">
        <v>15.2</v>
      </c>
      <c r="BH236" s="20">
        <v>2.1966999999999999</v>
      </c>
      <c r="BI236" s="20">
        <v>4670.5321999999996</v>
      </c>
      <c r="BJ236" s="19">
        <v>88.095200000000006</v>
      </c>
      <c r="BK236">
        <v>0.99409999999999998</v>
      </c>
      <c r="BL236">
        <v>1.0007999999999999</v>
      </c>
      <c r="BM236">
        <v>1.0056</v>
      </c>
      <c r="BN236">
        <v>7</v>
      </c>
      <c r="BO236">
        <v>13.082000000000001</v>
      </c>
      <c r="BP236">
        <v>15.17</v>
      </c>
      <c r="BQ236" s="19">
        <v>96.717299999999994</v>
      </c>
      <c r="BR236">
        <v>72.691999999999993</v>
      </c>
      <c r="BS236" s="20">
        <v>9.0180000000000007</v>
      </c>
      <c r="BT236" s="20">
        <v>9.0180000000000007</v>
      </c>
      <c r="BU236" s="20">
        <v>20.952999999999999</v>
      </c>
      <c r="BV236" s="20">
        <v>21.167000000000002</v>
      </c>
      <c r="BW236" s="19">
        <v>86.893199999999993</v>
      </c>
      <c r="BX236">
        <v>25.5</v>
      </c>
      <c r="BY236" s="5">
        <v>171475894</v>
      </c>
      <c r="BZ236" s="6">
        <v>442760050</v>
      </c>
      <c r="CA236" s="7">
        <f t="shared" si="15"/>
        <v>2.582054186578552</v>
      </c>
      <c r="CB236">
        <v>67158348</v>
      </c>
      <c r="CC236" s="8">
        <f t="shared" si="16"/>
        <v>6.592777565046716</v>
      </c>
      <c r="CD236" s="8">
        <f t="shared" si="17"/>
        <v>2.5533072076162444</v>
      </c>
      <c r="CE236">
        <v>549060</v>
      </c>
      <c r="CF236" s="8">
        <f t="shared" si="18"/>
        <v>312.30811568863146</v>
      </c>
      <c r="CG236" s="8">
        <f t="shared" si="19"/>
        <v>806.39647761628964</v>
      </c>
      <c r="CH236">
        <v>100.18912</v>
      </c>
    </row>
    <row r="237" spans="1:86" ht="15.5" x14ac:dyDescent="0.35">
      <c r="A237" t="s">
        <v>95</v>
      </c>
      <c r="B237">
        <v>2019</v>
      </c>
      <c r="C237" s="2">
        <v>61.339300000000001</v>
      </c>
      <c r="D237">
        <v>637731.4</v>
      </c>
      <c r="E237">
        <v>8.9599999999999999E-2</v>
      </c>
      <c r="F237">
        <v>4.7899000000000003</v>
      </c>
      <c r="G237">
        <v>457000</v>
      </c>
      <c r="H237">
        <v>10</v>
      </c>
      <c r="I237" s="19">
        <v>104.949</v>
      </c>
      <c r="J237" s="19">
        <v>105.59</v>
      </c>
      <c r="K237" s="19">
        <v>3.831</v>
      </c>
      <c r="L237" s="19">
        <v>88.571399999999997</v>
      </c>
      <c r="M237" s="19">
        <v>16270000000</v>
      </c>
      <c r="N237" s="19">
        <v>112.77719999999999</v>
      </c>
      <c r="O237">
        <v>34.295999999999999</v>
      </c>
      <c r="P237">
        <v>45.276499999999999</v>
      </c>
      <c r="Q237" s="19">
        <v>40487.302000000003</v>
      </c>
      <c r="R237" s="19">
        <v>38705.207300000002</v>
      </c>
      <c r="S237" s="19">
        <v>1.6887000000000001</v>
      </c>
      <c r="T237" s="19">
        <v>53448.554900000003</v>
      </c>
      <c r="U237" s="19">
        <v>51130.472300000001</v>
      </c>
      <c r="V237">
        <v>31.2</v>
      </c>
      <c r="W237" s="19">
        <v>88.095200000000006</v>
      </c>
      <c r="X237">
        <v>96</v>
      </c>
      <c r="Y237">
        <v>93</v>
      </c>
      <c r="Z237">
        <v>92</v>
      </c>
      <c r="AA237">
        <v>3.3</v>
      </c>
      <c r="AB237">
        <v>83.3</v>
      </c>
      <c r="AC237">
        <v>82.826800000000006</v>
      </c>
      <c r="AD237">
        <v>99.479699999999994</v>
      </c>
      <c r="AE237">
        <v>8</v>
      </c>
      <c r="AF237">
        <v>94.632599999999996</v>
      </c>
      <c r="AG237">
        <v>5.0999999999999996</v>
      </c>
      <c r="AH237">
        <v>0.21</v>
      </c>
      <c r="AI237">
        <v>4.2</v>
      </c>
      <c r="AJ237">
        <v>3.8</v>
      </c>
      <c r="AK237">
        <v>4.5999999999999996</v>
      </c>
      <c r="AL237">
        <v>68.344099999999997</v>
      </c>
      <c r="AM237">
        <v>2.6</v>
      </c>
      <c r="AN237">
        <v>71972</v>
      </c>
      <c r="AO237">
        <v>0</v>
      </c>
      <c r="AP237">
        <v>100</v>
      </c>
      <c r="AQ237">
        <v>98.648399999999995</v>
      </c>
      <c r="AR237">
        <v>99.375699999999995</v>
      </c>
      <c r="AU237">
        <v>9.8252000000000006</v>
      </c>
      <c r="AV237" s="19">
        <v>57.075499999999998</v>
      </c>
      <c r="AW237">
        <v>0.1</v>
      </c>
      <c r="AY237">
        <v>3</v>
      </c>
      <c r="AZ237">
        <v>5</v>
      </c>
      <c r="BA237">
        <v>89.446799999999996</v>
      </c>
      <c r="BB237">
        <v>39.688000000000002</v>
      </c>
      <c r="BC237">
        <v>8.3148</v>
      </c>
      <c r="BD237" s="19">
        <v>2.0760000000000001</v>
      </c>
      <c r="BE237" s="19">
        <v>90.952399999999997</v>
      </c>
      <c r="BF237">
        <v>20.651800000000001</v>
      </c>
      <c r="BG237">
        <v>15.5</v>
      </c>
      <c r="BH237" s="20">
        <v>2.1918000000000002</v>
      </c>
      <c r="BI237" s="20">
        <v>4773.9727000000003</v>
      </c>
      <c r="BJ237" s="19">
        <v>88.571399999999997</v>
      </c>
      <c r="BK237">
        <v>0.99490000000000001</v>
      </c>
      <c r="BL237">
        <v>0.99870000000000003</v>
      </c>
      <c r="BM237">
        <v>1.0015000000000001</v>
      </c>
      <c r="BN237">
        <v>7</v>
      </c>
      <c r="BO237">
        <v>12.618</v>
      </c>
      <c r="BP237">
        <v>15.05</v>
      </c>
      <c r="BQ237" s="19">
        <v>96.905600000000007</v>
      </c>
      <c r="BR237">
        <v>74.5184</v>
      </c>
      <c r="BS237" s="20">
        <v>8.4149999999999991</v>
      </c>
      <c r="BT237" s="20">
        <v>8.4149999999999991</v>
      </c>
      <c r="BU237" s="20">
        <v>19.928999999999998</v>
      </c>
      <c r="BV237" s="20">
        <v>20.131</v>
      </c>
      <c r="BW237" s="19">
        <v>85.507199999999997</v>
      </c>
      <c r="BX237">
        <v>24.89</v>
      </c>
      <c r="BY237" s="5">
        <v>174628055</v>
      </c>
      <c r="BZ237" s="6">
        <v>446553868</v>
      </c>
      <c r="CA237" s="7">
        <f t="shared" si="15"/>
        <v>2.5571714006664048</v>
      </c>
      <c r="CB237">
        <v>67382061</v>
      </c>
      <c r="CC237" s="8">
        <f t="shared" si="16"/>
        <v>6.6271921839849925</v>
      </c>
      <c r="CD237" s="8">
        <f t="shared" si="17"/>
        <v>2.5916104732979299</v>
      </c>
      <c r="CE237">
        <v>549060</v>
      </c>
      <c r="CF237" s="8">
        <f t="shared" si="18"/>
        <v>318.04912942119256</v>
      </c>
      <c r="CG237" s="8">
        <f t="shared" si="19"/>
        <v>813.30613776272173</v>
      </c>
      <c r="CH237">
        <v>100.24881000000001</v>
      </c>
    </row>
    <row r="238" spans="1:86" ht="15.5" x14ac:dyDescent="0.35">
      <c r="A238" t="s">
        <v>95</v>
      </c>
      <c r="B238">
        <v>2020</v>
      </c>
      <c r="C238" s="2">
        <v>61.777200000000001</v>
      </c>
      <c r="D238">
        <v>637166.1</v>
      </c>
      <c r="E238">
        <v>8.6199999999999999E-2</v>
      </c>
      <c r="F238">
        <v>4.2503000000000002</v>
      </c>
      <c r="G238">
        <v>457000</v>
      </c>
      <c r="H238">
        <v>13</v>
      </c>
      <c r="I238" s="19">
        <v>105.503</v>
      </c>
      <c r="J238" s="19">
        <v>105.717</v>
      </c>
      <c r="K238" s="19">
        <v>2.9140000000000001</v>
      </c>
      <c r="L238" s="19">
        <v>83.8095</v>
      </c>
      <c r="M238" s="19">
        <v>-54317000000</v>
      </c>
      <c r="N238" s="19">
        <v>96.518100000000004</v>
      </c>
      <c r="O238">
        <v>34.945999999999998</v>
      </c>
      <c r="P238">
        <v>46.471200000000003</v>
      </c>
      <c r="Q238" s="19">
        <v>39230.928</v>
      </c>
      <c r="R238" s="19">
        <v>35709.204599999997</v>
      </c>
      <c r="S238" s="19">
        <v>-7.7405999999999997</v>
      </c>
      <c r="T238" s="19">
        <v>49311.333400000003</v>
      </c>
      <c r="U238" s="19">
        <v>49481.804400000001</v>
      </c>
      <c r="V238">
        <v>30.7</v>
      </c>
      <c r="W238" s="19">
        <v>85.714299999999994</v>
      </c>
      <c r="X238">
        <v>96</v>
      </c>
      <c r="Y238">
        <v>95</v>
      </c>
      <c r="Z238">
        <v>94</v>
      </c>
      <c r="AA238">
        <v>3.3</v>
      </c>
      <c r="AB238">
        <v>84.7</v>
      </c>
      <c r="AC238">
        <v>82.175600000000003</v>
      </c>
      <c r="AD238">
        <v>100.11579999999999</v>
      </c>
      <c r="AE238">
        <v>9</v>
      </c>
      <c r="AF238">
        <v>94.643100000000004</v>
      </c>
      <c r="AH238">
        <v>0.28999999999999998</v>
      </c>
      <c r="AI238">
        <v>4.2</v>
      </c>
      <c r="AJ238">
        <v>3.9</v>
      </c>
      <c r="AK238">
        <v>4.5999999999999996</v>
      </c>
      <c r="AL238">
        <v>67.494900000000001</v>
      </c>
      <c r="AM238">
        <v>2.6</v>
      </c>
      <c r="AN238">
        <v>145593</v>
      </c>
      <c r="AO238">
        <v>0</v>
      </c>
      <c r="AP238">
        <v>100</v>
      </c>
      <c r="AQ238">
        <v>98.647599999999997</v>
      </c>
      <c r="AR238">
        <v>99.509799999999998</v>
      </c>
      <c r="AU238">
        <v>9.6004000000000005</v>
      </c>
      <c r="AV238" s="19">
        <v>56.132100000000001</v>
      </c>
      <c r="AW238">
        <v>0.1</v>
      </c>
      <c r="AY238">
        <v>3</v>
      </c>
      <c r="AZ238">
        <v>5</v>
      </c>
      <c r="BA238">
        <v>89.520099999999999</v>
      </c>
      <c r="BB238">
        <v>39.514699999999998</v>
      </c>
      <c r="BC238">
        <v>9.2467000000000006</v>
      </c>
      <c r="BD238" s="19">
        <v>-7.593</v>
      </c>
      <c r="BE238" s="19">
        <v>85.238100000000003</v>
      </c>
      <c r="BF238">
        <v>24.3856</v>
      </c>
      <c r="BG238">
        <v>16.8</v>
      </c>
      <c r="BH238" s="20">
        <v>2.2746</v>
      </c>
      <c r="BI238" s="20">
        <v>4883.2217000000001</v>
      </c>
      <c r="BJ238" s="19">
        <v>87.142899999999997</v>
      </c>
      <c r="BK238">
        <v>0.99250000000000005</v>
      </c>
      <c r="BL238">
        <v>0.997</v>
      </c>
      <c r="BM238">
        <v>1.0002</v>
      </c>
      <c r="BN238">
        <v>7</v>
      </c>
      <c r="BO238">
        <v>12.701000000000001</v>
      </c>
      <c r="BP238">
        <v>16.25</v>
      </c>
      <c r="BQ238" s="19">
        <v>97.988500000000002</v>
      </c>
      <c r="BR238">
        <v>74.5184</v>
      </c>
      <c r="BS238" s="20">
        <v>8.0090000000000003</v>
      </c>
      <c r="BT238" s="20">
        <v>8.01</v>
      </c>
      <c r="BU238" s="20">
        <v>20.398</v>
      </c>
      <c r="BV238" s="20">
        <v>20.606000000000002</v>
      </c>
      <c r="BW238" s="19">
        <v>82.125600000000006</v>
      </c>
      <c r="BX238">
        <v>30.15</v>
      </c>
      <c r="BY238" s="5">
        <v>91889767</v>
      </c>
      <c r="BZ238" s="6">
        <v>257875315</v>
      </c>
      <c r="CA238" s="7">
        <f t="shared" si="15"/>
        <v>2.8063550863068354</v>
      </c>
      <c r="CB238">
        <v>67601110</v>
      </c>
      <c r="CC238" s="8">
        <f t="shared" si="16"/>
        <v>3.8146609574901951</v>
      </c>
      <c r="CD238" s="8">
        <f t="shared" si="17"/>
        <v>1.3592937601172526</v>
      </c>
      <c r="CE238">
        <v>549060</v>
      </c>
      <c r="CF238" s="8">
        <f t="shared" si="18"/>
        <v>167.35833424398061</v>
      </c>
      <c r="CG238" s="8">
        <f t="shared" si="19"/>
        <v>469.66691254143444</v>
      </c>
      <c r="CH238">
        <v>100.51473</v>
      </c>
    </row>
    <row r="239" spans="1:86" ht="15.5" x14ac:dyDescent="0.35">
      <c r="A239" t="s">
        <v>95</v>
      </c>
      <c r="B239">
        <v>2021</v>
      </c>
      <c r="C239" s="2">
        <v>62.063899999999997</v>
      </c>
      <c r="D239">
        <v>637117.69999999995</v>
      </c>
      <c r="E239">
        <v>8.9700000000000002E-2</v>
      </c>
      <c r="F239">
        <v>4.7083000000000004</v>
      </c>
      <c r="G239">
        <v>457000</v>
      </c>
      <c r="H239">
        <v>13</v>
      </c>
      <c r="I239" s="19">
        <v>107.68300000000001</v>
      </c>
      <c r="J239" s="19">
        <v>109.29</v>
      </c>
      <c r="K239" s="19">
        <v>6.2510000000000003</v>
      </c>
      <c r="L239" s="19">
        <v>89.047600000000003</v>
      </c>
      <c r="M239" s="19">
        <v>8215999999.999999</v>
      </c>
      <c r="N239" s="19">
        <v>115.5063</v>
      </c>
      <c r="O239">
        <v>36.783000000000001</v>
      </c>
      <c r="P239">
        <v>47.644199999999998</v>
      </c>
      <c r="Q239" s="19">
        <v>43848.345000000001</v>
      </c>
      <c r="R239" s="19">
        <v>38030.857199999999</v>
      </c>
      <c r="S239" s="19">
        <v>6.5015999999999998</v>
      </c>
      <c r="T239" s="19">
        <v>52517.335500000001</v>
      </c>
      <c r="U239" s="19">
        <v>52517.335500000001</v>
      </c>
      <c r="V239">
        <v>31.5</v>
      </c>
      <c r="W239" s="19">
        <v>85.238100000000003</v>
      </c>
      <c r="X239">
        <v>96</v>
      </c>
      <c r="Y239">
        <v>95</v>
      </c>
      <c r="Z239">
        <v>94</v>
      </c>
      <c r="AA239">
        <v>3.4</v>
      </c>
      <c r="AB239">
        <v>86.1</v>
      </c>
      <c r="AC239">
        <v>82.324399999999997</v>
      </c>
      <c r="AD239">
        <v>99.773300000000006</v>
      </c>
      <c r="AE239">
        <v>9</v>
      </c>
      <c r="AH239">
        <v>0.34</v>
      </c>
      <c r="AI239">
        <v>4.3</v>
      </c>
      <c r="AJ239">
        <v>3.9</v>
      </c>
      <c r="AK239">
        <v>4.5999999999999996</v>
      </c>
      <c r="AL239">
        <v>67.925299999999993</v>
      </c>
      <c r="AM239">
        <v>2.6</v>
      </c>
      <c r="AN239">
        <v>131465</v>
      </c>
      <c r="AO239">
        <v>0</v>
      </c>
      <c r="AP239">
        <v>100</v>
      </c>
      <c r="AQ239">
        <v>98.646799999999999</v>
      </c>
      <c r="AR239">
        <v>99.6447</v>
      </c>
      <c r="AV239" s="19">
        <v>56.6038</v>
      </c>
      <c r="AW239">
        <v>0.1</v>
      </c>
      <c r="AX239">
        <v>15.6</v>
      </c>
      <c r="AY239">
        <v>3</v>
      </c>
      <c r="AZ239">
        <v>5</v>
      </c>
      <c r="BA239">
        <v>89.5929</v>
      </c>
      <c r="BB239">
        <v>39.514699999999998</v>
      </c>
      <c r="BC239">
        <v>9.3191000000000006</v>
      </c>
      <c r="BD239" s="19">
        <v>6.827</v>
      </c>
      <c r="BE239" s="19">
        <v>85.714299999999994</v>
      </c>
      <c r="BF239">
        <v>22.826799999999999</v>
      </c>
      <c r="BG239">
        <v>16.2</v>
      </c>
      <c r="BH239" s="20">
        <v>2.2181000000000002</v>
      </c>
      <c r="BI239" s="20">
        <v>5058.0537000000004</v>
      </c>
      <c r="BJ239" s="19">
        <v>87.142899999999997</v>
      </c>
      <c r="BN239">
        <v>7</v>
      </c>
      <c r="BO239">
        <v>11.483000000000001</v>
      </c>
      <c r="BP239">
        <v>16.579999999999998</v>
      </c>
      <c r="BQ239" s="19">
        <v>96.395600000000002</v>
      </c>
      <c r="BS239" s="20">
        <v>7.8739999999999997</v>
      </c>
      <c r="BT239" s="20">
        <v>7.8710000000000004</v>
      </c>
      <c r="BU239" s="20">
        <v>19.283000000000001</v>
      </c>
      <c r="BV239" s="20">
        <v>19.5</v>
      </c>
      <c r="BW239" s="19">
        <v>85.507199999999997</v>
      </c>
      <c r="BX239">
        <v>26.76</v>
      </c>
      <c r="BY239" s="5">
        <v>117442342</v>
      </c>
      <c r="BZ239" s="6">
        <v>324389046</v>
      </c>
      <c r="CA239" s="7">
        <f t="shared" si="15"/>
        <v>2.7621132248878348</v>
      </c>
      <c r="CB239">
        <v>67842811</v>
      </c>
      <c r="CC239" s="8">
        <f t="shared" si="16"/>
        <v>4.7814800303601803</v>
      </c>
      <c r="CD239" s="8">
        <f t="shared" si="17"/>
        <v>1.7310948686958152</v>
      </c>
      <c r="CE239">
        <v>549060</v>
      </c>
      <c r="CF239" s="8">
        <f t="shared" si="18"/>
        <v>213.89710049903471</v>
      </c>
      <c r="CG239" s="8">
        <f t="shared" si="19"/>
        <v>590.80801005354601</v>
      </c>
      <c r="CH239">
        <v>99.655670000000001</v>
      </c>
    </row>
    <row r="240" spans="1:86" ht="15.5" x14ac:dyDescent="0.35">
      <c r="A240" t="s">
        <v>95</v>
      </c>
      <c r="B240">
        <v>2022</v>
      </c>
      <c r="C240" s="2">
        <v>62.360799999999998</v>
      </c>
      <c r="E240">
        <v>8.5000000000000006E-2</v>
      </c>
      <c r="F240">
        <v>4.5612000000000004</v>
      </c>
      <c r="H240">
        <v>13</v>
      </c>
      <c r="I240" s="19">
        <v>114.04</v>
      </c>
      <c r="J240" s="19">
        <v>116.95</v>
      </c>
      <c r="K240" s="19">
        <v>8.7970000000000006</v>
      </c>
      <c r="L240" s="19">
        <v>85.377399999999994</v>
      </c>
      <c r="M240" s="19">
        <v>-32780000000</v>
      </c>
      <c r="N240" s="19"/>
      <c r="O240">
        <v>39.345999999999997</v>
      </c>
      <c r="P240">
        <v>48.212499999999999</v>
      </c>
      <c r="Q240" s="19">
        <v>41096.682999999997</v>
      </c>
      <c r="R240" s="19">
        <v>38881.223100000003</v>
      </c>
      <c r="S240" s="19">
        <v>2.2360000000000002</v>
      </c>
      <c r="T240" s="19">
        <v>53691.6175</v>
      </c>
      <c r="U240" s="19">
        <v>56181.005799999999</v>
      </c>
      <c r="W240" s="19">
        <v>83.018900000000002</v>
      </c>
      <c r="X240">
        <v>96</v>
      </c>
      <c r="Y240">
        <v>96</v>
      </c>
      <c r="Z240">
        <v>95</v>
      </c>
      <c r="AA240">
        <v>3.4</v>
      </c>
      <c r="AB240">
        <v>85.3</v>
      </c>
      <c r="AC240">
        <v>82.129300000000001</v>
      </c>
      <c r="AD240">
        <v>100.12569999999999</v>
      </c>
      <c r="AE240">
        <v>9</v>
      </c>
      <c r="AI240">
        <v>4.3</v>
      </c>
      <c r="AJ240">
        <v>3.9</v>
      </c>
      <c r="AK240">
        <v>4.5999999999999996</v>
      </c>
      <c r="AL240">
        <v>67.725999999999999</v>
      </c>
      <c r="AM240">
        <v>2.7</v>
      </c>
      <c r="AN240">
        <v>179377</v>
      </c>
      <c r="AO240">
        <v>0</v>
      </c>
      <c r="AP240">
        <v>100</v>
      </c>
      <c r="AQ240">
        <v>98.646000000000001</v>
      </c>
      <c r="AR240">
        <v>99.704099999999997</v>
      </c>
      <c r="AV240" s="19">
        <v>57.075499999999998</v>
      </c>
      <c r="AY240">
        <v>3</v>
      </c>
      <c r="AZ240">
        <v>5</v>
      </c>
      <c r="BA240">
        <v>89.665400000000005</v>
      </c>
      <c r="BB240">
        <v>37.261699999999998</v>
      </c>
      <c r="BC240">
        <v>8.9621999999999993</v>
      </c>
      <c r="BD240" s="19">
        <v>2.6240000000000001</v>
      </c>
      <c r="BE240" s="19">
        <v>85.377399999999994</v>
      </c>
      <c r="BG240" s="23">
        <v>20.445</v>
      </c>
      <c r="BH240" s="20">
        <v>2.2330999999999999</v>
      </c>
      <c r="BI240" s="20">
        <v>5181.8456999999999</v>
      </c>
      <c r="BJ240" s="19">
        <v>85.377399999999994</v>
      </c>
      <c r="BN240">
        <v>7</v>
      </c>
      <c r="BO240">
        <v>11.557</v>
      </c>
      <c r="BQ240" s="19"/>
      <c r="BS240" s="20">
        <v>7.3079999999999998</v>
      </c>
      <c r="BT240" s="20">
        <v>7.3029999999999999</v>
      </c>
      <c r="BU240" s="20">
        <v>17.850999999999999</v>
      </c>
      <c r="BV240" s="20">
        <v>18.103999999999999</v>
      </c>
      <c r="BW240" s="19">
        <v>86.473399999999998</v>
      </c>
      <c r="BX240">
        <v>29.37</v>
      </c>
      <c r="BY240" s="5">
        <v>168935376</v>
      </c>
      <c r="BZ240" s="6">
        <v>449792261</v>
      </c>
      <c r="CA240" s="7">
        <f t="shared" si="15"/>
        <v>2.6625107875570122</v>
      </c>
      <c r="CB240">
        <v>68065015</v>
      </c>
      <c r="CC240" s="8">
        <f t="shared" si="16"/>
        <v>6.6082738834333616</v>
      </c>
      <c r="CD240" s="8">
        <f t="shared" si="17"/>
        <v>2.481970745176505</v>
      </c>
      <c r="CE240">
        <v>549060</v>
      </c>
      <c r="CF240" s="8">
        <f t="shared" si="18"/>
        <v>307.68108403453175</v>
      </c>
      <c r="CG240" s="8">
        <f t="shared" si="19"/>
        <v>819.20420536917641</v>
      </c>
      <c r="CH240">
        <v>96.560429999999997</v>
      </c>
    </row>
    <row r="241" spans="1:86" ht="15.5" x14ac:dyDescent="0.35">
      <c r="A241" t="s">
        <v>95</v>
      </c>
      <c r="B241">
        <v>2023</v>
      </c>
      <c r="C241" s="26">
        <v>62.691400000000002</v>
      </c>
      <c r="E241">
        <v>7.6600000000000001E-2</v>
      </c>
      <c r="F241">
        <v>4.1359000000000004</v>
      </c>
      <c r="H241">
        <v>13</v>
      </c>
      <c r="I241" s="19">
        <v>120.498</v>
      </c>
      <c r="J241" s="19">
        <v>121.873</v>
      </c>
      <c r="K241" s="19">
        <v>6.0270000000000001</v>
      </c>
      <c r="L241" s="19">
        <v>83.962299999999999</v>
      </c>
      <c r="M241" s="19">
        <v>-30404000000</v>
      </c>
      <c r="N241" s="19"/>
      <c r="O241">
        <v>38.716000000000001</v>
      </c>
      <c r="P241">
        <v>48.619199999999999</v>
      </c>
      <c r="Q241" s="19">
        <v>44792.016000000003</v>
      </c>
      <c r="R241" s="19">
        <v>39117.484499999999</v>
      </c>
      <c r="S241" s="19">
        <v>0.60760000000000003</v>
      </c>
      <c r="T241" s="19">
        <v>54017.874199999998</v>
      </c>
      <c r="U241" s="19">
        <v>58317.828000000001</v>
      </c>
      <c r="W241" s="19">
        <v>83.018900000000002</v>
      </c>
      <c r="X241">
        <v>96</v>
      </c>
      <c r="Y241">
        <v>96</v>
      </c>
      <c r="Z241">
        <v>95</v>
      </c>
      <c r="AA241">
        <v>3.4</v>
      </c>
      <c r="AB241">
        <v>86.8</v>
      </c>
      <c r="AC241">
        <v>82.929299999999998</v>
      </c>
      <c r="AE241">
        <v>7</v>
      </c>
      <c r="AI241">
        <v>4.3</v>
      </c>
      <c r="AJ241">
        <v>4</v>
      </c>
      <c r="AK241">
        <v>4.7</v>
      </c>
      <c r="AL241" s="24">
        <v>67.725999999999999</v>
      </c>
      <c r="AM241">
        <v>2.7</v>
      </c>
      <c r="AN241">
        <v>91862</v>
      </c>
      <c r="AV241" s="19">
        <v>55.924199999999999</v>
      </c>
      <c r="AY241" s="25">
        <v>3</v>
      </c>
      <c r="AZ241">
        <v>5</v>
      </c>
      <c r="BB241">
        <v>37.781599999999997</v>
      </c>
      <c r="BD241" s="19">
        <v>1.1160000000000001</v>
      </c>
      <c r="BE241" s="19">
        <v>85.377399999999994</v>
      </c>
      <c r="BG241" s="23">
        <v>22.283000000000001</v>
      </c>
      <c r="BH241" s="20"/>
      <c r="BI241" s="20"/>
      <c r="BJ241" s="19">
        <v>84.905699999999996</v>
      </c>
      <c r="BN241">
        <v>7</v>
      </c>
      <c r="BO241">
        <v>11.804</v>
      </c>
      <c r="BQ241" s="19"/>
      <c r="BS241" s="20">
        <v>7.335</v>
      </c>
      <c r="BT241" s="20">
        <v>7.335</v>
      </c>
      <c r="BU241" s="20">
        <v>17.274000000000001</v>
      </c>
      <c r="BV241" s="20">
        <v>17.634</v>
      </c>
      <c r="BW241" s="19">
        <v>86.764700000000005</v>
      </c>
      <c r="BX241">
        <v>29.97</v>
      </c>
      <c r="BY241" s="5">
        <v>180730009</v>
      </c>
      <c r="BZ241" s="6">
        <v>460271796</v>
      </c>
      <c r="CA241" s="7">
        <f t="shared" si="15"/>
        <v>2.5467369727182385</v>
      </c>
      <c r="CB241">
        <v>68287487</v>
      </c>
      <c r="CC241" s="8">
        <f t="shared" si="16"/>
        <v>6.7402069723256917</v>
      </c>
      <c r="CD241" s="8">
        <f t="shared" si="17"/>
        <v>2.6466050654346089</v>
      </c>
      <c r="CE241">
        <v>549060</v>
      </c>
      <c r="CF241" s="8">
        <f t="shared" si="18"/>
        <v>329.16258514552146</v>
      </c>
      <c r="CG241" s="8">
        <f t="shared" si="19"/>
        <v>838.29052562561469</v>
      </c>
      <c r="CH241">
        <v>96.555800000000005</v>
      </c>
    </row>
    <row r="242" spans="1:86" ht="15.5" x14ac:dyDescent="0.35">
      <c r="A242" t="s">
        <v>96</v>
      </c>
      <c r="B242">
        <v>2000</v>
      </c>
      <c r="C242" s="2">
        <v>47.3065</v>
      </c>
      <c r="D242">
        <v>1180754</v>
      </c>
      <c r="E242">
        <v>0.2122</v>
      </c>
      <c r="F242">
        <v>10.6036</v>
      </c>
      <c r="G242">
        <v>1040000</v>
      </c>
      <c r="H242">
        <v>13</v>
      </c>
      <c r="I242" s="19">
        <v>78.933000000000007</v>
      </c>
      <c r="J242" s="19">
        <v>80</v>
      </c>
      <c r="K242" s="19">
        <v>4.9669999999999996</v>
      </c>
      <c r="L242" s="19">
        <v>93.085099999999997</v>
      </c>
      <c r="M242" s="19">
        <v>-29993000000</v>
      </c>
      <c r="N242" s="19">
        <v>41.505400000000002</v>
      </c>
      <c r="O242">
        <v>20.664000000000001</v>
      </c>
      <c r="P242">
        <v>0.32400000000000001</v>
      </c>
      <c r="Q242" s="19">
        <v>24158.215</v>
      </c>
      <c r="R242" s="19">
        <v>35087.089200000002</v>
      </c>
      <c r="S242" s="19">
        <v>2.738</v>
      </c>
      <c r="T242" s="19">
        <v>49979.133199999997</v>
      </c>
      <c r="U242" s="19">
        <v>27467.7824</v>
      </c>
      <c r="V242">
        <v>28.9</v>
      </c>
      <c r="W242" s="19">
        <v>93.442599999999999</v>
      </c>
      <c r="X242">
        <v>90</v>
      </c>
      <c r="Y242">
        <v>84</v>
      </c>
      <c r="Z242">
        <v>92</v>
      </c>
      <c r="AA242">
        <v>4.4000000000000004</v>
      </c>
      <c r="AB242">
        <v>30.2</v>
      </c>
      <c r="AC242">
        <v>77.9268</v>
      </c>
      <c r="AE242">
        <v>7</v>
      </c>
      <c r="AF242">
        <v>91.375399999999999</v>
      </c>
      <c r="AG242">
        <v>9.6</v>
      </c>
      <c r="AH242">
        <v>0.1</v>
      </c>
      <c r="AI242">
        <v>5.4</v>
      </c>
      <c r="AJ242">
        <v>4.8</v>
      </c>
      <c r="AK242">
        <v>5.9</v>
      </c>
      <c r="AL242">
        <v>66.336799999999997</v>
      </c>
      <c r="AM242">
        <v>2.8</v>
      </c>
      <c r="AN242">
        <v>174594</v>
      </c>
      <c r="AO242">
        <v>0</v>
      </c>
      <c r="AP242">
        <v>100</v>
      </c>
      <c r="AQ242">
        <v>99.218100000000007</v>
      </c>
      <c r="AR242">
        <v>99.8429</v>
      </c>
      <c r="AS242">
        <v>90.639499999999998</v>
      </c>
      <c r="AT242">
        <v>97.628100000000003</v>
      </c>
      <c r="AU242">
        <v>18.1496</v>
      </c>
      <c r="AV242" s="19">
        <v>95.238100000000003</v>
      </c>
      <c r="AW242">
        <v>0</v>
      </c>
      <c r="AZ242">
        <v>4</v>
      </c>
      <c r="BA242">
        <v>95.878500000000003</v>
      </c>
      <c r="BB242">
        <v>30.941700000000001</v>
      </c>
      <c r="BC242">
        <v>7.7328000000000001</v>
      </c>
      <c r="BD242" s="19">
        <v>2.8809999999999998</v>
      </c>
      <c r="BE242" s="19">
        <v>90.760900000000007</v>
      </c>
      <c r="BF242">
        <v>6.8867000000000003</v>
      </c>
      <c r="BG242">
        <v>3.7</v>
      </c>
      <c r="BH242" s="20">
        <v>2.4098000000000002</v>
      </c>
      <c r="BI242" s="20">
        <v>3154.4843999999998</v>
      </c>
      <c r="BJ242" s="19">
        <v>93.532300000000006</v>
      </c>
      <c r="BK242">
        <v>0.98970000000000002</v>
      </c>
      <c r="BL242">
        <v>0.98250000000000004</v>
      </c>
      <c r="BM242">
        <v>0.97940000000000005</v>
      </c>
      <c r="BN242">
        <v>9</v>
      </c>
      <c r="BO242">
        <v>8.0660000000000007</v>
      </c>
      <c r="BP242">
        <v>14.42</v>
      </c>
      <c r="BQ242" s="19">
        <v>100.1981</v>
      </c>
      <c r="BR242">
        <v>83.498900000000006</v>
      </c>
      <c r="BS242" s="20">
        <v>7.9169999999999998</v>
      </c>
      <c r="BT242" s="20">
        <v>7.9169999999999998</v>
      </c>
      <c r="BU242" s="20">
        <v>8.5449999999999999</v>
      </c>
      <c r="BV242" s="20">
        <v>8.5459999999999994</v>
      </c>
      <c r="BW242" s="19">
        <v>89.552199999999999</v>
      </c>
      <c r="BX242">
        <v>18.14</v>
      </c>
      <c r="BY242" s="6">
        <v>111492424</v>
      </c>
      <c r="BZ242" s="5">
        <v>298488223</v>
      </c>
      <c r="CA242" s="7">
        <f t="shared" si="15"/>
        <v>2.6772063274900186</v>
      </c>
      <c r="CB242">
        <v>82211508</v>
      </c>
      <c r="CC242" s="8">
        <f t="shared" si="16"/>
        <v>3.6307352858677646</v>
      </c>
      <c r="CD242" s="8">
        <f t="shared" si="17"/>
        <v>1.3561656599219662</v>
      </c>
      <c r="CE242">
        <v>357569</v>
      </c>
      <c r="CF242" s="8">
        <f t="shared" si="18"/>
        <v>311.80673939854967</v>
      </c>
      <c r="CG242" s="8">
        <f t="shared" si="19"/>
        <v>834.77097567182841</v>
      </c>
      <c r="CH242">
        <v>106.04508</v>
      </c>
    </row>
    <row r="243" spans="1:86" ht="15.5" x14ac:dyDescent="0.35">
      <c r="A243" t="s">
        <v>96</v>
      </c>
      <c r="B243">
        <v>2001</v>
      </c>
      <c r="C243" s="2">
        <v>47.788600000000002</v>
      </c>
      <c r="D243">
        <v>1169217</v>
      </c>
      <c r="E243">
        <v>0.21210000000000001</v>
      </c>
      <c r="F243">
        <v>10.7568</v>
      </c>
      <c r="G243">
        <v>1060000</v>
      </c>
      <c r="H243">
        <v>13</v>
      </c>
      <c r="I243" s="19">
        <v>80.433000000000007</v>
      </c>
      <c r="J243" s="19">
        <v>81.099999999999994</v>
      </c>
      <c r="K243" s="19">
        <v>3.9790000000000001</v>
      </c>
      <c r="L243" s="19"/>
      <c r="M243" s="19">
        <v>-3411000000</v>
      </c>
      <c r="N243" s="19">
        <v>43.1038</v>
      </c>
      <c r="O243">
        <v>20.59</v>
      </c>
      <c r="P243">
        <v>2.5630000000000002</v>
      </c>
      <c r="Q243" s="19">
        <v>24122.365000000002</v>
      </c>
      <c r="R243" s="19">
        <v>35601.362800000003</v>
      </c>
      <c r="S243" s="19">
        <v>1.4657</v>
      </c>
      <c r="T243" s="19">
        <v>50711.680500000002</v>
      </c>
      <c r="U243" s="19">
        <v>28677.190900000001</v>
      </c>
      <c r="V243">
        <v>29.9</v>
      </c>
      <c r="W243" s="19"/>
      <c r="X243">
        <v>93</v>
      </c>
      <c r="Y243">
        <v>86</v>
      </c>
      <c r="Z243">
        <v>94</v>
      </c>
      <c r="AA243">
        <v>4.3</v>
      </c>
      <c r="AB243">
        <v>31.7</v>
      </c>
      <c r="AC243">
        <v>78.329300000000003</v>
      </c>
      <c r="AE243">
        <v>6</v>
      </c>
      <c r="AF243">
        <v>91.519800000000004</v>
      </c>
      <c r="AG243">
        <v>8.9</v>
      </c>
      <c r="AH243">
        <v>0.13</v>
      </c>
      <c r="AI243">
        <v>5.2</v>
      </c>
      <c r="AJ243">
        <v>4.7</v>
      </c>
      <c r="AK243">
        <v>5.7</v>
      </c>
      <c r="AL243">
        <v>66.326099999999997</v>
      </c>
      <c r="AM243">
        <v>2.7</v>
      </c>
      <c r="AN243">
        <v>272875</v>
      </c>
      <c r="AO243">
        <v>0</v>
      </c>
      <c r="AP243">
        <v>100</v>
      </c>
      <c r="AQ243">
        <v>99.218699999999998</v>
      </c>
      <c r="AR243">
        <v>99.8429</v>
      </c>
      <c r="AS243">
        <v>90.639499999999998</v>
      </c>
      <c r="AT243">
        <v>97.628100000000003</v>
      </c>
      <c r="AU243">
        <v>17.8081</v>
      </c>
      <c r="AV243" s="19"/>
      <c r="AW243">
        <v>0</v>
      </c>
      <c r="AZ243">
        <v>4</v>
      </c>
      <c r="BA243">
        <v>95.892799999999994</v>
      </c>
      <c r="BB243">
        <v>31.081099999999999</v>
      </c>
      <c r="BC243">
        <v>7.7553000000000001</v>
      </c>
      <c r="BD243" s="19">
        <v>1.633</v>
      </c>
      <c r="BE243" s="19"/>
      <c r="BF243">
        <v>7.2329999999999997</v>
      </c>
      <c r="BG243">
        <v>3.9</v>
      </c>
      <c r="BH243" s="20">
        <v>2.4043999999999999</v>
      </c>
      <c r="BI243" s="20">
        <v>3230.2687999999998</v>
      </c>
      <c r="BJ243" s="19"/>
      <c r="BK243">
        <v>0.99039999999999995</v>
      </c>
      <c r="BL243">
        <v>0.98329999999999995</v>
      </c>
      <c r="BM243">
        <v>0.98029999999999995</v>
      </c>
      <c r="BN243">
        <v>9</v>
      </c>
      <c r="BO243">
        <v>7.8140000000000001</v>
      </c>
      <c r="BP243">
        <v>14.47</v>
      </c>
      <c r="BQ243" s="19">
        <v>100.1172</v>
      </c>
      <c r="BR243">
        <v>84.267600000000002</v>
      </c>
      <c r="BS243" s="20">
        <v>7.7729999999999997</v>
      </c>
      <c r="BT243" s="20">
        <v>7.7729999999999997</v>
      </c>
      <c r="BU243" s="20">
        <v>7.7869999999999999</v>
      </c>
      <c r="BV243" s="20">
        <v>7.7880000000000003</v>
      </c>
      <c r="BW243" s="19"/>
      <c r="BX243">
        <v>16.760000000000002</v>
      </c>
      <c r="BY243" s="6">
        <v>110862490</v>
      </c>
      <c r="BZ243" s="5">
        <v>298944273</v>
      </c>
      <c r="CA243" s="7">
        <f t="shared" si="15"/>
        <v>2.6965321904640605</v>
      </c>
      <c r="CB243">
        <v>82349925</v>
      </c>
      <c r="CC243" s="8">
        <f t="shared" si="16"/>
        <v>3.6301705557108885</v>
      </c>
      <c r="CD243" s="8">
        <f t="shared" si="17"/>
        <v>1.346236684489998</v>
      </c>
      <c r="CE243">
        <v>357569</v>
      </c>
      <c r="CF243" s="8">
        <f t="shared" si="18"/>
        <v>310.0450262746491</v>
      </c>
      <c r="CG243" s="8">
        <f t="shared" si="19"/>
        <v>836.04639384286668</v>
      </c>
      <c r="CH243">
        <v>105.08694</v>
      </c>
    </row>
    <row r="244" spans="1:86" ht="15.5" x14ac:dyDescent="0.35">
      <c r="A244" t="s">
        <v>96</v>
      </c>
      <c r="B244">
        <v>2002</v>
      </c>
      <c r="C244" s="2">
        <v>48.208799999999997</v>
      </c>
      <c r="D244">
        <v>1143988</v>
      </c>
      <c r="E244">
        <v>0.2089</v>
      </c>
      <c r="F244">
        <v>10.550700000000001</v>
      </c>
      <c r="G244">
        <v>1040000</v>
      </c>
      <c r="H244">
        <v>13</v>
      </c>
      <c r="I244" s="19">
        <v>81.5</v>
      </c>
      <c r="J244" s="19">
        <v>81.900000000000006</v>
      </c>
      <c r="K244" s="19">
        <v>4.1139999999999999</v>
      </c>
      <c r="L244" s="19">
        <v>93.121700000000004</v>
      </c>
      <c r="M244" s="19">
        <v>41056000000</v>
      </c>
      <c r="N244" s="19">
        <v>46.435499999999998</v>
      </c>
      <c r="O244">
        <v>21.99</v>
      </c>
      <c r="P244">
        <v>3.9053</v>
      </c>
      <c r="Q244" s="19">
        <v>25752.683000000001</v>
      </c>
      <c r="R244" s="19">
        <v>35460.412100000001</v>
      </c>
      <c r="S244" s="19">
        <v>-0.39589999999999997</v>
      </c>
      <c r="T244" s="19">
        <v>50510.905899999998</v>
      </c>
      <c r="U244" s="19">
        <v>29513.6823</v>
      </c>
      <c r="V244">
        <v>29.8</v>
      </c>
      <c r="W244" s="19">
        <v>91.351299999999995</v>
      </c>
      <c r="X244">
        <v>93</v>
      </c>
      <c r="Y244">
        <v>87</v>
      </c>
      <c r="Z244">
        <v>94</v>
      </c>
      <c r="AA244">
        <v>4.2</v>
      </c>
      <c r="AB244">
        <v>48.8</v>
      </c>
      <c r="AC244">
        <v>78.229299999999995</v>
      </c>
      <c r="AE244">
        <v>6</v>
      </c>
      <c r="AF244">
        <v>91.592299999999994</v>
      </c>
      <c r="AG244">
        <v>8.8000000000000007</v>
      </c>
      <c r="AH244">
        <v>0.1</v>
      </c>
      <c r="AI244">
        <v>5.0999999999999996</v>
      </c>
      <c r="AJ244">
        <v>4.5999999999999996</v>
      </c>
      <c r="AK244">
        <v>5.6</v>
      </c>
      <c r="AL244">
        <v>66.512500000000003</v>
      </c>
      <c r="AM244">
        <v>2.7</v>
      </c>
      <c r="AN244">
        <v>218795</v>
      </c>
      <c r="AO244">
        <v>0</v>
      </c>
      <c r="AP244">
        <v>100</v>
      </c>
      <c r="AQ244">
        <v>99.219300000000004</v>
      </c>
      <c r="AR244">
        <v>99.8429</v>
      </c>
      <c r="AS244">
        <v>90.639499999999998</v>
      </c>
      <c r="AT244">
        <v>97.628100000000003</v>
      </c>
      <c r="AU244">
        <v>17.4251</v>
      </c>
      <c r="AV244" s="19">
        <v>85.185199999999995</v>
      </c>
      <c r="AW244">
        <v>0</v>
      </c>
      <c r="AZ244">
        <v>4</v>
      </c>
      <c r="BA244">
        <v>95.9071</v>
      </c>
      <c r="BB244">
        <v>32.172499999999999</v>
      </c>
      <c r="BC244">
        <v>7.9250999999999996</v>
      </c>
      <c r="BD244" s="19">
        <v>-0.22900000000000001</v>
      </c>
      <c r="BE244" s="19">
        <v>91.891900000000007</v>
      </c>
      <c r="BF244">
        <v>8.3888999999999996</v>
      </c>
      <c r="BG244">
        <v>4.4000000000000004</v>
      </c>
      <c r="BH244" s="20">
        <v>2.4361999999999999</v>
      </c>
      <c r="BI244" s="20">
        <v>3240.7546000000002</v>
      </c>
      <c r="BJ244" s="19">
        <v>93.532300000000006</v>
      </c>
      <c r="BK244">
        <v>0.99050000000000005</v>
      </c>
      <c r="BL244">
        <v>0.98209999999999997</v>
      </c>
      <c r="BM244">
        <v>0.9788</v>
      </c>
      <c r="BN244">
        <v>9</v>
      </c>
      <c r="BO244">
        <v>8.7579999999999991</v>
      </c>
      <c r="BP244">
        <v>14.56</v>
      </c>
      <c r="BQ244" s="19">
        <v>101.878</v>
      </c>
      <c r="BR244">
        <v>82.191199999999995</v>
      </c>
      <c r="BS244" s="20">
        <v>8.4819999999999993</v>
      </c>
      <c r="BT244" s="20">
        <v>8.4819999999999993</v>
      </c>
      <c r="BU244" s="20">
        <v>9.2850000000000001</v>
      </c>
      <c r="BV244" s="20">
        <v>9.2899999999999991</v>
      </c>
      <c r="BW244" s="19">
        <v>94.5274</v>
      </c>
      <c r="BX244">
        <v>15.1</v>
      </c>
      <c r="BY244" s="6">
        <v>108941229</v>
      </c>
      <c r="BZ244" s="5">
        <v>291485519</v>
      </c>
      <c r="CA244" s="7">
        <f t="shared" si="15"/>
        <v>2.6756217244437366</v>
      </c>
      <c r="CB244">
        <v>82488495</v>
      </c>
      <c r="CC244" s="8">
        <f t="shared" si="16"/>
        <v>3.5336505896973875</v>
      </c>
      <c r="CD244" s="8">
        <f t="shared" si="17"/>
        <v>1.320683920830414</v>
      </c>
      <c r="CE244">
        <v>357569</v>
      </c>
      <c r="CF244" s="8">
        <f t="shared" si="18"/>
        <v>304.67190668094827</v>
      </c>
      <c r="CG244" s="8">
        <f t="shared" si="19"/>
        <v>815.18677234324002</v>
      </c>
      <c r="CH244">
        <v>103.51879</v>
      </c>
    </row>
    <row r="245" spans="1:86" ht="15.5" x14ac:dyDescent="0.35">
      <c r="A245" t="s">
        <v>96</v>
      </c>
      <c r="B245">
        <v>2003</v>
      </c>
      <c r="C245" s="2">
        <v>48.658299999999997</v>
      </c>
      <c r="D245">
        <v>1183317</v>
      </c>
      <c r="E245">
        <v>0.21190000000000001</v>
      </c>
      <c r="F245">
        <v>10.641400000000001</v>
      </c>
      <c r="G245">
        <v>1030000</v>
      </c>
      <c r="H245">
        <v>13</v>
      </c>
      <c r="I245" s="19">
        <v>82.375</v>
      </c>
      <c r="J245" s="19">
        <v>82.8</v>
      </c>
      <c r="K245" s="19">
        <v>3.5779999999999998</v>
      </c>
      <c r="L245" s="19">
        <v>93.121700000000004</v>
      </c>
      <c r="M245" s="19">
        <v>37997000000</v>
      </c>
      <c r="N245" s="19">
        <v>56.669899999999998</v>
      </c>
      <c r="O245">
        <v>23.06</v>
      </c>
      <c r="P245">
        <v>5.4438000000000004</v>
      </c>
      <c r="Q245" s="19">
        <v>31074.333999999999</v>
      </c>
      <c r="R245" s="19">
        <v>35252.974499999997</v>
      </c>
      <c r="S245" s="19">
        <v>-0.58499999999999996</v>
      </c>
      <c r="T245" s="19">
        <v>50215.4254</v>
      </c>
      <c r="U245" s="19">
        <v>30305.257600000001</v>
      </c>
      <c r="V245">
        <v>29.8</v>
      </c>
      <c r="W245" s="19">
        <v>88.648700000000005</v>
      </c>
      <c r="X245">
        <v>97</v>
      </c>
      <c r="Y245">
        <v>90</v>
      </c>
      <c r="Z245">
        <v>95</v>
      </c>
      <c r="AA245">
        <v>4.0999999999999996</v>
      </c>
      <c r="AB245">
        <v>55.9</v>
      </c>
      <c r="AC245">
        <v>78.380499999999998</v>
      </c>
      <c r="AE245">
        <v>6</v>
      </c>
      <c r="AF245">
        <v>91.758099999999999</v>
      </c>
      <c r="AG245">
        <v>8.4</v>
      </c>
      <c r="AH245">
        <v>0.12</v>
      </c>
      <c r="AI245">
        <v>5</v>
      </c>
      <c r="AJ245">
        <v>4.5</v>
      </c>
      <c r="AK245">
        <v>5.4</v>
      </c>
      <c r="AL245">
        <v>66.251599999999996</v>
      </c>
      <c r="AM245">
        <v>2.7</v>
      </c>
      <c r="AN245">
        <v>142009</v>
      </c>
      <c r="AO245">
        <v>0</v>
      </c>
      <c r="AP245">
        <v>100</v>
      </c>
      <c r="AQ245">
        <v>99.22</v>
      </c>
      <c r="AR245">
        <v>99.8429</v>
      </c>
      <c r="AS245">
        <v>90.639499999999998</v>
      </c>
      <c r="AT245">
        <v>97.628100000000003</v>
      </c>
      <c r="AU245">
        <v>17.0534</v>
      </c>
      <c r="AV245" s="19">
        <v>64.824100000000001</v>
      </c>
      <c r="AW245">
        <v>0</v>
      </c>
      <c r="AZ245">
        <v>4</v>
      </c>
      <c r="BA245">
        <v>95.921300000000002</v>
      </c>
      <c r="BB245">
        <v>32.172499999999999</v>
      </c>
      <c r="BC245">
        <v>8.0519999999999996</v>
      </c>
      <c r="BD245" s="19">
        <v>-0.53600000000000003</v>
      </c>
      <c r="BE245" s="19">
        <v>90.8108</v>
      </c>
      <c r="BF245">
        <v>8.4111999999999991</v>
      </c>
      <c r="BG245">
        <v>5.4</v>
      </c>
      <c r="BH245" s="20">
        <v>2.4746000000000001</v>
      </c>
      <c r="BI245" s="20">
        <v>3275.1864999999998</v>
      </c>
      <c r="BJ245" s="19">
        <v>93.532300000000006</v>
      </c>
      <c r="BK245">
        <v>0.99260000000000004</v>
      </c>
      <c r="BL245">
        <v>0.98009999999999997</v>
      </c>
      <c r="BM245">
        <v>0.97519999999999996</v>
      </c>
      <c r="BN245">
        <v>9</v>
      </c>
      <c r="BO245">
        <v>10.035</v>
      </c>
      <c r="BP245">
        <v>14.37</v>
      </c>
      <c r="BQ245" s="19">
        <v>102.5912</v>
      </c>
      <c r="BR245">
        <v>79.162199999999999</v>
      </c>
      <c r="BS245" s="20">
        <v>9.7789999999999999</v>
      </c>
      <c r="BT245" s="20">
        <v>9.7789999999999999</v>
      </c>
      <c r="BU245" s="20">
        <v>11.023999999999999</v>
      </c>
      <c r="BV245" s="20">
        <v>11.034000000000001</v>
      </c>
      <c r="BW245" s="19">
        <v>93.532300000000006</v>
      </c>
      <c r="BX245">
        <v>14.53</v>
      </c>
      <c r="BY245" s="6">
        <v>110436612</v>
      </c>
      <c r="BZ245" s="5">
        <v>292965191</v>
      </c>
      <c r="CA245" s="7">
        <f t="shared" si="15"/>
        <v>2.6527904622789404</v>
      </c>
      <c r="CB245">
        <v>82534176</v>
      </c>
      <c r="CC245" s="8">
        <f t="shared" si="16"/>
        <v>3.549622776872456</v>
      </c>
      <c r="CD245" s="8">
        <f t="shared" si="17"/>
        <v>1.3380712978827098</v>
      </c>
      <c r="CE245">
        <v>357569</v>
      </c>
      <c r="CF245" s="8">
        <f t="shared" si="18"/>
        <v>308.85398902030096</v>
      </c>
      <c r="CG245" s="8">
        <f t="shared" si="19"/>
        <v>819.32491630985908</v>
      </c>
      <c r="CH245">
        <v>102.9111</v>
      </c>
    </row>
    <row r="246" spans="1:86" ht="15.5" x14ac:dyDescent="0.35">
      <c r="A246" t="s">
        <v>96</v>
      </c>
      <c r="B246">
        <v>2004</v>
      </c>
      <c r="C246" s="2">
        <v>49.297899999999998</v>
      </c>
      <c r="D246">
        <v>1167242</v>
      </c>
      <c r="E246">
        <v>0.20599999999999999</v>
      </c>
      <c r="F246">
        <v>10.4673</v>
      </c>
      <c r="G246">
        <v>1020000</v>
      </c>
      <c r="H246">
        <v>13</v>
      </c>
      <c r="I246" s="19">
        <v>83.841999999999999</v>
      </c>
      <c r="J246" s="19">
        <v>84.6</v>
      </c>
      <c r="K246" s="19">
        <v>4.0730000000000004</v>
      </c>
      <c r="L246" s="19">
        <v>93.596100000000007</v>
      </c>
      <c r="M246" s="19">
        <v>128708000000</v>
      </c>
      <c r="N246" s="19">
        <v>68.6083</v>
      </c>
      <c r="O246">
        <v>22.763999999999999</v>
      </c>
      <c r="P246">
        <v>8.5268999999999995</v>
      </c>
      <c r="Q246" s="19">
        <v>35000.559999999998</v>
      </c>
      <c r="R246" s="19">
        <v>35670.487000000001</v>
      </c>
      <c r="S246" s="19">
        <v>1.1842999999999999</v>
      </c>
      <c r="T246" s="19">
        <v>50810.143100000001</v>
      </c>
      <c r="U246" s="19">
        <v>31757.417700000002</v>
      </c>
      <c r="V246">
        <v>30.2</v>
      </c>
      <c r="W246" s="19">
        <v>89.552199999999999</v>
      </c>
      <c r="X246">
        <v>96</v>
      </c>
      <c r="Y246">
        <v>88</v>
      </c>
      <c r="Z246">
        <v>96</v>
      </c>
      <c r="AA246">
        <v>4</v>
      </c>
      <c r="AB246">
        <v>64.7</v>
      </c>
      <c r="AC246">
        <v>78.680499999999995</v>
      </c>
      <c r="AE246">
        <v>6</v>
      </c>
      <c r="AF246">
        <v>91.840699999999998</v>
      </c>
      <c r="AG246">
        <v>7.5</v>
      </c>
      <c r="AH246">
        <v>0.11</v>
      </c>
      <c r="AI246">
        <v>4.8</v>
      </c>
      <c r="AJ246">
        <v>4.4000000000000004</v>
      </c>
      <c r="AK246">
        <v>5.3</v>
      </c>
      <c r="AL246">
        <v>66.378299999999996</v>
      </c>
      <c r="AM246">
        <v>2.6</v>
      </c>
      <c r="AN246">
        <v>81735</v>
      </c>
      <c r="AO246">
        <v>0</v>
      </c>
      <c r="AP246">
        <v>100</v>
      </c>
      <c r="AQ246">
        <v>99.220600000000005</v>
      </c>
      <c r="AR246">
        <v>99.849299999999999</v>
      </c>
      <c r="AS246">
        <v>90.689800000000005</v>
      </c>
      <c r="AT246">
        <v>97.684399999999997</v>
      </c>
      <c r="AU246">
        <v>16.7456</v>
      </c>
      <c r="AV246" s="19">
        <v>67.961200000000005</v>
      </c>
      <c r="AW246">
        <v>0</v>
      </c>
      <c r="AZ246">
        <v>4</v>
      </c>
      <c r="BA246">
        <v>95.990200000000002</v>
      </c>
      <c r="BB246">
        <v>32.75</v>
      </c>
      <c r="BC246">
        <v>7.7001999999999997</v>
      </c>
      <c r="BD246" s="19">
        <v>1.171</v>
      </c>
      <c r="BE246" s="19">
        <v>91.044799999999995</v>
      </c>
      <c r="BF246">
        <v>10.301600000000001</v>
      </c>
      <c r="BG246">
        <v>6.3</v>
      </c>
      <c r="BH246" s="20">
        <v>2.4352</v>
      </c>
      <c r="BI246" s="20">
        <v>3290.9618999999998</v>
      </c>
      <c r="BJ246" s="19">
        <v>93.75</v>
      </c>
      <c r="BK246">
        <v>0.99360000000000004</v>
      </c>
      <c r="BL246">
        <v>0.98040000000000005</v>
      </c>
      <c r="BM246">
        <v>0.97529999999999994</v>
      </c>
      <c r="BN246">
        <v>9</v>
      </c>
      <c r="BO246">
        <v>10.081</v>
      </c>
      <c r="BP246">
        <v>13.99</v>
      </c>
      <c r="BQ246" s="19">
        <v>100.97329999999999</v>
      </c>
      <c r="BR246">
        <v>76.421300000000002</v>
      </c>
      <c r="BS246" s="20">
        <v>10.727</v>
      </c>
      <c r="BT246" s="20">
        <v>10.727</v>
      </c>
      <c r="BU246" s="20">
        <v>12.984</v>
      </c>
      <c r="BV246" s="20">
        <v>12.994999999999999</v>
      </c>
      <c r="BW246" s="19">
        <v>93.75</v>
      </c>
      <c r="BX246">
        <v>12.89</v>
      </c>
      <c r="BY246" s="6">
        <v>116411417</v>
      </c>
      <c r="BZ246" s="5">
        <v>338768840</v>
      </c>
      <c r="CA246" s="7">
        <f t="shared" si="15"/>
        <v>2.9100997885800153</v>
      </c>
      <c r="CB246">
        <v>82516260</v>
      </c>
      <c r="CC246" s="8">
        <f t="shared" si="16"/>
        <v>4.105479816947593</v>
      </c>
      <c r="CD246" s="8">
        <f t="shared" si="17"/>
        <v>1.4107694289586077</v>
      </c>
      <c r="CE246">
        <v>357569</v>
      </c>
      <c r="CF246" s="8">
        <f t="shared" si="18"/>
        <v>325.56350522556488</v>
      </c>
      <c r="CG246" s="8">
        <f t="shared" si="19"/>
        <v>947.42228772628505</v>
      </c>
      <c r="CH246">
        <v>102.50312</v>
      </c>
    </row>
    <row r="247" spans="1:86" ht="15.5" x14ac:dyDescent="0.35">
      <c r="A247" t="s">
        <v>96</v>
      </c>
      <c r="B247">
        <v>2005</v>
      </c>
      <c r="C247" s="2">
        <v>50.041699999999999</v>
      </c>
      <c r="D247">
        <v>1131484</v>
      </c>
      <c r="E247">
        <v>0.1991</v>
      </c>
      <c r="F247">
        <v>10.211</v>
      </c>
      <c r="G247">
        <v>992000</v>
      </c>
      <c r="H247">
        <v>13</v>
      </c>
      <c r="I247" s="19">
        <v>85.457999999999998</v>
      </c>
      <c r="J247" s="19">
        <v>86.4</v>
      </c>
      <c r="K247" s="19">
        <v>3.875</v>
      </c>
      <c r="L247" s="19">
        <v>94.146299999999997</v>
      </c>
      <c r="M247" s="19">
        <v>134648000000</v>
      </c>
      <c r="N247" s="19">
        <v>73.209900000000005</v>
      </c>
      <c r="O247">
        <v>23.523</v>
      </c>
      <c r="P247">
        <v>13.1471</v>
      </c>
      <c r="Q247" s="19">
        <v>35592.675000000003</v>
      </c>
      <c r="R247" s="19">
        <v>36006.857799999998</v>
      </c>
      <c r="S247" s="19">
        <v>0.94299999999999995</v>
      </c>
      <c r="T247" s="19">
        <v>51289.279999999999</v>
      </c>
      <c r="U247" s="19">
        <v>32313.736799999999</v>
      </c>
      <c r="V247">
        <v>31.7</v>
      </c>
      <c r="W247" s="19">
        <v>89.215699999999998</v>
      </c>
      <c r="X247">
        <v>96</v>
      </c>
      <c r="Y247">
        <v>90</v>
      </c>
      <c r="Z247">
        <v>96</v>
      </c>
      <c r="AA247">
        <v>3.9</v>
      </c>
      <c r="AB247">
        <v>68.7</v>
      </c>
      <c r="AC247">
        <v>78.931700000000006</v>
      </c>
      <c r="AE247">
        <v>6</v>
      </c>
      <c r="AF247">
        <v>93.2273</v>
      </c>
      <c r="AG247">
        <v>6.9</v>
      </c>
      <c r="AH247">
        <v>0.13</v>
      </c>
      <c r="AI247">
        <v>4.7</v>
      </c>
      <c r="AJ247">
        <v>4.2</v>
      </c>
      <c r="AK247">
        <v>5.2</v>
      </c>
      <c r="AL247">
        <v>66.801500000000004</v>
      </c>
      <c r="AM247">
        <v>2.6</v>
      </c>
      <c r="AN247">
        <v>81351</v>
      </c>
      <c r="AO247">
        <v>0</v>
      </c>
      <c r="AP247">
        <v>100</v>
      </c>
      <c r="AQ247">
        <v>99.221199999999996</v>
      </c>
      <c r="AR247">
        <v>99.855800000000002</v>
      </c>
      <c r="AS247">
        <v>90.740099999999998</v>
      </c>
      <c r="AT247">
        <v>97.740600000000001</v>
      </c>
      <c r="AU247">
        <v>16.554300000000001</v>
      </c>
      <c r="AV247" s="19">
        <v>75.728200000000001</v>
      </c>
      <c r="AW247">
        <v>0</v>
      </c>
      <c r="AZ247">
        <v>4</v>
      </c>
      <c r="BA247">
        <v>96.059100000000001</v>
      </c>
      <c r="BB247">
        <v>31.759</v>
      </c>
      <c r="BC247">
        <v>7.8032000000000004</v>
      </c>
      <c r="BD247" s="19">
        <v>0.88300000000000001</v>
      </c>
      <c r="BE247" s="19">
        <v>92.156899999999993</v>
      </c>
      <c r="BF247">
        <v>11.2629</v>
      </c>
      <c r="BG247">
        <v>7.3</v>
      </c>
      <c r="BH247" s="20">
        <v>2.4419</v>
      </c>
      <c r="BI247" s="20">
        <v>3315.7563</v>
      </c>
      <c r="BJ247" s="19">
        <v>94.258399999999995</v>
      </c>
      <c r="BK247">
        <v>0.996</v>
      </c>
      <c r="BL247">
        <v>0.98040000000000005</v>
      </c>
      <c r="BM247">
        <v>0.97419999999999995</v>
      </c>
      <c r="BN247">
        <v>9</v>
      </c>
      <c r="BO247">
        <v>11.353</v>
      </c>
      <c r="BP247">
        <v>13.28</v>
      </c>
      <c r="BQ247" s="19">
        <v>98.075400000000002</v>
      </c>
      <c r="BR247">
        <v>73.903999999999996</v>
      </c>
      <c r="BS247" s="20">
        <v>11.193</v>
      </c>
      <c r="BT247" s="20">
        <v>11.193</v>
      </c>
      <c r="BU247" s="20">
        <v>15.462999999999999</v>
      </c>
      <c r="BV247" s="20">
        <v>15.461</v>
      </c>
      <c r="BW247" s="19">
        <v>93.269199999999998</v>
      </c>
      <c r="BX247">
        <v>15.25</v>
      </c>
      <c r="BY247" s="6">
        <v>120573874</v>
      </c>
      <c r="BZ247" s="5">
        <v>343981015</v>
      </c>
      <c r="CA247" s="7">
        <f t="shared" si="15"/>
        <v>2.8528652484036465</v>
      </c>
      <c r="CB247">
        <v>82469422</v>
      </c>
      <c r="CC247" s="8">
        <f t="shared" si="16"/>
        <v>4.1710128027816173</v>
      </c>
      <c r="CD247" s="8">
        <f t="shared" si="17"/>
        <v>1.4620433983398113</v>
      </c>
      <c r="CE247">
        <v>357569</v>
      </c>
      <c r="CF247" s="8">
        <f t="shared" si="18"/>
        <v>337.20449479680843</v>
      </c>
      <c r="CG247" s="8">
        <f t="shared" si="19"/>
        <v>961.99898481132311</v>
      </c>
      <c r="CH247">
        <v>101.59730999999999</v>
      </c>
    </row>
    <row r="248" spans="1:86" ht="15.5" x14ac:dyDescent="0.35">
      <c r="A248" t="s">
        <v>96</v>
      </c>
      <c r="B248">
        <v>2006</v>
      </c>
      <c r="C248" s="2">
        <v>50.8444</v>
      </c>
      <c r="D248">
        <v>1125397</v>
      </c>
      <c r="E248">
        <v>0.1948</v>
      </c>
      <c r="F248">
        <v>10.3896</v>
      </c>
      <c r="G248">
        <v>1000000</v>
      </c>
      <c r="H248">
        <v>13</v>
      </c>
      <c r="I248" s="19">
        <v>86.974999999999994</v>
      </c>
      <c r="J248" s="19">
        <v>87.6</v>
      </c>
      <c r="K248" s="19">
        <v>3.7789999999999999</v>
      </c>
      <c r="L248" s="19">
        <v>93.170699999999997</v>
      </c>
      <c r="M248" s="19">
        <v>176991000000</v>
      </c>
      <c r="N248" s="19">
        <v>83.554599999999994</v>
      </c>
      <c r="O248">
        <v>24.013000000000002</v>
      </c>
      <c r="P248">
        <v>18.331499999999998</v>
      </c>
      <c r="Q248" s="19">
        <v>37530.237999999998</v>
      </c>
      <c r="R248" s="19">
        <v>37437.391900000002</v>
      </c>
      <c r="S248" s="19">
        <v>3.9729000000000001</v>
      </c>
      <c r="T248" s="19">
        <v>53326.976900000001</v>
      </c>
      <c r="U248" s="19">
        <v>34748.754300000001</v>
      </c>
      <c r="V248">
        <v>31</v>
      </c>
      <c r="W248" s="19">
        <v>92.682900000000004</v>
      </c>
      <c r="X248">
        <v>96</v>
      </c>
      <c r="Y248">
        <v>87</v>
      </c>
      <c r="Z248">
        <v>96</v>
      </c>
      <c r="AA248">
        <v>3.8</v>
      </c>
      <c r="AB248">
        <v>72.2</v>
      </c>
      <c r="AC248">
        <v>79.131699999999995</v>
      </c>
      <c r="AE248">
        <v>6</v>
      </c>
      <c r="AF248">
        <v>93.299899999999994</v>
      </c>
      <c r="AG248">
        <v>6.6</v>
      </c>
      <c r="AH248">
        <v>0.13</v>
      </c>
      <c r="AI248">
        <v>4.5999999999999996</v>
      </c>
      <c r="AJ248">
        <v>4.0999999999999996</v>
      </c>
      <c r="AK248">
        <v>5</v>
      </c>
      <c r="AL248">
        <v>68.983999999999995</v>
      </c>
      <c r="AM248">
        <v>2.6</v>
      </c>
      <c r="AN248">
        <v>-489056</v>
      </c>
      <c r="AO248">
        <v>0</v>
      </c>
      <c r="AP248">
        <v>100</v>
      </c>
      <c r="AQ248">
        <v>99.221800000000002</v>
      </c>
      <c r="AR248">
        <v>99.862300000000005</v>
      </c>
      <c r="AS248">
        <v>90.790300000000002</v>
      </c>
      <c r="AT248">
        <v>97.796899999999994</v>
      </c>
      <c r="AU248">
        <v>16.467300000000002</v>
      </c>
      <c r="AV248" s="19">
        <v>82.125600000000006</v>
      </c>
      <c r="AW248">
        <v>0</v>
      </c>
      <c r="AZ248">
        <v>4</v>
      </c>
      <c r="BA248">
        <v>96.127899999999997</v>
      </c>
      <c r="BB248">
        <v>31.5961</v>
      </c>
      <c r="BC248">
        <v>7.6589999999999998</v>
      </c>
      <c r="BD248" s="19">
        <v>3.8620000000000001</v>
      </c>
      <c r="BE248" s="19">
        <v>94.117599999999996</v>
      </c>
      <c r="BF248">
        <v>12.383900000000001</v>
      </c>
      <c r="BG248">
        <v>8.6</v>
      </c>
      <c r="BH248" s="20">
        <v>2.4723000000000002</v>
      </c>
      <c r="BI248" s="20">
        <v>3411.7869000000001</v>
      </c>
      <c r="BJ248" s="19">
        <v>95.215299999999999</v>
      </c>
      <c r="BK248">
        <v>0.99550000000000005</v>
      </c>
      <c r="BL248">
        <v>0.97809999999999997</v>
      </c>
      <c r="BM248">
        <v>0.97109999999999996</v>
      </c>
      <c r="BN248">
        <v>9</v>
      </c>
      <c r="BO248">
        <v>9.8550000000000004</v>
      </c>
      <c r="BP248">
        <v>12.78</v>
      </c>
      <c r="BQ248" s="19">
        <v>95.592299999999994</v>
      </c>
      <c r="BR248">
        <v>76.454800000000006</v>
      </c>
      <c r="BS248" s="20">
        <v>10.276999999999999</v>
      </c>
      <c r="BT248" s="20">
        <v>10.276999999999999</v>
      </c>
      <c r="BU248" s="20">
        <v>13.401999999999999</v>
      </c>
      <c r="BV248" s="20">
        <v>13.401</v>
      </c>
      <c r="BW248" s="19">
        <v>93.269199999999998</v>
      </c>
      <c r="BX248">
        <v>13.98</v>
      </c>
      <c r="BY248" s="6">
        <v>125236529</v>
      </c>
      <c r="BZ248" s="5">
        <v>351223970</v>
      </c>
      <c r="CA248" s="7">
        <f t="shared" si="15"/>
        <v>2.8044850236946441</v>
      </c>
      <c r="CB248">
        <v>82376451</v>
      </c>
      <c r="CC248" s="8">
        <f t="shared" si="16"/>
        <v>4.2636453226177471</v>
      </c>
      <c r="CD248" s="8">
        <f t="shared" si="17"/>
        <v>1.5202952722495899</v>
      </c>
      <c r="CE248">
        <v>357569</v>
      </c>
      <c r="CF248" s="8">
        <f t="shared" si="18"/>
        <v>350.24436961817162</v>
      </c>
      <c r="CG248" s="8">
        <f t="shared" si="19"/>
        <v>982.25508922753374</v>
      </c>
      <c r="CH248">
        <v>100.92491</v>
      </c>
    </row>
    <row r="249" spans="1:86" ht="15.5" x14ac:dyDescent="0.35">
      <c r="A249" t="s">
        <v>96</v>
      </c>
      <c r="B249">
        <v>2007</v>
      </c>
      <c r="C249" s="2">
        <v>51.461300000000001</v>
      </c>
      <c r="D249">
        <v>1096760</v>
      </c>
      <c r="E249">
        <v>0.183</v>
      </c>
      <c r="F249">
        <v>10.0526</v>
      </c>
      <c r="G249">
        <v>974000</v>
      </c>
      <c r="H249">
        <v>13</v>
      </c>
      <c r="I249" s="19">
        <v>88.95</v>
      </c>
      <c r="J249" s="19">
        <v>90.3</v>
      </c>
      <c r="K249" s="19">
        <v>5.1950000000000003</v>
      </c>
      <c r="L249" s="19">
        <v>92.233000000000004</v>
      </c>
      <c r="M249" s="19">
        <v>232471000000</v>
      </c>
      <c r="N249" s="19">
        <v>99.623599999999996</v>
      </c>
      <c r="O249">
        <v>23.292999999999999</v>
      </c>
      <c r="P249">
        <v>24.294899999999998</v>
      </c>
      <c r="Q249" s="19">
        <v>43021.966</v>
      </c>
      <c r="R249" s="19">
        <v>38570.914599999996</v>
      </c>
      <c r="S249" s="19">
        <v>3.0278</v>
      </c>
      <c r="T249" s="19">
        <v>54941.601799999997</v>
      </c>
      <c r="U249" s="19">
        <v>36915.325299999997</v>
      </c>
      <c r="V249">
        <v>31.2</v>
      </c>
      <c r="W249" s="19">
        <v>92.233000000000004</v>
      </c>
      <c r="X249">
        <v>96</v>
      </c>
      <c r="Y249">
        <v>86</v>
      </c>
      <c r="Z249">
        <v>97</v>
      </c>
      <c r="AA249">
        <v>3.7</v>
      </c>
      <c r="AB249">
        <v>75.2</v>
      </c>
      <c r="AC249">
        <v>79.534099999999995</v>
      </c>
      <c r="AE249">
        <v>5</v>
      </c>
      <c r="AF249">
        <v>93.414699999999996</v>
      </c>
      <c r="AG249">
        <v>6.4</v>
      </c>
      <c r="AH249">
        <v>0.15</v>
      </c>
      <c r="AI249">
        <v>4.5</v>
      </c>
      <c r="AJ249">
        <v>4</v>
      </c>
      <c r="AK249">
        <v>4.9000000000000004</v>
      </c>
      <c r="AL249">
        <v>69.388999999999996</v>
      </c>
      <c r="AM249">
        <v>2.5</v>
      </c>
      <c r="AN249">
        <v>-24772</v>
      </c>
      <c r="AO249">
        <v>0</v>
      </c>
      <c r="AP249">
        <v>100</v>
      </c>
      <c r="AQ249">
        <v>99.222399999999993</v>
      </c>
      <c r="AR249">
        <v>99.868899999999996</v>
      </c>
      <c r="AS249">
        <v>90.840599999999995</v>
      </c>
      <c r="AT249">
        <v>97.853099999999998</v>
      </c>
      <c r="AU249">
        <v>16.417899999999999</v>
      </c>
      <c r="AV249" s="19">
        <v>81.159400000000005</v>
      </c>
      <c r="AW249">
        <v>0</v>
      </c>
      <c r="AZ249">
        <v>4</v>
      </c>
      <c r="BA249">
        <v>96.196600000000004</v>
      </c>
      <c r="BB249">
        <v>31.647600000000001</v>
      </c>
      <c r="BC249">
        <v>7.5549999999999997</v>
      </c>
      <c r="BD249" s="19">
        <v>2.887</v>
      </c>
      <c r="BE249" s="19">
        <v>94.660200000000003</v>
      </c>
      <c r="BF249">
        <v>15.012499999999999</v>
      </c>
      <c r="BG249">
        <v>10.5</v>
      </c>
      <c r="BH249" s="20">
        <v>2.4605000000000001</v>
      </c>
      <c r="BI249" s="20">
        <v>3573.6732999999999</v>
      </c>
      <c r="BJ249" s="19">
        <v>95.215299999999999</v>
      </c>
      <c r="BK249">
        <v>0.99470000000000003</v>
      </c>
      <c r="BL249">
        <v>0.98009999999999997</v>
      </c>
      <c r="BM249">
        <v>0.97409999999999997</v>
      </c>
      <c r="BN249">
        <v>9</v>
      </c>
      <c r="BO249">
        <v>9.4649999999999999</v>
      </c>
      <c r="BP249">
        <v>12.38</v>
      </c>
      <c r="BQ249" s="19">
        <v>95.732299999999995</v>
      </c>
      <c r="BR249">
        <v>79.955699999999993</v>
      </c>
      <c r="BS249" s="20">
        <v>8.7319999999999993</v>
      </c>
      <c r="BT249" s="20">
        <v>8.7319999999999993</v>
      </c>
      <c r="BU249" s="20">
        <v>11.824</v>
      </c>
      <c r="BV249" s="20">
        <v>11.815</v>
      </c>
      <c r="BW249" s="19">
        <v>93.269199999999998</v>
      </c>
      <c r="BX249">
        <v>13.81</v>
      </c>
      <c r="BY249" s="6">
        <v>127674245</v>
      </c>
      <c r="BZ249" s="5">
        <v>317305835</v>
      </c>
      <c r="CA249" s="7">
        <f t="shared" si="15"/>
        <v>2.4852767682315253</v>
      </c>
      <c r="CB249">
        <v>82266372</v>
      </c>
      <c r="CC249" s="8">
        <f t="shared" si="16"/>
        <v>3.8570539490911306</v>
      </c>
      <c r="CD249" s="8">
        <f t="shared" si="17"/>
        <v>1.551961535388968</v>
      </c>
      <c r="CE249">
        <v>357569</v>
      </c>
      <c r="CF249" s="8">
        <f t="shared" si="18"/>
        <v>357.06183981273546</v>
      </c>
      <c r="CG249" s="8">
        <f t="shared" si="19"/>
        <v>887.39749530859774</v>
      </c>
      <c r="CH249">
        <v>100.49851</v>
      </c>
    </row>
    <row r="250" spans="1:86" ht="15.5" x14ac:dyDescent="0.35">
      <c r="A250" t="s">
        <v>96</v>
      </c>
      <c r="B250">
        <v>2008</v>
      </c>
      <c r="C250" s="2">
        <v>51.814999999999998</v>
      </c>
      <c r="D250">
        <v>1094848</v>
      </c>
      <c r="E250">
        <v>0.18210000000000001</v>
      </c>
      <c r="F250">
        <v>10.1127</v>
      </c>
      <c r="G250">
        <v>975000</v>
      </c>
      <c r="H250">
        <v>13</v>
      </c>
      <c r="I250" s="19">
        <v>91.4</v>
      </c>
      <c r="J250" s="19">
        <v>91.2</v>
      </c>
      <c r="K250" s="19">
        <v>4.5810000000000004</v>
      </c>
      <c r="L250" s="19">
        <v>93.203900000000004</v>
      </c>
      <c r="M250" s="19">
        <v>213277000000</v>
      </c>
      <c r="N250" s="19">
        <v>109.0458</v>
      </c>
      <c r="O250">
        <v>27.068000000000001</v>
      </c>
      <c r="P250">
        <v>27.998899999999999</v>
      </c>
      <c r="Q250" s="19">
        <v>47153.993999999999</v>
      </c>
      <c r="R250" s="19">
        <v>38996.143400000001</v>
      </c>
      <c r="S250" s="19">
        <v>1.1025</v>
      </c>
      <c r="T250" s="19">
        <v>55547.310700000002</v>
      </c>
      <c r="U250" s="19">
        <v>38443.5386</v>
      </c>
      <c r="V250">
        <v>30.8</v>
      </c>
      <c r="W250" s="19">
        <v>89.320400000000006</v>
      </c>
      <c r="X250">
        <v>96</v>
      </c>
      <c r="Y250">
        <v>87</v>
      </c>
      <c r="Z250">
        <v>97</v>
      </c>
      <c r="AA250">
        <v>3.6</v>
      </c>
      <c r="AB250">
        <v>78</v>
      </c>
      <c r="AC250">
        <v>79.736599999999996</v>
      </c>
      <c r="AE250">
        <v>6</v>
      </c>
      <c r="AF250">
        <v>93.478899999999996</v>
      </c>
      <c r="AG250">
        <v>5.8</v>
      </c>
      <c r="AH250">
        <v>0.15</v>
      </c>
      <c r="AI250">
        <v>4.4000000000000004</v>
      </c>
      <c r="AJ250">
        <v>3.9</v>
      </c>
      <c r="AK250">
        <v>4.8</v>
      </c>
      <c r="AL250">
        <v>69.236099999999993</v>
      </c>
      <c r="AM250">
        <v>2.4</v>
      </c>
      <c r="AN250">
        <v>-23341</v>
      </c>
      <c r="AO250">
        <v>0</v>
      </c>
      <c r="AP250">
        <v>100</v>
      </c>
      <c r="AQ250">
        <v>99.222999999999999</v>
      </c>
      <c r="AR250">
        <v>99.875500000000002</v>
      </c>
      <c r="AS250">
        <v>90.890799999999999</v>
      </c>
      <c r="AT250">
        <v>97.909400000000005</v>
      </c>
      <c r="AU250">
        <v>16.3767</v>
      </c>
      <c r="AV250" s="19">
        <v>79.807699999999997</v>
      </c>
      <c r="AW250">
        <v>0</v>
      </c>
      <c r="AZ250">
        <v>4</v>
      </c>
      <c r="BA250">
        <v>96.265299999999996</v>
      </c>
      <c r="BB250">
        <v>32.189500000000002</v>
      </c>
      <c r="BC250">
        <v>7.7165999999999997</v>
      </c>
      <c r="BD250" s="19">
        <v>0.91</v>
      </c>
      <c r="BE250" s="19">
        <v>92.233000000000004</v>
      </c>
      <c r="BF250">
        <v>15.6434</v>
      </c>
      <c r="BG250">
        <v>10.199999999999999</v>
      </c>
      <c r="BH250" s="20">
        <v>2.6151</v>
      </c>
      <c r="BI250" s="20">
        <v>3726.6745999999998</v>
      </c>
      <c r="BJ250" s="19">
        <v>94.230800000000002</v>
      </c>
      <c r="BK250">
        <v>0.99299999999999999</v>
      </c>
      <c r="BL250">
        <v>0.97799999999999998</v>
      </c>
      <c r="BM250">
        <v>0.97199999999999998</v>
      </c>
      <c r="BN250">
        <v>9</v>
      </c>
      <c r="BO250">
        <v>8.3079999999999998</v>
      </c>
      <c r="BP250">
        <v>12.52</v>
      </c>
      <c r="BQ250" s="19">
        <v>93.426400000000001</v>
      </c>
      <c r="BR250">
        <v>82.467799999999997</v>
      </c>
      <c r="BS250" s="20">
        <v>7.508</v>
      </c>
      <c r="BT250" s="20">
        <v>7.508</v>
      </c>
      <c r="BU250" s="20">
        <v>10.929</v>
      </c>
      <c r="BV250" s="20">
        <v>10.925000000000001</v>
      </c>
      <c r="BW250" s="19">
        <v>93.75</v>
      </c>
      <c r="BX250">
        <v>12.85</v>
      </c>
      <c r="BY250" s="6">
        <v>130765215</v>
      </c>
      <c r="BZ250" s="5">
        <v>323876009</v>
      </c>
      <c r="CA250" s="7">
        <f t="shared" si="15"/>
        <v>2.4767749511978394</v>
      </c>
      <c r="CB250">
        <v>82110097</v>
      </c>
      <c r="CC250" s="8">
        <f t="shared" si="16"/>
        <v>3.9444114771901924</v>
      </c>
      <c r="CD250" s="8">
        <f t="shared" si="17"/>
        <v>1.5925594997165817</v>
      </c>
      <c r="CE250">
        <v>357569</v>
      </c>
      <c r="CF250" s="8">
        <f t="shared" si="18"/>
        <v>365.70624131286547</v>
      </c>
      <c r="CG250" s="8">
        <f t="shared" si="19"/>
        <v>905.7720579804178</v>
      </c>
      <c r="CH250">
        <v>99.078140000000005</v>
      </c>
    </row>
    <row r="251" spans="1:86" ht="15.5" x14ac:dyDescent="0.35">
      <c r="A251" t="s">
        <v>96</v>
      </c>
      <c r="B251">
        <v>2009</v>
      </c>
      <c r="C251" s="2">
        <v>52.157899999999998</v>
      </c>
      <c r="D251">
        <v>1042772</v>
      </c>
      <c r="E251">
        <v>0.1784</v>
      </c>
      <c r="F251">
        <v>9.3838000000000008</v>
      </c>
      <c r="G251">
        <v>907000</v>
      </c>
      <c r="H251">
        <v>13</v>
      </c>
      <c r="I251" s="19">
        <v>91.625</v>
      </c>
      <c r="J251" s="19">
        <v>92</v>
      </c>
      <c r="K251" s="19">
        <v>3.16</v>
      </c>
      <c r="L251" s="19">
        <v>93.301400000000001</v>
      </c>
      <c r="M251" s="19">
        <v>201728000000</v>
      </c>
      <c r="N251" s="19">
        <v>84.454499999999996</v>
      </c>
      <c r="O251">
        <v>25.454999999999998</v>
      </c>
      <c r="P251">
        <v>30.845099999999999</v>
      </c>
      <c r="Q251" s="19">
        <v>43189.389000000003</v>
      </c>
      <c r="R251" s="19">
        <v>36927.192000000003</v>
      </c>
      <c r="S251" s="19">
        <v>-5.3055000000000003</v>
      </c>
      <c r="T251" s="19">
        <v>52600.232499999998</v>
      </c>
      <c r="U251" s="19">
        <v>37554.4427</v>
      </c>
      <c r="V251">
        <v>30.5</v>
      </c>
      <c r="W251" s="19">
        <v>92.822999999999993</v>
      </c>
      <c r="X251">
        <v>96</v>
      </c>
      <c r="Y251">
        <v>88</v>
      </c>
      <c r="Z251">
        <v>97</v>
      </c>
      <c r="AA251">
        <v>3.5</v>
      </c>
      <c r="AB251">
        <v>79</v>
      </c>
      <c r="AC251">
        <v>79.836600000000004</v>
      </c>
      <c r="AE251">
        <v>6</v>
      </c>
      <c r="AF251">
        <v>93.499600000000001</v>
      </c>
      <c r="AG251">
        <v>5.3</v>
      </c>
      <c r="AH251">
        <v>0.13</v>
      </c>
      <c r="AI251">
        <v>4.3</v>
      </c>
      <c r="AJ251">
        <v>3.8</v>
      </c>
      <c r="AK251">
        <v>4.7</v>
      </c>
      <c r="AL251">
        <v>68.934299999999993</v>
      </c>
      <c r="AM251">
        <v>2.4</v>
      </c>
      <c r="AN251">
        <v>46533</v>
      </c>
      <c r="AO251">
        <v>0</v>
      </c>
      <c r="AP251">
        <v>100</v>
      </c>
      <c r="AQ251">
        <v>99.223600000000005</v>
      </c>
      <c r="AR251">
        <v>99.878500000000003</v>
      </c>
      <c r="AS251">
        <v>90.941100000000006</v>
      </c>
      <c r="AT251">
        <v>97.965699999999998</v>
      </c>
      <c r="AU251">
        <v>16.314399999999999</v>
      </c>
      <c r="AV251" s="19">
        <v>77.725099999999998</v>
      </c>
      <c r="AW251">
        <v>0</v>
      </c>
      <c r="AZ251">
        <v>4</v>
      </c>
      <c r="BA251">
        <v>96.3339</v>
      </c>
      <c r="BB251">
        <v>32.797400000000003</v>
      </c>
      <c r="BC251">
        <v>8.5017999999999994</v>
      </c>
      <c r="BD251" s="19">
        <v>-5.548</v>
      </c>
      <c r="BE251" s="19">
        <v>93.779899999999998</v>
      </c>
      <c r="BF251">
        <v>17.031700000000001</v>
      </c>
      <c r="BG251">
        <v>10.7</v>
      </c>
      <c r="BH251" s="20">
        <v>2.7427000000000001</v>
      </c>
      <c r="BI251" s="20">
        <v>3916.7827000000002</v>
      </c>
      <c r="BJ251" s="19">
        <v>92.891000000000005</v>
      </c>
      <c r="BK251">
        <v>0.99380000000000002</v>
      </c>
      <c r="BL251">
        <v>0.96030000000000004</v>
      </c>
      <c r="BM251">
        <v>0.94699999999999995</v>
      </c>
      <c r="BN251">
        <v>9</v>
      </c>
      <c r="BO251">
        <v>8.3070000000000004</v>
      </c>
      <c r="BP251">
        <v>12.74</v>
      </c>
      <c r="BQ251" s="19">
        <v>99.1447</v>
      </c>
      <c r="BR251">
        <v>81.674300000000002</v>
      </c>
      <c r="BS251" s="20">
        <v>7.88</v>
      </c>
      <c r="BT251" s="20">
        <v>7.88</v>
      </c>
      <c r="BU251" s="20">
        <v>11.308999999999999</v>
      </c>
      <c r="BV251" s="20">
        <v>11.311</v>
      </c>
      <c r="BW251" s="19">
        <v>92.891000000000005</v>
      </c>
      <c r="BX251">
        <v>14.18</v>
      </c>
      <c r="BY251" s="6">
        <v>127559726</v>
      </c>
      <c r="BZ251" s="5">
        <v>314118544</v>
      </c>
      <c r="CA251" s="7">
        <f t="shared" si="15"/>
        <v>2.4625213133493249</v>
      </c>
      <c r="CB251">
        <v>81902307</v>
      </c>
      <c r="CC251" s="8">
        <f t="shared" si="16"/>
        <v>3.835283223462802</v>
      </c>
      <c r="CD251" s="8">
        <f t="shared" si="17"/>
        <v>1.5574619406019905</v>
      </c>
      <c r="CE251">
        <v>357569</v>
      </c>
      <c r="CF251" s="8">
        <f t="shared" si="18"/>
        <v>356.74156876015536</v>
      </c>
      <c r="CG251" s="8">
        <f t="shared" si="19"/>
        <v>878.48371642955624</v>
      </c>
      <c r="CH251">
        <v>100.67538</v>
      </c>
    </row>
    <row r="252" spans="1:86" ht="15.5" x14ac:dyDescent="0.35">
      <c r="A252" t="s">
        <v>96</v>
      </c>
      <c r="B252">
        <v>2010</v>
      </c>
      <c r="C252" s="2">
        <v>52.1175</v>
      </c>
      <c r="D252">
        <v>1044461</v>
      </c>
      <c r="E252">
        <v>0.1817</v>
      </c>
      <c r="F252">
        <v>9.9708000000000006</v>
      </c>
      <c r="G252">
        <v>944000</v>
      </c>
      <c r="H252">
        <v>13</v>
      </c>
      <c r="I252" s="19">
        <v>92.65</v>
      </c>
      <c r="J252" s="19">
        <v>93.7</v>
      </c>
      <c r="K252" s="19">
        <v>4.1509999999999998</v>
      </c>
      <c r="L252" s="19">
        <v>93.333299999999994</v>
      </c>
      <c r="M252" s="19">
        <v>199298000000</v>
      </c>
      <c r="N252" s="19">
        <v>94.926699999999997</v>
      </c>
      <c r="O252">
        <v>26.154</v>
      </c>
      <c r="P252">
        <v>32.366300000000003</v>
      </c>
      <c r="Q252" s="19">
        <v>43233.451999999997</v>
      </c>
      <c r="R252" s="19">
        <v>38517.4398</v>
      </c>
      <c r="S252" s="19">
        <v>4.3064</v>
      </c>
      <c r="T252" s="19">
        <v>54865.430500000002</v>
      </c>
      <c r="U252" s="19">
        <v>39730.489800000003</v>
      </c>
      <c r="V252">
        <v>30.2</v>
      </c>
      <c r="W252" s="19">
        <v>90.430599999999998</v>
      </c>
      <c r="X252">
        <v>96</v>
      </c>
      <c r="Y252">
        <v>88</v>
      </c>
      <c r="Z252">
        <v>97</v>
      </c>
      <c r="AA252">
        <v>3.5</v>
      </c>
      <c r="AB252">
        <v>82</v>
      </c>
      <c r="AC252">
        <v>79.987799999999993</v>
      </c>
      <c r="AE252">
        <v>5</v>
      </c>
      <c r="AF252">
        <v>94.044899999999998</v>
      </c>
      <c r="AG252">
        <v>4.8</v>
      </c>
      <c r="AH252">
        <v>0.13</v>
      </c>
      <c r="AI252">
        <v>4.2</v>
      </c>
      <c r="AJ252">
        <v>3.8</v>
      </c>
      <c r="AK252">
        <v>4.5999999999999996</v>
      </c>
      <c r="AL252">
        <v>69.873000000000005</v>
      </c>
      <c r="AM252">
        <v>2.2999999999999998</v>
      </c>
      <c r="AN252">
        <v>130116</v>
      </c>
      <c r="AO252">
        <v>0</v>
      </c>
      <c r="AP252">
        <v>100</v>
      </c>
      <c r="AQ252">
        <v>99.224100000000007</v>
      </c>
      <c r="AR252">
        <v>99.881500000000003</v>
      </c>
      <c r="AS252">
        <v>90.991399999999999</v>
      </c>
      <c r="AT252">
        <v>98.021900000000002</v>
      </c>
      <c r="AU252">
        <v>16.201699999999999</v>
      </c>
      <c r="AV252" s="19">
        <v>73.459699999999998</v>
      </c>
      <c r="AW252">
        <v>0</v>
      </c>
      <c r="AZ252">
        <v>4</v>
      </c>
      <c r="BA252">
        <v>96.402500000000003</v>
      </c>
      <c r="BB252">
        <v>32.797400000000003</v>
      </c>
      <c r="BC252">
        <v>8.3985000000000003</v>
      </c>
      <c r="BD252" s="19">
        <v>4.1470000000000002</v>
      </c>
      <c r="BE252" s="19">
        <v>93.779899999999998</v>
      </c>
      <c r="BF252">
        <v>17.623799999999999</v>
      </c>
      <c r="BG252">
        <v>11.6</v>
      </c>
      <c r="BH252" s="20">
        <v>2.7302</v>
      </c>
      <c r="BI252" s="20">
        <v>4056.4238</v>
      </c>
      <c r="BJ252" s="19">
        <v>92.891000000000005</v>
      </c>
      <c r="BK252">
        <v>0.99429999999999996</v>
      </c>
      <c r="BL252">
        <v>0.96130000000000004</v>
      </c>
      <c r="BM252">
        <v>0.94830000000000003</v>
      </c>
      <c r="BN252">
        <v>9</v>
      </c>
      <c r="BO252">
        <v>8.4510000000000005</v>
      </c>
      <c r="BP252">
        <v>13.23</v>
      </c>
      <c r="BQ252" s="19">
        <v>96.471299999999999</v>
      </c>
      <c r="BR252">
        <v>83.754599999999996</v>
      </c>
      <c r="BS252" s="20">
        <v>7.0430000000000001</v>
      </c>
      <c r="BT252" s="20">
        <v>7.0430000000000001</v>
      </c>
      <c r="BU252" s="20">
        <v>10.416</v>
      </c>
      <c r="BV252" s="20">
        <v>10.435</v>
      </c>
      <c r="BW252" s="19">
        <v>92.417100000000005</v>
      </c>
      <c r="BX252">
        <v>15.23</v>
      </c>
      <c r="BY252" s="6">
        <v>134541690</v>
      </c>
      <c r="BZ252" s="5">
        <v>325439525</v>
      </c>
      <c r="CA252" s="7">
        <f t="shared" si="15"/>
        <v>2.4188749598730328</v>
      </c>
      <c r="CB252">
        <v>81776930</v>
      </c>
      <c r="CC252" s="8">
        <f t="shared" si="16"/>
        <v>3.9796006648818927</v>
      </c>
      <c r="CD252" s="8">
        <f t="shared" si="17"/>
        <v>1.6452279389798565</v>
      </c>
      <c r="CE252">
        <v>357569</v>
      </c>
      <c r="CF252" s="8">
        <f t="shared" si="18"/>
        <v>376.26776929767402</v>
      </c>
      <c r="CG252" s="8">
        <f t="shared" si="19"/>
        <v>910.1446853614267</v>
      </c>
      <c r="CH252">
        <v>98.963890000000006</v>
      </c>
    </row>
    <row r="253" spans="1:86" ht="15.5" x14ac:dyDescent="0.35">
      <c r="A253" t="s">
        <v>96</v>
      </c>
      <c r="B253">
        <v>2011</v>
      </c>
      <c r="C253" s="2">
        <v>51.746200000000002</v>
      </c>
      <c r="D253">
        <v>1024532</v>
      </c>
      <c r="E253">
        <v>0.1694</v>
      </c>
      <c r="F253">
        <v>9.8231000000000002</v>
      </c>
      <c r="G253">
        <v>922000</v>
      </c>
      <c r="H253">
        <v>13</v>
      </c>
      <c r="I253" s="19">
        <v>94.95</v>
      </c>
      <c r="J253" s="19">
        <v>95.9</v>
      </c>
      <c r="K253" s="19">
        <v>4.6689999999999996</v>
      </c>
      <c r="L253" s="19">
        <v>93.364900000000006</v>
      </c>
      <c r="M253" s="19">
        <v>240525000000</v>
      </c>
      <c r="N253" s="19">
        <v>111.143</v>
      </c>
      <c r="O253">
        <v>24.768999999999998</v>
      </c>
      <c r="P253">
        <v>33.709899999999998</v>
      </c>
      <c r="Q253" s="19">
        <v>47637.891000000003</v>
      </c>
      <c r="R253" s="19">
        <v>40712.657700000003</v>
      </c>
      <c r="S253" s="19">
        <v>5.6993</v>
      </c>
      <c r="T253" s="19">
        <v>57992.366800000003</v>
      </c>
      <c r="U253" s="19">
        <v>43398.344400000002</v>
      </c>
      <c r="V253">
        <v>30.6</v>
      </c>
      <c r="W253" s="19">
        <v>90.9953</v>
      </c>
      <c r="X253">
        <v>95</v>
      </c>
      <c r="Y253">
        <v>87</v>
      </c>
      <c r="Z253">
        <v>97</v>
      </c>
      <c r="AA253">
        <v>3.4</v>
      </c>
      <c r="AB253">
        <v>81.3</v>
      </c>
      <c r="AC253">
        <v>80.436599999999999</v>
      </c>
      <c r="AE253">
        <v>5</v>
      </c>
      <c r="AF253">
        <v>94.216099999999997</v>
      </c>
      <c r="AG253">
        <v>5.3</v>
      </c>
      <c r="AH253">
        <v>0.12</v>
      </c>
      <c r="AI253">
        <v>4.0999999999999996</v>
      </c>
      <c r="AJ253">
        <v>3.7</v>
      </c>
      <c r="AK253">
        <v>4.5</v>
      </c>
      <c r="AL253">
        <v>69.807599999999994</v>
      </c>
      <c r="AM253">
        <v>2.2999999999999998</v>
      </c>
      <c r="AN253">
        <v>295282</v>
      </c>
      <c r="AO253">
        <v>0</v>
      </c>
      <c r="AP253">
        <v>100</v>
      </c>
      <c r="AQ253">
        <v>99.224699999999999</v>
      </c>
      <c r="AR253">
        <v>99.884699999999995</v>
      </c>
      <c r="AS253">
        <v>91.041600000000003</v>
      </c>
      <c r="AT253">
        <v>98.078199999999995</v>
      </c>
      <c r="AU253">
        <v>15.716200000000001</v>
      </c>
      <c r="AV253" s="19">
        <v>71.563999999999993</v>
      </c>
      <c r="AW253">
        <v>0</v>
      </c>
      <c r="AZ253">
        <v>4</v>
      </c>
      <c r="BA253">
        <v>96.471100000000007</v>
      </c>
      <c r="BB253">
        <v>32.903199999999998</v>
      </c>
      <c r="BC253">
        <v>8.1282999999999994</v>
      </c>
      <c r="BD253" s="19">
        <v>3.7639999999999998</v>
      </c>
      <c r="BE253" s="19">
        <v>92.891000000000005</v>
      </c>
      <c r="BF253">
        <v>21.183</v>
      </c>
      <c r="BG253">
        <v>12.5</v>
      </c>
      <c r="BH253" s="20">
        <v>2.8056000000000001</v>
      </c>
      <c r="BI253" s="20">
        <v>4191.5176000000001</v>
      </c>
      <c r="BJ253" s="19">
        <v>92.018799999999999</v>
      </c>
      <c r="BK253">
        <v>0.99329999999999996</v>
      </c>
      <c r="BL253">
        <v>0.96</v>
      </c>
      <c r="BM253">
        <v>0.94710000000000005</v>
      </c>
      <c r="BN253">
        <v>9</v>
      </c>
      <c r="BO253">
        <v>8.1560000000000006</v>
      </c>
      <c r="BP253">
        <v>13.24</v>
      </c>
      <c r="BQ253" s="19">
        <v>93.584900000000005</v>
      </c>
      <c r="BR253">
        <v>86.239599999999996</v>
      </c>
      <c r="BS253" s="20">
        <v>5.9669999999999996</v>
      </c>
      <c r="BT253" s="20">
        <v>5.9669999999999996</v>
      </c>
      <c r="BU253" s="20">
        <v>8.9269999999999996</v>
      </c>
      <c r="BV253" s="20">
        <v>8.9429999999999996</v>
      </c>
      <c r="BW253" s="19">
        <v>93.427199999999999</v>
      </c>
      <c r="BX253">
        <v>16.149999999999999</v>
      </c>
      <c r="BY253" s="6">
        <v>141740709</v>
      </c>
      <c r="BZ253" s="5">
        <v>339021466</v>
      </c>
      <c r="CA253" s="7">
        <f t="shared" si="15"/>
        <v>2.3918426004204623</v>
      </c>
      <c r="CB253">
        <v>80274983</v>
      </c>
      <c r="CC253" s="8">
        <f t="shared" si="16"/>
        <v>4.2232517943977639</v>
      </c>
      <c r="CD253" s="8">
        <f t="shared" si="17"/>
        <v>1.7656896794359958</v>
      </c>
      <c r="CE253">
        <v>357569</v>
      </c>
      <c r="CF253" s="8">
        <f t="shared" si="18"/>
        <v>396.40099952736392</v>
      </c>
      <c r="CG253" s="8">
        <f t="shared" si="19"/>
        <v>948.12879751880052</v>
      </c>
      <c r="CH253">
        <v>98.488060000000004</v>
      </c>
    </row>
    <row r="254" spans="1:86" ht="15.5" x14ac:dyDescent="0.35">
      <c r="A254" s="9" t="s">
        <v>96</v>
      </c>
      <c r="B254" s="9">
        <v>2012</v>
      </c>
      <c r="C254" s="10">
        <v>51.580500000000001</v>
      </c>
      <c r="D254" s="9">
        <v>1023721</v>
      </c>
      <c r="E254" s="9">
        <v>0.1711</v>
      </c>
      <c r="F254" s="9">
        <v>9.9527999999999999</v>
      </c>
      <c r="G254" s="9">
        <v>926000</v>
      </c>
      <c r="H254" s="9">
        <v>13</v>
      </c>
      <c r="I254" s="21">
        <v>97</v>
      </c>
      <c r="J254" s="21">
        <v>97.9</v>
      </c>
      <c r="K254" s="21">
        <v>3.8420000000000001</v>
      </c>
      <c r="L254" s="21">
        <v>94.312799999999996</v>
      </c>
      <c r="M254" s="21">
        <v>258762999999.99997</v>
      </c>
      <c r="N254" s="21">
        <v>105.6482</v>
      </c>
      <c r="O254" s="9">
        <v>27.349</v>
      </c>
      <c r="P254" s="9">
        <v>34.5501</v>
      </c>
      <c r="Q254" s="21">
        <v>44763.54</v>
      </c>
      <c r="R254" s="21">
        <v>40829.034899999999</v>
      </c>
      <c r="S254" s="21">
        <v>0.28589999999999999</v>
      </c>
      <c r="T254" s="21">
        <v>58158.137999999999</v>
      </c>
      <c r="U254" s="21">
        <v>44229.394200000002</v>
      </c>
      <c r="V254" s="9">
        <v>31.1</v>
      </c>
      <c r="W254" s="21">
        <v>91.943100000000001</v>
      </c>
      <c r="X254" s="9">
        <v>95</v>
      </c>
      <c r="Y254" s="9">
        <v>87</v>
      </c>
      <c r="Z254" s="9">
        <v>97</v>
      </c>
      <c r="AA254" s="9">
        <v>3.4</v>
      </c>
      <c r="AB254" s="9">
        <v>82.4</v>
      </c>
      <c r="AC254" s="9">
        <v>80.539000000000001</v>
      </c>
      <c r="AD254" s="9"/>
      <c r="AE254" s="9">
        <v>5</v>
      </c>
      <c r="AF254" s="9">
        <v>94.346199999999996</v>
      </c>
      <c r="AG254" s="9">
        <v>4.7</v>
      </c>
      <c r="AH254" s="9">
        <v>0.16</v>
      </c>
      <c r="AI254" s="9">
        <v>4</v>
      </c>
      <c r="AJ254" s="9">
        <v>3.7</v>
      </c>
      <c r="AK254" s="9">
        <v>4.4000000000000004</v>
      </c>
      <c r="AL254" s="9">
        <v>69.912599999999998</v>
      </c>
      <c r="AM254" s="9">
        <v>2.2999999999999998</v>
      </c>
      <c r="AN254" s="9">
        <v>199143</v>
      </c>
      <c r="AO254" s="9">
        <v>0</v>
      </c>
      <c r="AP254" s="9">
        <v>100</v>
      </c>
      <c r="AQ254" s="9">
        <v>99.224800000000002</v>
      </c>
      <c r="AR254" s="9">
        <v>99.887699999999995</v>
      </c>
      <c r="AS254" s="9">
        <v>91.091899999999995</v>
      </c>
      <c r="AT254" s="9">
        <v>98.134500000000003</v>
      </c>
      <c r="AU254" s="9">
        <v>13.9079</v>
      </c>
      <c r="AV254" s="21">
        <v>71.09</v>
      </c>
      <c r="AW254" s="9">
        <v>0</v>
      </c>
      <c r="AX254" s="9"/>
      <c r="AY254" s="9"/>
      <c r="AZ254" s="9">
        <v>4</v>
      </c>
      <c r="BA254" s="9">
        <v>96.526600000000002</v>
      </c>
      <c r="BB254" s="9">
        <v>32.903199999999998</v>
      </c>
      <c r="BC254" s="9">
        <v>8.1876999999999995</v>
      </c>
      <c r="BD254" s="21">
        <v>0.46899999999999997</v>
      </c>
      <c r="BE254" s="21">
        <v>91.943100000000001</v>
      </c>
      <c r="BF254" s="9">
        <v>23.7361</v>
      </c>
      <c r="BG254" s="9">
        <v>13.6</v>
      </c>
      <c r="BH254" s="22">
        <v>2.8816999999999999</v>
      </c>
      <c r="BI254" s="22">
        <v>4355.5668999999998</v>
      </c>
      <c r="BJ254" s="21">
        <v>92.018799999999999</v>
      </c>
      <c r="BK254" s="9">
        <v>0.99739999999999995</v>
      </c>
      <c r="BL254" s="9">
        <v>0.96140000000000003</v>
      </c>
      <c r="BM254" s="9">
        <v>0.94740000000000002</v>
      </c>
      <c r="BN254" s="9">
        <v>9</v>
      </c>
      <c r="BO254" s="9">
        <v>7.2309999999999999</v>
      </c>
      <c r="BP254" s="9">
        <v>12.92</v>
      </c>
      <c r="BQ254" s="21">
        <v>92.866600000000005</v>
      </c>
      <c r="BR254" s="9">
        <v>87.194100000000006</v>
      </c>
      <c r="BS254" s="22">
        <v>5.3719999999999999</v>
      </c>
      <c r="BT254" s="22">
        <v>5.3719999999999999</v>
      </c>
      <c r="BU254" s="22">
        <v>8.1189999999999998</v>
      </c>
      <c r="BV254" s="22">
        <v>8.1289999999999996</v>
      </c>
      <c r="BW254" s="21">
        <v>93.427199999999999</v>
      </c>
      <c r="BX254" s="9">
        <v>17.510000000000002</v>
      </c>
      <c r="BY254" s="14">
        <v>147000783</v>
      </c>
      <c r="BZ254" s="5">
        <v>350349425</v>
      </c>
      <c r="CA254" s="7">
        <f t="shared" si="15"/>
        <v>2.3833167269592028</v>
      </c>
      <c r="CB254">
        <v>80425823</v>
      </c>
      <c r="CC254" s="8">
        <f t="shared" si="16"/>
        <v>4.356180787854667</v>
      </c>
      <c r="CD254" s="8">
        <f t="shared" si="17"/>
        <v>1.827780898182416</v>
      </c>
      <c r="CE254">
        <v>357569</v>
      </c>
      <c r="CF254" s="8">
        <f t="shared" si="18"/>
        <v>411.11165397447763</v>
      </c>
      <c r="CG254" s="8">
        <f t="shared" si="19"/>
        <v>979.80928156523635</v>
      </c>
      <c r="CH254" s="9">
        <v>98.066209999999998</v>
      </c>
    </row>
    <row r="255" spans="1:86" ht="15.5" x14ac:dyDescent="0.35">
      <c r="A255" t="s">
        <v>96</v>
      </c>
      <c r="B255">
        <v>2013</v>
      </c>
      <c r="C255" s="2">
        <v>51.619700000000002</v>
      </c>
      <c r="D255">
        <v>1035201</v>
      </c>
      <c r="E255">
        <v>0.17430000000000001</v>
      </c>
      <c r="F255">
        <v>10.146599999999999</v>
      </c>
      <c r="G255">
        <v>942000</v>
      </c>
      <c r="H255">
        <v>13</v>
      </c>
      <c r="I255" s="19">
        <v>98.558000000000007</v>
      </c>
      <c r="J255" s="19">
        <v>99.2</v>
      </c>
      <c r="K255" s="19">
        <v>3.1909999999999998</v>
      </c>
      <c r="L255" s="19">
        <v>94.312799999999996</v>
      </c>
      <c r="M255" s="19">
        <v>255462000000</v>
      </c>
      <c r="N255" s="19">
        <v>108.95189999999999</v>
      </c>
      <c r="O255">
        <v>27.574999999999999</v>
      </c>
      <c r="P255">
        <v>35.342300000000002</v>
      </c>
      <c r="Q255" s="19">
        <v>47220.321000000004</v>
      </c>
      <c r="R255" s="19">
        <v>40875.026299999998</v>
      </c>
      <c r="S255" s="19">
        <v>0.11260000000000001</v>
      </c>
      <c r="T255" s="19">
        <v>58223.6495</v>
      </c>
      <c r="U255" s="19">
        <v>45889.0173</v>
      </c>
      <c r="V255">
        <v>31.5</v>
      </c>
      <c r="W255" s="19">
        <v>90.521299999999997</v>
      </c>
      <c r="X255">
        <v>93</v>
      </c>
      <c r="Y255">
        <v>87</v>
      </c>
      <c r="Z255">
        <v>97</v>
      </c>
      <c r="AA255">
        <v>3.3</v>
      </c>
      <c r="AB255">
        <v>84.2</v>
      </c>
      <c r="AC255">
        <v>80.490200000000002</v>
      </c>
      <c r="AE255">
        <v>5</v>
      </c>
      <c r="AF255">
        <v>94.411799999999999</v>
      </c>
      <c r="AG255">
        <v>4.4000000000000004</v>
      </c>
      <c r="AH255">
        <v>0.16</v>
      </c>
      <c r="AI255">
        <v>4</v>
      </c>
      <c r="AJ255">
        <v>3.6</v>
      </c>
      <c r="AK255">
        <v>4.3</v>
      </c>
      <c r="AL255">
        <v>70.283699999999996</v>
      </c>
      <c r="AM255">
        <v>2.2999999999999998</v>
      </c>
      <c r="AN255">
        <v>462384</v>
      </c>
      <c r="AO255">
        <v>0</v>
      </c>
      <c r="AP255">
        <v>100</v>
      </c>
      <c r="AQ255">
        <v>99.224800000000002</v>
      </c>
      <c r="AR255">
        <v>99.890699999999995</v>
      </c>
      <c r="AS255">
        <v>91.142099999999999</v>
      </c>
      <c r="AT255">
        <v>98.190700000000007</v>
      </c>
      <c r="AU255">
        <v>13.663399999999999</v>
      </c>
      <c r="AV255" s="19">
        <v>76.303299999999993</v>
      </c>
      <c r="AW255">
        <v>0</v>
      </c>
      <c r="AY255">
        <v>6</v>
      </c>
      <c r="AZ255">
        <v>4</v>
      </c>
      <c r="BA255">
        <v>96.5822</v>
      </c>
      <c r="BB255">
        <v>36.450099999999999</v>
      </c>
      <c r="BC255">
        <v>8.4048999999999996</v>
      </c>
      <c r="BD255" s="19">
        <v>0.38600000000000001</v>
      </c>
      <c r="BE255" s="19">
        <v>92.417100000000005</v>
      </c>
      <c r="BF255">
        <v>24.757000000000001</v>
      </c>
      <c r="BG255">
        <v>13.6</v>
      </c>
      <c r="BH255" s="20">
        <v>2.8359999999999999</v>
      </c>
      <c r="BI255" s="20">
        <v>4380.3872000000001</v>
      </c>
      <c r="BJ255" s="19">
        <v>92.018799999999999</v>
      </c>
      <c r="BK255">
        <v>0.99460000000000004</v>
      </c>
      <c r="BL255">
        <v>0.96450000000000002</v>
      </c>
      <c r="BM255">
        <v>0.95279999999999998</v>
      </c>
      <c r="BN255">
        <v>9</v>
      </c>
      <c r="BO255">
        <v>6.41</v>
      </c>
      <c r="BP255">
        <v>13.48</v>
      </c>
      <c r="BQ255" s="19">
        <v>94.718000000000004</v>
      </c>
      <c r="BR255">
        <v>87.555800000000005</v>
      </c>
      <c r="BS255" s="20">
        <v>5.3159999999999998</v>
      </c>
      <c r="BT255" s="20">
        <v>5.3159999999999998</v>
      </c>
      <c r="BU255" s="20">
        <v>7.8250000000000002</v>
      </c>
      <c r="BV255" s="20">
        <v>7.8319999999999999</v>
      </c>
      <c r="BW255" s="19">
        <v>93.427199999999999</v>
      </c>
      <c r="BX255">
        <v>14.55</v>
      </c>
      <c r="BY255" s="6">
        <v>149395295</v>
      </c>
      <c r="BZ255" s="5">
        <v>354871005</v>
      </c>
      <c r="CA255" s="7">
        <f t="shared" si="15"/>
        <v>2.3753827387937485</v>
      </c>
      <c r="CB255">
        <v>80645605</v>
      </c>
      <c r="CC255" s="8">
        <f t="shared" si="16"/>
        <v>4.4003762511298659</v>
      </c>
      <c r="CD255" s="8">
        <f t="shared" si="17"/>
        <v>1.8524914655919562</v>
      </c>
      <c r="CE255">
        <v>357569</v>
      </c>
      <c r="CF255" s="8">
        <f t="shared" si="18"/>
        <v>417.80829713985275</v>
      </c>
      <c r="CG255" s="8">
        <f t="shared" si="19"/>
        <v>992.45461715081569</v>
      </c>
      <c r="CH255">
        <v>98.437250000000006</v>
      </c>
    </row>
    <row r="256" spans="1:86" ht="15.5" x14ac:dyDescent="0.35">
      <c r="A256" t="s">
        <v>96</v>
      </c>
      <c r="B256">
        <v>2014</v>
      </c>
      <c r="C256" s="2">
        <v>51.8322</v>
      </c>
      <c r="D256">
        <v>1007908</v>
      </c>
      <c r="E256">
        <v>0.16239999999999999</v>
      </c>
      <c r="F256">
        <v>9.6220999999999997</v>
      </c>
      <c r="G256">
        <v>903000</v>
      </c>
      <c r="H256">
        <v>13</v>
      </c>
      <c r="I256" s="19">
        <v>99.316999999999993</v>
      </c>
      <c r="J256" s="19">
        <v>99.4</v>
      </c>
      <c r="K256" s="19">
        <v>2.8130000000000002</v>
      </c>
      <c r="L256" s="19">
        <v>93.75</v>
      </c>
      <c r="M256" s="19">
        <v>286940000000</v>
      </c>
      <c r="N256" s="19">
        <v>112.6683</v>
      </c>
      <c r="O256">
        <v>27.661000000000001</v>
      </c>
      <c r="P256">
        <v>36.340899999999998</v>
      </c>
      <c r="Q256" s="19">
        <v>48983.25</v>
      </c>
      <c r="R256" s="19">
        <v>41588.076399999998</v>
      </c>
      <c r="S256" s="19">
        <v>1.7444999999999999</v>
      </c>
      <c r="T256" s="19">
        <v>59239.340100000001</v>
      </c>
      <c r="U256" s="19">
        <v>47938.796799999996</v>
      </c>
      <c r="V256">
        <v>30.8</v>
      </c>
      <c r="W256" s="19">
        <v>93.75</v>
      </c>
      <c r="X256">
        <v>93</v>
      </c>
      <c r="Y256">
        <v>87</v>
      </c>
      <c r="Z256">
        <v>97</v>
      </c>
      <c r="AA256">
        <v>3.3</v>
      </c>
      <c r="AB256">
        <v>86.2</v>
      </c>
      <c r="AC256">
        <v>81.090199999999996</v>
      </c>
      <c r="AE256">
        <v>5</v>
      </c>
      <c r="AF256">
        <v>94.512299999999996</v>
      </c>
      <c r="AG256">
        <v>4.3</v>
      </c>
      <c r="AH256">
        <v>0.15</v>
      </c>
      <c r="AI256">
        <v>4</v>
      </c>
      <c r="AJ256">
        <v>3.6</v>
      </c>
      <c r="AK256">
        <v>4.3</v>
      </c>
      <c r="AL256">
        <v>71.360600000000005</v>
      </c>
      <c r="AM256">
        <v>2.2999999999999998</v>
      </c>
      <c r="AN256">
        <v>592338</v>
      </c>
      <c r="AO256">
        <v>0</v>
      </c>
      <c r="AP256">
        <v>100</v>
      </c>
      <c r="AQ256">
        <v>99.224800000000002</v>
      </c>
      <c r="AR256">
        <v>99.893799999999999</v>
      </c>
      <c r="AS256">
        <v>91.192400000000006</v>
      </c>
      <c r="AT256">
        <v>98.247</v>
      </c>
      <c r="AU256">
        <v>12.2822</v>
      </c>
      <c r="AV256" s="19">
        <v>78.095200000000006</v>
      </c>
      <c r="AW256">
        <v>0</v>
      </c>
      <c r="AY256">
        <v>6</v>
      </c>
      <c r="AZ256">
        <v>4</v>
      </c>
      <c r="BA256">
        <v>96.637900000000002</v>
      </c>
      <c r="BB256">
        <v>36.450099999999999</v>
      </c>
      <c r="BC256">
        <v>8.4922000000000004</v>
      </c>
      <c r="BD256" s="19">
        <v>2.1720000000000002</v>
      </c>
      <c r="BE256" s="19">
        <v>94.230800000000002</v>
      </c>
      <c r="BF256">
        <v>26.820900000000002</v>
      </c>
      <c r="BG256">
        <v>14</v>
      </c>
      <c r="BH256" s="20">
        <v>2.8778000000000001</v>
      </c>
      <c r="BI256" s="20">
        <v>4336.0190000000002</v>
      </c>
      <c r="BJ256" s="19">
        <v>93.75</v>
      </c>
      <c r="BK256">
        <v>0.99650000000000005</v>
      </c>
      <c r="BL256">
        <v>0.96530000000000005</v>
      </c>
      <c r="BM256">
        <v>0.95309999999999995</v>
      </c>
      <c r="BN256">
        <v>9</v>
      </c>
      <c r="BO256">
        <v>6.3650000000000002</v>
      </c>
      <c r="BP256">
        <v>13.44</v>
      </c>
      <c r="BQ256" s="19">
        <v>97.151899999999998</v>
      </c>
      <c r="BR256">
        <v>87.9435</v>
      </c>
      <c r="BS256" s="20">
        <v>4.9790000000000001</v>
      </c>
      <c r="BT256" s="20">
        <v>4.9800000000000004</v>
      </c>
      <c r="BU256" s="20">
        <v>7.6120000000000001</v>
      </c>
      <c r="BV256" s="20">
        <v>7.6180000000000003</v>
      </c>
      <c r="BW256" s="19">
        <v>96.059100000000001</v>
      </c>
      <c r="BX256">
        <v>12.96</v>
      </c>
      <c r="BY256" s="6">
        <v>154927904</v>
      </c>
      <c r="BZ256" s="5">
        <v>366527398</v>
      </c>
      <c r="CA256" s="7">
        <f t="shared" si="15"/>
        <v>2.3657933047361177</v>
      </c>
      <c r="CB256">
        <v>80982500</v>
      </c>
      <c r="CC256" s="8">
        <f t="shared" si="16"/>
        <v>4.5260074460531596</v>
      </c>
      <c r="CD256" s="8">
        <f t="shared" si="17"/>
        <v>1.9131034976692496</v>
      </c>
      <c r="CE256">
        <v>357569</v>
      </c>
      <c r="CF256" s="8">
        <f t="shared" si="18"/>
        <v>433.28114014358067</v>
      </c>
      <c r="CG256" s="8">
        <f t="shared" si="19"/>
        <v>1025.0536204201146</v>
      </c>
      <c r="CH256">
        <v>99.301760000000002</v>
      </c>
    </row>
    <row r="257" spans="1:86" ht="15.5" x14ac:dyDescent="0.35">
      <c r="A257" t="s">
        <v>96</v>
      </c>
      <c r="B257">
        <v>2015</v>
      </c>
      <c r="C257" s="2">
        <v>52.122399999999999</v>
      </c>
      <c r="D257">
        <v>1013072</v>
      </c>
      <c r="E257">
        <v>0.16109999999999999</v>
      </c>
      <c r="F257">
        <v>9.6145999999999994</v>
      </c>
      <c r="G257">
        <v>907000</v>
      </c>
      <c r="H257">
        <v>13</v>
      </c>
      <c r="I257" s="19">
        <v>99.992000000000004</v>
      </c>
      <c r="J257" s="19">
        <v>99.6</v>
      </c>
      <c r="K257" s="19">
        <v>2.79</v>
      </c>
      <c r="L257" s="19">
        <v>93.333299999999994</v>
      </c>
      <c r="M257" s="19">
        <v>277504000000</v>
      </c>
      <c r="N257" s="19">
        <v>100</v>
      </c>
      <c r="O257">
        <v>27.63</v>
      </c>
      <c r="P257">
        <v>37.412700000000001</v>
      </c>
      <c r="Q257" s="19">
        <v>41914.927000000003</v>
      </c>
      <c r="R257" s="19">
        <v>41911.010999999999</v>
      </c>
      <c r="S257" s="19">
        <v>0.77649999999999997</v>
      </c>
      <c r="T257" s="19">
        <v>59699.338100000001</v>
      </c>
      <c r="U257" s="19">
        <v>48558.443299999999</v>
      </c>
      <c r="V257">
        <v>31.7</v>
      </c>
      <c r="W257" s="19">
        <v>92.857100000000003</v>
      </c>
      <c r="X257">
        <v>93</v>
      </c>
      <c r="Y257">
        <v>87</v>
      </c>
      <c r="Z257">
        <v>97</v>
      </c>
      <c r="AA257">
        <v>3.3</v>
      </c>
      <c r="AB257">
        <v>87.6</v>
      </c>
      <c r="AC257">
        <v>80.641499999999994</v>
      </c>
      <c r="AE257">
        <v>5</v>
      </c>
      <c r="AF257">
        <v>94.725499999999997</v>
      </c>
      <c r="AG257">
        <v>4.4000000000000004</v>
      </c>
      <c r="AH257">
        <v>0.16</v>
      </c>
      <c r="AI257">
        <v>3.9</v>
      </c>
      <c r="AJ257">
        <v>3.6</v>
      </c>
      <c r="AK257">
        <v>4.2</v>
      </c>
      <c r="AL257">
        <v>70.795000000000002</v>
      </c>
      <c r="AM257">
        <v>2.2999999999999998</v>
      </c>
      <c r="AN257">
        <v>1175283</v>
      </c>
      <c r="AO257">
        <v>0</v>
      </c>
      <c r="AP257">
        <v>100</v>
      </c>
      <c r="AQ257">
        <v>99.224900000000005</v>
      </c>
      <c r="AR257">
        <v>99.896799999999999</v>
      </c>
      <c r="AS257">
        <v>91.242699999999999</v>
      </c>
      <c r="AT257">
        <v>98.303299999999993</v>
      </c>
      <c r="AU257">
        <v>12.8254</v>
      </c>
      <c r="AV257" s="19">
        <v>68.095200000000006</v>
      </c>
      <c r="AW257">
        <v>0</v>
      </c>
      <c r="AY257">
        <v>6</v>
      </c>
      <c r="AZ257">
        <v>4</v>
      </c>
      <c r="BA257">
        <v>96.693399999999997</v>
      </c>
      <c r="BB257">
        <v>36.450099999999999</v>
      </c>
      <c r="BC257">
        <v>8.6133000000000006</v>
      </c>
      <c r="BD257" s="19">
        <v>1.6559999999999999</v>
      </c>
      <c r="BE257" s="19">
        <v>94.285700000000006</v>
      </c>
      <c r="BF257">
        <v>30.032900000000001</v>
      </c>
      <c r="BG257">
        <v>14.6</v>
      </c>
      <c r="BH257" s="20">
        <v>2.9338000000000002</v>
      </c>
      <c r="BI257" s="20">
        <v>4755.2954</v>
      </c>
      <c r="BJ257" s="19">
        <v>93.333299999999994</v>
      </c>
      <c r="BK257">
        <v>0.99870000000000003</v>
      </c>
      <c r="BL257">
        <v>0.96609999999999996</v>
      </c>
      <c r="BM257">
        <v>0.95320000000000005</v>
      </c>
      <c r="BN257">
        <v>9</v>
      </c>
      <c r="BO257">
        <v>6.2389999999999999</v>
      </c>
      <c r="BP257">
        <v>13.3</v>
      </c>
      <c r="BQ257" s="19">
        <v>100</v>
      </c>
      <c r="BR257">
        <v>88.804199999999994</v>
      </c>
      <c r="BS257" s="20">
        <v>4.6120000000000001</v>
      </c>
      <c r="BT257" s="20">
        <v>4.6120000000000001</v>
      </c>
      <c r="BU257" s="20">
        <v>7.3280000000000003</v>
      </c>
      <c r="BV257" s="20">
        <v>7.3410000000000002</v>
      </c>
      <c r="BW257" s="19">
        <v>95.566500000000005</v>
      </c>
      <c r="BX257">
        <v>13.55</v>
      </c>
      <c r="BY257" s="6">
        <v>160893747</v>
      </c>
      <c r="BZ257" s="5">
        <v>378048084</v>
      </c>
      <c r="CA257" s="7">
        <f t="shared" si="15"/>
        <v>2.3496754289649306</v>
      </c>
      <c r="CB257">
        <v>81686611</v>
      </c>
      <c r="CC257" s="8">
        <f t="shared" si="16"/>
        <v>4.6280299717661197</v>
      </c>
      <c r="CD257" s="8">
        <f t="shared" si="17"/>
        <v>1.9696464944542749</v>
      </c>
      <c r="CE257">
        <v>357569</v>
      </c>
      <c r="CF257" s="8">
        <f t="shared" si="18"/>
        <v>449.96559265484422</v>
      </c>
      <c r="CG257" s="8">
        <f t="shared" si="19"/>
        <v>1057.2730969407303</v>
      </c>
      <c r="CH257">
        <v>100</v>
      </c>
    </row>
    <row r="258" spans="1:86" ht="15.5" x14ac:dyDescent="0.35">
      <c r="A258" t="s">
        <v>96</v>
      </c>
      <c r="B258">
        <v>2016</v>
      </c>
      <c r="C258" s="2">
        <v>52.582000000000001</v>
      </c>
      <c r="D258">
        <v>1035961</v>
      </c>
      <c r="E258">
        <v>0.1583</v>
      </c>
      <c r="F258">
        <v>9.5899000000000001</v>
      </c>
      <c r="G258">
        <v>907000</v>
      </c>
      <c r="H258">
        <v>13</v>
      </c>
      <c r="I258" s="19">
        <v>100.358</v>
      </c>
      <c r="J258" s="19">
        <v>101.3</v>
      </c>
      <c r="K258" s="19">
        <v>2.9319999999999999</v>
      </c>
      <c r="L258" s="19">
        <v>93.8095</v>
      </c>
      <c r="M258" s="19">
        <v>315006000000</v>
      </c>
      <c r="N258" s="19">
        <v>100.61450000000001</v>
      </c>
      <c r="O258">
        <v>28.428999999999998</v>
      </c>
      <c r="P258">
        <v>38.499099999999999</v>
      </c>
      <c r="Q258" s="19">
        <v>42949.139000000003</v>
      </c>
      <c r="R258" s="19">
        <v>42528.063699999999</v>
      </c>
      <c r="S258" s="19">
        <v>1.4722999999999999</v>
      </c>
      <c r="T258" s="19">
        <v>60578.287100000001</v>
      </c>
      <c r="U258" s="19">
        <v>51569.901700000002</v>
      </c>
      <c r="V258">
        <v>31.4</v>
      </c>
      <c r="W258" s="19">
        <v>93.333299999999994</v>
      </c>
      <c r="X258">
        <v>91</v>
      </c>
      <c r="Y258">
        <v>88</v>
      </c>
      <c r="Z258">
        <v>97</v>
      </c>
      <c r="AA258">
        <v>3.3</v>
      </c>
      <c r="AB258">
        <v>84.2</v>
      </c>
      <c r="AC258">
        <v>80.990200000000002</v>
      </c>
      <c r="AE258">
        <v>4</v>
      </c>
      <c r="AF258">
        <v>94.948300000000003</v>
      </c>
      <c r="AG258">
        <v>4</v>
      </c>
      <c r="AH258">
        <v>0.17</v>
      </c>
      <c r="AI258">
        <v>3.9</v>
      </c>
      <c r="AJ258">
        <v>3.6</v>
      </c>
      <c r="AK258">
        <v>4.2</v>
      </c>
      <c r="AL258">
        <v>69.987300000000005</v>
      </c>
      <c r="AM258">
        <v>2.2999999999999998</v>
      </c>
      <c r="AN258">
        <v>517480</v>
      </c>
      <c r="AO258">
        <v>0</v>
      </c>
      <c r="AP258">
        <v>100</v>
      </c>
      <c r="AQ258">
        <v>99.224900000000005</v>
      </c>
      <c r="AR258">
        <v>99.899799999999999</v>
      </c>
      <c r="AS258">
        <v>91.292900000000003</v>
      </c>
      <c r="AT258">
        <v>98.359499999999997</v>
      </c>
      <c r="AU258">
        <v>11.7807</v>
      </c>
      <c r="AV258" s="19">
        <v>68.571399999999997</v>
      </c>
      <c r="AW258">
        <v>0</v>
      </c>
      <c r="AY258">
        <v>6</v>
      </c>
      <c r="AZ258">
        <v>4</v>
      </c>
      <c r="BA258">
        <v>96.75</v>
      </c>
      <c r="BB258">
        <v>36.450099999999999</v>
      </c>
      <c r="BC258">
        <v>8.6910000000000007</v>
      </c>
      <c r="BD258" s="19">
        <v>2.2890000000000001</v>
      </c>
      <c r="BE258" s="19">
        <v>96.666700000000006</v>
      </c>
      <c r="BF258">
        <v>30.019300000000001</v>
      </c>
      <c r="BG258">
        <v>14.2</v>
      </c>
      <c r="BH258" s="20">
        <v>2.9403999999999999</v>
      </c>
      <c r="BI258" s="20">
        <v>4839.8467000000001</v>
      </c>
      <c r="BJ258" s="19">
        <v>91.904799999999994</v>
      </c>
      <c r="BK258">
        <v>1.0003</v>
      </c>
      <c r="BL258">
        <v>0.9637</v>
      </c>
      <c r="BM258">
        <v>0.94910000000000005</v>
      </c>
      <c r="BN258">
        <v>9</v>
      </c>
      <c r="BO258">
        <v>6.7009999999999996</v>
      </c>
      <c r="BP258">
        <v>12.99</v>
      </c>
      <c r="BQ258" s="19">
        <v>102.30070000000001</v>
      </c>
      <c r="BR258">
        <v>89.600999999999999</v>
      </c>
      <c r="BS258" s="20">
        <v>4.1040000000000001</v>
      </c>
      <c r="BT258" s="20">
        <v>4.1040000000000001</v>
      </c>
      <c r="BU258" s="20">
        <v>7.0789999999999997</v>
      </c>
      <c r="BV258" s="20">
        <v>7.093</v>
      </c>
      <c r="BW258" s="19">
        <v>95.073899999999995</v>
      </c>
      <c r="BX258">
        <v>11.8</v>
      </c>
      <c r="BY258" s="6">
        <v>165623773</v>
      </c>
      <c r="BZ258" s="5">
        <v>388851871</v>
      </c>
      <c r="CA258" s="7">
        <f t="shared" si="15"/>
        <v>2.3478022747374556</v>
      </c>
      <c r="CB258">
        <v>82348669</v>
      </c>
      <c r="CC258" s="8">
        <f t="shared" si="16"/>
        <v>4.7220176806986398</v>
      </c>
      <c r="CD258" s="8">
        <f t="shared" si="17"/>
        <v>2.0112501514748224</v>
      </c>
      <c r="CE258">
        <v>357569</v>
      </c>
      <c r="CF258" s="8">
        <f t="shared" si="18"/>
        <v>463.19388146064114</v>
      </c>
      <c r="CG258" s="8">
        <f t="shared" si="19"/>
        <v>1087.4876485377647</v>
      </c>
      <c r="CH258">
        <v>100.38276999999999</v>
      </c>
    </row>
    <row r="259" spans="1:86" ht="15.5" x14ac:dyDescent="0.35">
      <c r="A259" t="s">
        <v>96</v>
      </c>
      <c r="B259">
        <v>2017</v>
      </c>
      <c r="C259" s="2">
        <v>53.258299999999998</v>
      </c>
      <c r="D259">
        <v>1047781</v>
      </c>
      <c r="E259">
        <v>0.1512</v>
      </c>
      <c r="F259">
        <v>9.3755000000000006</v>
      </c>
      <c r="G259">
        <v>907000</v>
      </c>
      <c r="H259">
        <v>13</v>
      </c>
      <c r="I259" s="19">
        <v>102.06699999999999</v>
      </c>
      <c r="J259" s="19">
        <v>102.9</v>
      </c>
      <c r="K259" s="19">
        <v>3.3260000000000001</v>
      </c>
      <c r="L259" s="19">
        <v>94.761899999999997</v>
      </c>
      <c r="M259" s="19">
        <v>303471000000</v>
      </c>
      <c r="N259" s="19">
        <v>109.19799999999999</v>
      </c>
      <c r="O259">
        <v>28.106999999999999</v>
      </c>
      <c r="P259">
        <v>39.988799999999998</v>
      </c>
      <c r="Q259" s="19">
        <v>45510.535000000003</v>
      </c>
      <c r="R259" s="19">
        <v>43520.186399999999</v>
      </c>
      <c r="S259" s="19">
        <v>2.3329</v>
      </c>
      <c r="T259" s="19">
        <v>61991.497300000003</v>
      </c>
      <c r="U259" s="19">
        <v>54110.253700000001</v>
      </c>
      <c r="V259">
        <v>31.3</v>
      </c>
      <c r="W259" s="19">
        <v>93.333299999999994</v>
      </c>
      <c r="X259">
        <v>91</v>
      </c>
      <c r="Y259">
        <v>88</v>
      </c>
      <c r="Z259">
        <v>97</v>
      </c>
      <c r="AA259">
        <v>3.2</v>
      </c>
      <c r="AB259">
        <v>84.4</v>
      </c>
      <c r="AC259">
        <v>80.992699999999999</v>
      </c>
      <c r="AE259">
        <v>4</v>
      </c>
      <c r="AF259">
        <v>94.854600000000005</v>
      </c>
      <c r="AG259">
        <v>4</v>
      </c>
      <c r="AH259">
        <v>0.28999999999999998</v>
      </c>
      <c r="AI259">
        <v>3.8</v>
      </c>
      <c r="AJ259">
        <v>3.5</v>
      </c>
      <c r="AK259">
        <v>4.0999999999999996</v>
      </c>
      <c r="AL259">
        <v>69.864000000000004</v>
      </c>
      <c r="AM259">
        <v>2.2999999999999998</v>
      </c>
      <c r="AN259">
        <v>452988</v>
      </c>
      <c r="AO259">
        <v>0</v>
      </c>
      <c r="AP259">
        <v>100</v>
      </c>
      <c r="AQ259">
        <v>99.224999999999994</v>
      </c>
      <c r="AR259">
        <v>99.902900000000002</v>
      </c>
      <c r="AS259">
        <v>91.343199999999996</v>
      </c>
      <c r="AT259">
        <v>98.415800000000004</v>
      </c>
      <c r="AU259">
        <v>11.8978</v>
      </c>
      <c r="AV259" s="19">
        <v>65.238100000000003</v>
      </c>
      <c r="AW259">
        <v>0.2</v>
      </c>
      <c r="AY259">
        <v>6</v>
      </c>
      <c r="AZ259">
        <v>4</v>
      </c>
      <c r="BA259">
        <v>96.807599999999994</v>
      </c>
      <c r="BB259">
        <v>30.747499999999999</v>
      </c>
      <c r="BC259">
        <v>8.7969000000000008</v>
      </c>
      <c r="BD259" s="19">
        <v>2.7130000000000001</v>
      </c>
      <c r="BE259" s="19">
        <v>95.238100000000003</v>
      </c>
      <c r="BF259">
        <v>34.009500000000003</v>
      </c>
      <c r="BG259">
        <v>15.2</v>
      </c>
      <c r="BH259" s="20">
        <v>3.0470999999999999</v>
      </c>
      <c r="BI259" s="20">
        <v>5058.3954999999996</v>
      </c>
      <c r="BJ259" s="19">
        <v>91.428600000000003</v>
      </c>
      <c r="BK259">
        <v>1.0025999999999999</v>
      </c>
      <c r="BL259">
        <v>0.9577</v>
      </c>
      <c r="BM259">
        <v>0.93920000000000003</v>
      </c>
      <c r="BN259">
        <v>9</v>
      </c>
      <c r="BO259">
        <v>6.266</v>
      </c>
      <c r="BP259">
        <v>12.53</v>
      </c>
      <c r="BQ259" s="19">
        <v>100.2345</v>
      </c>
      <c r="BR259">
        <v>90.315700000000007</v>
      </c>
      <c r="BS259" s="20">
        <v>3.7810000000000001</v>
      </c>
      <c r="BT259" s="20">
        <v>3.7810000000000001</v>
      </c>
      <c r="BU259" s="20">
        <v>6.77</v>
      </c>
      <c r="BV259" s="20">
        <v>6.7859999999999996</v>
      </c>
      <c r="BW259" s="19">
        <v>95.566500000000005</v>
      </c>
      <c r="BX259">
        <v>10.35</v>
      </c>
      <c r="BY259" s="6">
        <v>172312123</v>
      </c>
      <c r="BZ259" s="5">
        <v>401163218</v>
      </c>
      <c r="CA259" s="7">
        <f t="shared" ref="CA259:CA322" si="20">BZ259/BY259</f>
        <v>2.3281195252872604</v>
      </c>
      <c r="CB259">
        <v>82657002</v>
      </c>
      <c r="CC259" s="8">
        <f t="shared" ref="CC259:CC322" si="21">BZ259/CB259</f>
        <v>4.8533482741123368</v>
      </c>
      <c r="CD259" s="8">
        <f t="shared" ref="CD259:CD322" si="22">BY259/CB259</f>
        <v>2.0846645635659518</v>
      </c>
      <c r="CE259">
        <v>357569</v>
      </c>
      <c r="CF259" s="8">
        <f t="shared" ref="CF259:CF322" si="23">BY259/CE259</f>
        <v>481.89894258171148</v>
      </c>
      <c r="CG259" s="8">
        <f t="shared" ref="CG259:CG322" si="24">BZ259/CE259</f>
        <v>1121.9183374397669</v>
      </c>
      <c r="CH259">
        <v>100.38030000000001</v>
      </c>
    </row>
    <row r="260" spans="1:86" ht="15.5" x14ac:dyDescent="0.35">
      <c r="A260" t="s">
        <v>96</v>
      </c>
      <c r="B260">
        <v>2018</v>
      </c>
      <c r="C260" s="2">
        <v>53.875500000000002</v>
      </c>
      <c r="D260">
        <v>1015072</v>
      </c>
      <c r="E260">
        <v>0.14419999999999999</v>
      </c>
      <c r="F260">
        <v>9.0128000000000004</v>
      </c>
      <c r="G260">
        <v>907000</v>
      </c>
      <c r="H260">
        <v>13</v>
      </c>
      <c r="I260" s="19">
        <v>104.042</v>
      </c>
      <c r="J260" s="19">
        <v>104.8</v>
      </c>
      <c r="K260" s="19">
        <v>3.5790000000000002</v>
      </c>
      <c r="L260" s="19">
        <v>95.714299999999994</v>
      </c>
      <c r="M260" s="19">
        <v>341672000000</v>
      </c>
      <c r="N260" s="19">
        <v>117.6694</v>
      </c>
      <c r="O260">
        <v>28.344000000000001</v>
      </c>
      <c r="P260">
        <v>40.9651</v>
      </c>
      <c r="Q260" s="19">
        <v>48897.188999999998</v>
      </c>
      <c r="R260" s="19">
        <v>43874.013099999996</v>
      </c>
      <c r="S260" s="19">
        <v>0.81299999999999994</v>
      </c>
      <c r="T260" s="19">
        <v>62495.498899999999</v>
      </c>
      <c r="U260" s="19">
        <v>56273.0406</v>
      </c>
      <c r="V260">
        <v>31.9</v>
      </c>
      <c r="W260" s="19">
        <v>91.428600000000003</v>
      </c>
      <c r="X260">
        <v>91</v>
      </c>
      <c r="Y260">
        <v>88</v>
      </c>
      <c r="Z260">
        <v>97</v>
      </c>
      <c r="AA260">
        <v>3.2</v>
      </c>
      <c r="AB260">
        <v>87</v>
      </c>
      <c r="AC260">
        <v>80.892700000000005</v>
      </c>
      <c r="AE260">
        <v>4</v>
      </c>
      <c r="AF260">
        <v>94.869399999999999</v>
      </c>
      <c r="AG260">
        <v>4.0999999999999996</v>
      </c>
      <c r="AH260">
        <v>0.31</v>
      </c>
      <c r="AI260">
        <v>3.8</v>
      </c>
      <c r="AJ260">
        <v>3.5</v>
      </c>
      <c r="AK260">
        <v>4.0999999999999996</v>
      </c>
      <c r="AL260">
        <v>69.872100000000003</v>
      </c>
      <c r="AM260">
        <v>2.2999999999999998</v>
      </c>
      <c r="AN260">
        <v>403908</v>
      </c>
      <c r="AO260">
        <v>0</v>
      </c>
      <c r="AP260">
        <v>100</v>
      </c>
      <c r="AQ260">
        <v>99.225200000000001</v>
      </c>
      <c r="AR260">
        <v>99.906099999999995</v>
      </c>
      <c r="AS260">
        <v>91.3934</v>
      </c>
      <c r="AT260">
        <v>98.472099999999998</v>
      </c>
      <c r="AU260">
        <v>11.6526</v>
      </c>
      <c r="AV260" s="19">
        <v>64.622600000000006</v>
      </c>
      <c r="AW260">
        <v>0</v>
      </c>
      <c r="AY260">
        <v>6</v>
      </c>
      <c r="AZ260">
        <v>4</v>
      </c>
      <c r="BA260">
        <v>96.866100000000003</v>
      </c>
      <c r="BB260">
        <v>30.747499999999999</v>
      </c>
      <c r="BC260">
        <v>8.8732000000000006</v>
      </c>
      <c r="BD260" s="19">
        <v>1.1160000000000001</v>
      </c>
      <c r="BE260" s="19">
        <v>95.238100000000003</v>
      </c>
      <c r="BF260">
        <v>35.6372</v>
      </c>
      <c r="BG260">
        <v>16</v>
      </c>
      <c r="BH260" s="20">
        <v>3.1101000000000001</v>
      </c>
      <c r="BI260" s="20">
        <v>5209.2143999999998</v>
      </c>
      <c r="BJ260" s="19">
        <v>91.428600000000003</v>
      </c>
      <c r="BK260">
        <v>1.0072000000000001</v>
      </c>
      <c r="BL260">
        <v>0.96099999999999997</v>
      </c>
      <c r="BM260">
        <v>0.94159999999999999</v>
      </c>
      <c r="BN260">
        <v>9</v>
      </c>
      <c r="BO260">
        <v>6.0110000000000001</v>
      </c>
      <c r="BP260">
        <v>12.82</v>
      </c>
      <c r="BQ260" s="19">
        <v>99.133700000000005</v>
      </c>
      <c r="BR260">
        <v>91.221599999999995</v>
      </c>
      <c r="BS260" s="20">
        <v>3.3839999999999999</v>
      </c>
      <c r="BT260" s="20">
        <v>3.3839999999999999</v>
      </c>
      <c r="BU260" s="20">
        <v>6.22</v>
      </c>
      <c r="BV260" s="20">
        <v>6.2350000000000003</v>
      </c>
      <c r="BW260" s="19">
        <v>95.145600000000002</v>
      </c>
      <c r="BX260">
        <v>8.61</v>
      </c>
      <c r="BY260" s="6">
        <v>179242169</v>
      </c>
      <c r="BZ260" s="5">
        <v>419556284</v>
      </c>
      <c r="CA260" s="7">
        <f t="shared" si="20"/>
        <v>2.3407230917853936</v>
      </c>
      <c r="CB260">
        <v>82905782</v>
      </c>
      <c r="CC260" s="8">
        <f t="shared" si="21"/>
        <v>5.060639606535525</v>
      </c>
      <c r="CD260" s="8">
        <f t="shared" si="22"/>
        <v>2.1619984116427489</v>
      </c>
      <c r="CE260">
        <v>357569</v>
      </c>
      <c r="CF260" s="8">
        <f t="shared" si="23"/>
        <v>501.27994596847043</v>
      </c>
      <c r="CG260" s="8">
        <f t="shared" si="24"/>
        <v>1173.357544977333</v>
      </c>
      <c r="CH260">
        <v>100.85765000000001</v>
      </c>
    </row>
    <row r="261" spans="1:86" ht="15.5" x14ac:dyDescent="0.35">
      <c r="A261" t="s">
        <v>96</v>
      </c>
      <c r="B261">
        <v>2019</v>
      </c>
      <c r="C261" s="2">
        <v>54.537999999999997</v>
      </c>
      <c r="D261">
        <v>1001488</v>
      </c>
      <c r="E261">
        <v>0.13320000000000001</v>
      </c>
      <c r="F261">
        <v>8.3882999999999992</v>
      </c>
      <c r="G261">
        <v>907000</v>
      </c>
      <c r="H261">
        <v>13</v>
      </c>
      <c r="I261" s="19">
        <v>105.45</v>
      </c>
      <c r="J261" s="19">
        <v>106.233</v>
      </c>
      <c r="K261" s="19">
        <v>3.831</v>
      </c>
      <c r="L261" s="19">
        <v>95.238100000000003</v>
      </c>
      <c r="M261" s="19">
        <v>311782000000</v>
      </c>
      <c r="N261" s="19">
        <v>112.3062</v>
      </c>
      <c r="O261">
        <v>28.742000000000001</v>
      </c>
      <c r="P261">
        <v>42.115600000000001</v>
      </c>
      <c r="Q261" s="19">
        <v>47629.1</v>
      </c>
      <c r="R261" s="19">
        <v>44207.632100000003</v>
      </c>
      <c r="S261" s="19">
        <v>0.76039999999999996</v>
      </c>
      <c r="T261" s="19">
        <v>62970.716099999998</v>
      </c>
      <c r="U261" s="19">
        <v>59270.727599999998</v>
      </c>
      <c r="V261">
        <v>31.8</v>
      </c>
      <c r="W261" s="19">
        <v>91.904799999999994</v>
      </c>
      <c r="X261">
        <v>91</v>
      </c>
      <c r="Y261">
        <v>88</v>
      </c>
      <c r="Z261">
        <v>97</v>
      </c>
      <c r="AA261">
        <v>3.1</v>
      </c>
      <c r="AB261">
        <v>88.1</v>
      </c>
      <c r="AC261">
        <v>81.292699999999996</v>
      </c>
      <c r="AE261">
        <v>4</v>
      </c>
      <c r="AF261">
        <v>94.869399999999999</v>
      </c>
      <c r="AG261">
        <v>3.8</v>
      </c>
      <c r="AH261">
        <v>0.33</v>
      </c>
      <c r="AI261">
        <v>3.7</v>
      </c>
      <c r="AJ261">
        <v>3.4</v>
      </c>
      <c r="AK261">
        <v>4</v>
      </c>
      <c r="AL261">
        <v>69.684600000000003</v>
      </c>
      <c r="AM261">
        <v>2.2999999999999998</v>
      </c>
      <c r="AN261">
        <v>319082</v>
      </c>
      <c r="AO261">
        <v>0</v>
      </c>
      <c r="AP261">
        <v>100</v>
      </c>
      <c r="AQ261">
        <v>99.225399999999993</v>
      </c>
      <c r="AR261">
        <v>99.909300000000002</v>
      </c>
      <c r="AS261">
        <v>91.3934</v>
      </c>
      <c r="AT261">
        <v>98.472099999999998</v>
      </c>
      <c r="AU261">
        <v>10.6378</v>
      </c>
      <c r="AV261" s="19">
        <v>65.094300000000004</v>
      </c>
      <c r="AW261">
        <v>0.2</v>
      </c>
      <c r="AX261">
        <v>16.100000000000001</v>
      </c>
      <c r="AY261">
        <v>6</v>
      </c>
      <c r="AZ261">
        <v>4</v>
      </c>
      <c r="BA261">
        <v>96.870599999999996</v>
      </c>
      <c r="BB261">
        <v>30.8886</v>
      </c>
      <c r="BC261">
        <v>9.0442</v>
      </c>
      <c r="BD261" s="19">
        <v>0.99299999999999999</v>
      </c>
      <c r="BE261" s="19">
        <v>96.1905</v>
      </c>
      <c r="BF261">
        <v>40.577500000000001</v>
      </c>
      <c r="BG261">
        <v>17.100000000000001</v>
      </c>
      <c r="BH261" s="20">
        <v>3.1669999999999998</v>
      </c>
      <c r="BI261" s="20">
        <v>5398.6347999999998</v>
      </c>
      <c r="BJ261" s="19">
        <v>92.381</v>
      </c>
      <c r="BK261">
        <v>1.0084</v>
      </c>
      <c r="BL261">
        <v>0.96540000000000004</v>
      </c>
      <c r="BM261">
        <v>0.94710000000000005</v>
      </c>
      <c r="BN261">
        <v>9</v>
      </c>
      <c r="BO261">
        <v>5.6070000000000002</v>
      </c>
      <c r="BP261">
        <v>12.49</v>
      </c>
      <c r="BQ261" s="19">
        <v>100.199</v>
      </c>
      <c r="BR261">
        <v>92.062700000000007</v>
      </c>
      <c r="BS261" s="20">
        <v>3.1629999999999998</v>
      </c>
      <c r="BT261" s="20">
        <v>3.1629999999999998</v>
      </c>
      <c r="BU261" s="20">
        <v>5.859</v>
      </c>
      <c r="BV261" s="20">
        <v>5.8689999999999998</v>
      </c>
      <c r="BW261" s="19">
        <v>95.1691</v>
      </c>
      <c r="BX261">
        <v>8.52</v>
      </c>
      <c r="BY261" s="6">
        <v>185121042</v>
      </c>
      <c r="BZ261" s="5">
        <v>436954848</v>
      </c>
      <c r="CA261" s="7">
        <f t="shared" si="20"/>
        <v>2.3603737494087786</v>
      </c>
      <c r="CB261">
        <v>83092962</v>
      </c>
      <c r="CC261" s="8">
        <f t="shared" si="21"/>
        <v>5.2586264526230275</v>
      </c>
      <c r="CD261" s="8">
        <f t="shared" si="22"/>
        <v>2.2278787221473704</v>
      </c>
      <c r="CE261">
        <v>357569</v>
      </c>
      <c r="CF261" s="8">
        <f t="shared" si="23"/>
        <v>517.72117269673822</v>
      </c>
      <c r="CG261" s="8">
        <f t="shared" si="24"/>
        <v>1222.0154655465099</v>
      </c>
      <c r="CH261">
        <v>100.95164</v>
      </c>
    </row>
    <row r="262" spans="1:86" ht="15.5" x14ac:dyDescent="0.35">
      <c r="A262" t="s">
        <v>96</v>
      </c>
      <c r="B262">
        <v>2020</v>
      </c>
      <c r="C262" s="2">
        <v>55.295099999999998</v>
      </c>
      <c r="D262">
        <v>998641.4</v>
      </c>
      <c r="E262">
        <v>0.128</v>
      </c>
      <c r="F262">
        <v>7.7266000000000004</v>
      </c>
      <c r="G262">
        <v>907000</v>
      </c>
      <c r="H262">
        <v>13</v>
      </c>
      <c r="I262" s="19">
        <v>105.842</v>
      </c>
      <c r="J262" s="19">
        <v>105.6</v>
      </c>
      <c r="K262" s="19">
        <v>2.9140000000000001</v>
      </c>
      <c r="L262" s="19">
        <v>95.238100000000003</v>
      </c>
      <c r="M262" s="19">
        <v>248834000000</v>
      </c>
      <c r="N262" s="19">
        <v>104.24720000000001</v>
      </c>
      <c r="O262">
        <v>27.108000000000001</v>
      </c>
      <c r="P262">
        <v>43.304900000000004</v>
      </c>
      <c r="Q262" s="19">
        <v>47341.767999999996</v>
      </c>
      <c r="R262" s="19">
        <v>42362.647199999999</v>
      </c>
      <c r="S262" s="19">
        <v>-4.1734999999999998</v>
      </c>
      <c r="T262" s="19">
        <v>60342.662700000001</v>
      </c>
      <c r="U262" s="19">
        <v>58685.8727</v>
      </c>
      <c r="V262">
        <v>32.4</v>
      </c>
      <c r="W262" s="19">
        <v>88.095200000000006</v>
      </c>
      <c r="X262">
        <v>91</v>
      </c>
      <c r="Y262">
        <v>88</v>
      </c>
      <c r="Z262">
        <v>97</v>
      </c>
      <c r="AA262">
        <v>3.1</v>
      </c>
      <c r="AB262">
        <v>89.8</v>
      </c>
      <c r="AC262">
        <v>81.041499999999999</v>
      </c>
      <c r="AE262">
        <v>4</v>
      </c>
      <c r="AF262">
        <v>94.869399999999999</v>
      </c>
      <c r="AH262">
        <v>0.39</v>
      </c>
      <c r="AI262">
        <v>3.7</v>
      </c>
      <c r="AJ262">
        <v>3.4</v>
      </c>
      <c r="AK262">
        <v>4</v>
      </c>
      <c r="AL262">
        <v>69.507900000000006</v>
      </c>
      <c r="AM262">
        <v>2.2999999999999998</v>
      </c>
      <c r="AN262">
        <v>203468</v>
      </c>
      <c r="AO262">
        <v>0</v>
      </c>
      <c r="AP262">
        <v>100</v>
      </c>
      <c r="AQ262">
        <v>99.2256</v>
      </c>
      <c r="AR262">
        <v>99.912700000000001</v>
      </c>
      <c r="AS262">
        <v>91.3934</v>
      </c>
      <c r="AT262">
        <v>98.472099999999998</v>
      </c>
      <c r="AU262">
        <v>10.287699999999999</v>
      </c>
      <c r="AV262" s="19">
        <v>67.924499999999995</v>
      </c>
      <c r="AW262">
        <v>0.2</v>
      </c>
      <c r="AX262">
        <v>16</v>
      </c>
      <c r="AY262">
        <v>6</v>
      </c>
      <c r="AZ262">
        <v>4</v>
      </c>
      <c r="BA262">
        <v>96.876000000000005</v>
      </c>
      <c r="BB262">
        <v>31.1707</v>
      </c>
      <c r="BC262">
        <v>9.9880999999999993</v>
      </c>
      <c r="BD262" s="19">
        <v>-4.0999999999999996</v>
      </c>
      <c r="BE262" s="19">
        <v>93.333299999999994</v>
      </c>
      <c r="BF262">
        <v>44.839599999999997</v>
      </c>
      <c r="BG262">
        <v>18.5</v>
      </c>
      <c r="BH262" s="20">
        <v>3.1314000000000002</v>
      </c>
      <c r="BI262" s="20">
        <v>5390.0522000000001</v>
      </c>
      <c r="BJ262" s="19">
        <v>90.952399999999997</v>
      </c>
      <c r="BK262">
        <v>1.0078</v>
      </c>
      <c r="BL262">
        <v>0.97009999999999996</v>
      </c>
      <c r="BM262">
        <v>0.95379999999999998</v>
      </c>
      <c r="BN262">
        <v>9</v>
      </c>
      <c r="BO262">
        <v>7.2949999999999999</v>
      </c>
      <c r="BP262">
        <v>12.87</v>
      </c>
      <c r="BQ262" s="19">
        <v>101.898</v>
      </c>
      <c r="BR262">
        <v>92.062700000000007</v>
      </c>
      <c r="BS262" s="20">
        <v>3.8809999999999998</v>
      </c>
      <c r="BT262" s="20">
        <v>3.8809999999999998</v>
      </c>
      <c r="BU262" s="20">
        <v>7.8620000000000001</v>
      </c>
      <c r="BV262" s="20">
        <v>7.8639999999999999</v>
      </c>
      <c r="BW262" s="19">
        <v>94.2029</v>
      </c>
      <c r="BX262">
        <v>7.81</v>
      </c>
      <c r="BY262" s="6">
        <v>95102723</v>
      </c>
      <c r="BZ262" s="5">
        <v>260757872</v>
      </c>
      <c r="CA262" s="7">
        <f t="shared" si="20"/>
        <v>2.7418549519344468</v>
      </c>
      <c r="CB262">
        <v>83160871</v>
      </c>
      <c r="CC262" s="8">
        <f t="shared" si="21"/>
        <v>3.1355837049854851</v>
      </c>
      <c r="CD262" s="8">
        <f t="shared" si="22"/>
        <v>1.1435994098715008</v>
      </c>
      <c r="CE262">
        <v>357569</v>
      </c>
      <c r="CF262" s="8">
        <f t="shared" si="23"/>
        <v>265.97026867541649</v>
      </c>
      <c r="CG262" s="8">
        <f t="shared" si="24"/>
        <v>729.25189823502592</v>
      </c>
      <c r="CH262">
        <v>100.98594</v>
      </c>
    </row>
    <row r="263" spans="1:86" ht="15.5" x14ac:dyDescent="0.35">
      <c r="A263" t="s">
        <v>96</v>
      </c>
      <c r="B263">
        <v>2021</v>
      </c>
      <c r="C263" s="2">
        <v>56.231099999999998</v>
      </c>
      <c r="D263">
        <v>995286.1</v>
      </c>
      <c r="E263">
        <v>0.1303</v>
      </c>
      <c r="F263">
        <v>8.1471</v>
      </c>
      <c r="G263">
        <v>907000</v>
      </c>
      <c r="H263">
        <v>13</v>
      </c>
      <c r="I263" s="19">
        <v>109.242</v>
      </c>
      <c r="J263" s="19">
        <v>111.367</v>
      </c>
      <c r="K263" s="19">
        <v>6.2510000000000003</v>
      </c>
      <c r="L263" s="19">
        <v>95.714299999999994</v>
      </c>
      <c r="M263" s="19">
        <v>301097000000</v>
      </c>
      <c r="N263" s="19">
        <v>123.0526</v>
      </c>
      <c r="O263">
        <v>27.498000000000001</v>
      </c>
      <c r="P263">
        <v>44.064300000000003</v>
      </c>
      <c r="Q263" s="19">
        <v>52300.607000000004</v>
      </c>
      <c r="R263" s="19">
        <v>43898.7713</v>
      </c>
      <c r="S263" s="19">
        <v>3.6261000000000001</v>
      </c>
      <c r="T263" s="19">
        <v>62530.765299999999</v>
      </c>
      <c r="U263" s="19">
        <v>62530.765299999999</v>
      </c>
      <c r="W263" s="19">
        <v>87.142899999999997</v>
      </c>
      <c r="X263">
        <v>91</v>
      </c>
      <c r="Y263">
        <v>87</v>
      </c>
      <c r="Z263">
        <v>97</v>
      </c>
      <c r="AA263">
        <v>3.1</v>
      </c>
      <c r="AB263">
        <v>91.4</v>
      </c>
      <c r="AC263">
        <v>80.790199999999999</v>
      </c>
      <c r="AD263">
        <v>62.873600000000003</v>
      </c>
      <c r="AE263">
        <v>4</v>
      </c>
      <c r="AH263">
        <v>0.4</v>
      </c>
      <c r="AI263">
        <v>3.7</v>
      </c>
      <c r="AJ263">
        <v>3.4</v>
      </c>
      <c r="AK263">
        <v>3.9</v>
      </c>
      <c r="AL263">
        <v>69.732699999999994</v>
      </c>
      <c r="AM263">
        <v>2.2999999999999998</v>
      </c>
      <c r="AN263">
        <v>310264</v>
      </c>
      <c r="AO263">
        <v>0</v>
      </c>
      <c r="AP263">
        <v>100</v>
      </c>
      <c r="AQ263">
        <v>99.225899999999996</v>
      </c>
      <c r="AR263">
        <v>99.915999999999997</v>
      </c>
      <c r="AS263">
        <v>91.3934</v>
      </c>
      <c r="AT263">
        <v>98.472099999999998</v>
      </c>
      <c r="AV263" s="19">
        <v>69.811300000000003</v>
      </c>
      <c r="AX263">
        <v>14.8</v>
      </c>
      <c r="AY263">
        <v>6</v>
      </c>
      <c r="AZ263">
        <v>4</v>
      </c>
      <c r="BA263">
        <v>96.882499999999993</v>
      </c>
      <c r="BB263">
        <v>34.918500000000002</v>
      </c>
      <c r="BC263">
        <v>10.2033</v>
      </c>
      <c r="BD263" s="19">
        <v>3.67</v>
      </c>
      <c r="BE263" s="19">
        <v>94.761899999999997</v>
      </c>
      <c r="BF263">
        <v>39.830599999999997</v>
      </c>
      <c r="BG263">
        <v>17.600000000000001</v>
      </c>
      <c r="BH263" s="20">
        <v>3.1288</v>
      </c>
      <c r="BI263" s="20">
        <v>5520.5762000000004</v>
      </c>
      <c r="BJ263" s="19">
        <v>91.428600000000003</v>
      </c>
      <c r="BN263">
        <v>9</v>
      </c>
      <c r="BO263">
        <v>7.8680000000000003</v>
      </c>
      <c r="BP263">
        <v>12.9</v>
      </c>
      <c r="BQ263" s="19">
        <v>98.832099999999997</v>
      </c>
      <c r="BS263" s="20">
        <v>3.5939999999999999</v>
      </c>
      <c r="BT263" s="20">
        <v>3.5939999999999999</v>
      </c>
      <c r="BU263" s="20">
        <v>6.665</v>
      </c>
      <c r="BV263" s="20">
        <v>6.6619999999999999</v>
      </c>
      <c r="BW263" s="19">
        <v>95.652199999999993</v>
      </c>
      <c r="BX263">
        <v>8.1300000000000008</v>
      </c>
      <c r="BY263" s="6">
        <v>93774423</v>
      </c>
      <c r="BZ263" s="5">
        <v>266102654</v>
      </c>
      <c r="CA263" s="7">
        <f t="shared" si="20"/>
        <v>2.8376890572816427</v>
      </c>
      <c r="CB263">
        <v>83196078</v>
      </c>
      <c r="CC263" s="8">
        <f t="shared" si="21"/>
        <v>3.1984999821746407</v>
      </c>
      <c r="CD263" s="8">
        <f t="shared" si="22"/>
        <v>1.1271495634686048</v>
      </c>
      <c r="CE263">
        <v>357569</v>
      </c>
      <c r="CF263" s="8">
        <f t="shared" si="23"/>
        <v>262.25546118371557</v>
      </c>
      <c r="CG263" s="8">
        <f t="shared" si="24"/>
        <v>744.1994524133803</v>
      </c>
      <c r="CH263">
        <v>101.39790000000001</v>
      </c>
    </row>
    <row r="264" spans="1:86" ht="15.5" x14ac:dyDescent="0.35">
      <c r="A264" t="s">
        <v>96</v>
      </c>
      <c r="B264">
        <v>2022</v>
      </c>
      <c r="C264" s="2">
        <v>57.162100000000002</v>
      </c>
      <c r="E264">
        <v>0.12509999999999999</v>
      </c>
      <c r="F264">
        <v>7.8700999999999999</v>
      </c>
      <c r="H264">
        <v>13</v>
      </c>
      <c r="I264" s="19">
        <v>118.708</v>
      </c>
      <c r="J264" s="19">
        <v>123.4</v>
      </c>
      <c r="K264" s="19">
        <v>8.7970000000000006</v>
      </c>
      <c r="L264" s="19">
        <v>95.7547</v>
      </c>
      <c r="M264" s="19">
        <v>160228000000</v>
      </c>
      <c r="N264" s="19"/>
      <c r="O264">
        <v>26.542000000000002</v>
      </c>
      <c r="P264">
        <v>44.618600000000001</v>
      </c>
      <c r="Q264" s="19">
        <v>49725.343000000001</v>
      </c>
      <c r="R264" s="19">
        <v>44180.429799999998</v>
      </c>
      <c r="S264" s="19">
        <v>0.64159999999999995</v>
      </c>
      <c r="T264" s="19">
        <v>62931.968399999998</v>
      </c>
      <c r="U264" s="19">
        <v>67589.839900000006</v>
      </c>
      <c r="W264" s="19">
        <v>88.207599999999999</v>
      </c>
      <c r="X264">
        <v>91</v>
      </c>
      <c r="Y264">
        <v>87</v>
      </c>
      <c r="Z264">
        <v>97</v>
      </c>
      <c r="AA264">
        <v>3.1</v>
      </c>
      <c r="AB264">
        <v>91.6</v>
      </c>
      <c r="AC264">
        <v>80.608000000000004</v>
      </c>
      <c r="AD264">
        <v>61.613900000000001</v>
      </c>
      <c r="AE264">
        <v>4</v>
      </c>
      <c r="AI264">
        <v>3.7</v>
      </c>
      <c r="AJ264">
        <v>3.4</v>
      </c>
      <c r="AK264">
        <v>3.9</v>
      </c>
      <c r="AL264">
        <v>69.482500000000002</v>
      </c>
      <c r="AM264">
        <v>2.2999999999999998</v>
      </c>
      <c r="AN264">
        <v>981552</v>
      </c>
      <c r="AO264">
        <v>0</v>
      </c>
      <c r="AP264">
        <v>100</v>
      </c>
      <c r="AQ264">
        <v>99.226200000000006</v>
      </c>
      <c r="AR264">
        <v>99.916399999999996</v>
      </c>
      <c r="AS264">
        <v>91.3934</v>
      </c>
      <c r="AT264">
        <v>98.472099999999998</v>
      </c>
      <c r="AV264" s="19">
        <v>66.981099999999998</v>
      </c>
      <c r="AY264">
        <v>6</v>
      </c>
      <c r="AZ264">
        <v>4</v>
      </c>
      <c r="BA264">
        <v>96.889799999999994</v>
      </c>
      <c r="BB264">
        <v>34.918500000000002</v>
      </c>
      <c r="BC264">
        <v>10.125400000000001</v>
      </c>
      <c r="BD264" s="19">
        <v>1.367</v>
      </c>
      <c r="BE264" s="19">
        <v>92.452799999999996</v>
      </c>
      <c r="BG264" s="23">
        <v>20.814</v>
      </c>
      <c r="BH264" s="20">
        <v>3.1324000000000001</v>
      </c>
      <c r="BI264" s="20">
        <v>5787.4418999999998</v>
      </c>
      <c r="BJ264" s="19">
        <v>91.981099999999998</v>
      </c>
      <c r="BN264">
        <v>9</v>
      </c>
      <c r="BO264">
        <v>6.798</v>
      </c>
      <c r="BQ264" s="19"/>
      <c r="BS264" s="20">
        <v>3.12</v>
      </c>
      <c r="BT264" s="20">
        <v>3.12</v>
      </c>
      <c r="BU264" s="20">
        <v>6.04</v>
      </c>
      <c r="BV264" s="20">
        <v>6.0279999999999996</v>
      </c>
      <c r="BW264" s="19">
        <v>94.686000000000007</v>
      </c>
      <c r="BX264">
        <v>10.51</v>
      </c>
      <c r="BY264" s="6">
        <v>158539982</v>
      </c>
      <c r="BZ264" s="5">
        <v>400409055</v>
      </c>
      <c r="CA264" s="7">
        <f t="shared" si="20"/>
        <v>2.5256030053037346</v>
      </c>
      <c r="CB264">
        <v>83797985</v>
      </c>
      <c r="CC264" s="8">
        <f t="shared" si="21"/>
        <v>4.7782659093771764</v>
      </c>
      <c r="CD264" s="8">
        <f t="shared" si="22"/>
        <v>1.8919307188591707</v>
      </c>
      <c r="CE264">
        <v>357569</v>
      </c>
      <c r="CF264" s="8">
        <f t="shared" si="23"/>
        <v>443.38290511761369</v>
      </c>
      <c r="CG264" s="8">
        <f t="shared" si="24"/>
        <v>1119.8091976653457</v>
      </c>
      <c r="CH264">
        <v>100.93795</v>
      </c>
    </row>
    <row r="265" spans="1:86" ht="15.5" x14ac:dyDescent="0.35">
      <c r="A265" t="s">
        <v>96</v>
      </c>
      <c r="B265">
        <v>2023</v>
      </c>
      <c r="C265" s="26">
        <v>57.991900000000001</v>
      </c>
      <c r="E265">
        <v>0.1108</v>
      </c>
      <c r="F265">
        <v>6.9999000000000002</v>
      </c>
      <c r="H265">
        <v>13</v>
      </c>
      <c r="I265" s="19">
        <v>125.867</v>
      </c>
      <c r="J265" s="19">
        <v>127.06699999999999</v>
      </c>
      <c r="K265" s="19">
        <v>6.0270000000000001</v>
      </c>
      <c r="L265" s="19">
        <v>94.339600000000004</v>
      </c>
      <c r="M265" s="19">
        <v>251784000000</v>
      </c>
      <c r="N265" s="19"/>
      <c r="P265">
        <v>45.380499999999998</v>
      </c>
      <c r="Q265" s="19">
        <v>53565.040999999997</v>
      </c>
      <c r="R265" s="19">
        <v>44336.777499999997</v>
      </c>
      <c r="S265" s="19">
        <v>0.35389999999999999</v>
      </c>
      <c r="T265" s="19">
        <v>63154.674899999998</v>
      </c>
      <c r="U265" s="19">
        <v>69205.883100000006</v>
      </c>
      <c r="W265" s="19">
        <v>85.377399999999994</v>
      </c>
      <c r="X265">
        <v>91</v>
      </c>
      <c r="Y265">
        <v>87</v>
      </c>
      <c r="Z265">
        <v>97</v>
      </c>
      <c r="AA265">
        <v>3.1</v>
      </c>
      <c r="AB265">
        <v>92.5</v>
      </c>
      <c r="AC265">
        <v>80.541499999999999</v>
      </c>
      <c r="AE265">
        <v>4</v>
      </c>
      <c r="AI265">
        <v>3.7</v>
      </c>
      <c r="AJ265">
        <v>3.4</v>
      </c>
      <c r="AK265">
        <v>3.9</v>
      </c>
      <c r="AL265" s="24">
        <v>69.482500000000002</v>
      </c>
      <c r="AM265">
        <v>2.2999999999999998</v>
      </c>
      <c r="AN265">
        <v>609553</v>
      </c>
      <c r="AV265" s="19">
        <v>66.350700000000003</v>
      </c>
      <c r="AY265" s="25">
        <v>6</v>
      </c>
      <c r="AZ265">
        <v>4</v>
      </c>
      <c r="BB265">
        <v>35.190199999999997</v>
      </c>
      <c r="BD265" s="19">
        <v>-0.26400000000000001</v>
      </c>
      <c r="BE265" s="19">
        <v>91.981099999999998</v>
      </c>
      <c r="BG265" s="23">
        <v>21.562000000000001</v>
      </c>
      <c r="BH265" s="20"/>
      <c r="BI265" s="20"/>
      <c r="BJ265" s="19">
        <v>92.924499999999995</v>
      </c>
      <c r="BN265">
        <v>9</v>
      </c>
      <c r="BO265">
        <v>7.4560000000000004</v>
      </c>
      <c r="BQ265" s="19"/>
      <c r="BS265" s="20">
        <v>3.0680000000000001</v>
      </c>
      <c r="BT265" s="20">
        <v>3.0680000000000001</v>
      </c>
      <c r="BU265" s="20">
        <v>5.9489999999999998</v>
      </c>
      <c r="BV265" s="20">
        <v>5.9269999999999996</v>
      </c>
      <c r="BW265" s="19">
        <v>94.607799999999997</v>
      </c>
      <c r="BX265">
        <v>9.4600000000000009</v>
      </c>
      <c r="BY265" s="6">
        <v>178207140</v>
      </c>
      <c r="BZ265" s="5">
        <v>431439035</v>
      </c>
      <c r="CA265" s="7">
        <f t="shared" si="20"/>
        <v>2.4209974695738903</v>
      </c>
      <c r="CB265">
        <v>83280000</v>
      </c>
      <c r="CC265" s="8">
        <f t="shared" si="21"/>
        <v>5.1805839937560041</v>
      </c>
      <c r="CD265" s="8">
        <f t="shared" si="22"/>
        <v>2.1398551873198848</v>
      </c>
      <c r="CE265">
        <v>357569</v>
      </c>
      <c r="CF265" s="8">
        <f t="shared" si="23"/>
        <v>498.38531863780139</v>
      </c>
      <c r="CG265" s="8">
        <f t="shared" si="24"/>
        <v>1206.589595294894</v>
      </c>
      <c r="CH265">
        <v>100.84743</v>
      </c>
    </row>
    <row r="266" spans="1:86" ht="15.5" x14ac:dyDescent="0.35">
      <c r="A266" t="s">
        <v>97</v>
      </c>
      <c r="B266">
        <v>2000</v>
      </c>
      <c r="C266" s="2">
        <v>48.9161</v>
      </c>
      <c r="D266">
        <v>185295.3</v>
      </c>
      <c r="E266">
        <v>0.28320000000000001</v>
      </c>
      <c r="F266">
        <v>8.8892000000000007</v>
      </c>
      <c r="G266">
        <v>124000</v>
      </c>
      <c r="H266">
        <v>9</v>
      </c>
      <c r="I266" s="19">
        <v>84.183999999999997</v>
      </c>
      <c r="J266" s="19">
        <v>84.807000000000002</v>
      </c>
      <c r="K266" s="19">
        <v>4.9669999999999996</v>
      </c>
      <c r="L266" s="19">
        <v>72.872299999999996</v>
      </c>
      <c r="M266" s="19">
        <v>-7836000000</v>
      </c>
      <c r="N266" s="19">
        <v>41.050699999999999</v>
      </c>
      <c r="O266">
        <v>20.712</v>
      </c>
      <c r="Q266" s="19">
        <v>11826.517</v>
      </c>
      <c r="R266" s="19">
        <v>18002.906500000001</v>
      </c>
      <c r="S266" s="19">
        <v>3.7126999999999999</v>
      </c>
      <c r="T266" s="19">
        <v>31386.639800000001</v>
      </c>
      <c r="U266" s="19">
        <v>18815.835800000001</v>
      </c>
      <c r="V266">
        <v>34.200000000000003</v>
      </c>
      <c r="W266" s="19">
        <v>69.945400000000006</v>
      </c>
      <c r="X266">
        <v>89</v>
      </c>
      <c r="Y266">
        <v>89</v>
      </c>
      <c r="Z266">
        <v>89</v>
      </c>
      <c r="AA266">
        <v>5.5</v>
      </c>
      <c r="AB266">
        <v>9.14</v>
      </c>
      <c r="AC266">
        <v>77.887799999999999</v>
      </c>
      <c r="AE266">
        <v>4</v>
      </c>
      <c r="AF266">
        <v>93.414599999999993</v>
      </c>
      <c r="AG266">
        <v>19.899999999999999</v>
      </c>
      <c r="AH266">
        <v>0.25</v>
      </c>
      <c r="AI266">
        <v>6.4</v>
      </c>
      <c r="AJ266">
        <v>5.9</v>
      </c>
      <c r="AK266">
        <v>6.9</v>
      </c>
      <c r="AL266">
        <v>55.661299999999997</v>
      </c>
      <c r="AM266">
        <v>3.9</v>
      </c>
      <c r="AN266">
        <v>54661</v>
      </c>
      <c r="AO266">
        <v>0.65210000000000001</v>
      </c>
      <c r="AP266">
        <v>99.686199999999999</v>
      </c>
      <c r="AQ266">
        <v>97.613399999999999</v>
      </c>
      <c r="AR266">
        <v>99.1524</v>
      </c>
      <c r="AT266">
        <v>85.387</v>
      </c>
      <c r="AU266">
        <v>24.3888</v>
      </c>
      <c r="AV266" s="19">
        <v>75.132300000000001</v>
      </c>
      <c r="AW266">
        <v>0.5</v>
      </c>
      <c r="AZ266">
        <v>6</v>
      </c>
      <c r="BA266">
        <v>77.105199999999996</v>
      </c>
      <c r="BB266">
        <v>8.6667000000000005</v>
      </c>
      <c r="BC266">
        <v>4.4630999999999998</v>
      </c>
      <c r="BD266" s="19">
        <v>4.1379999999999999</v>
      </c>
      <c r="BE266" s="19">
        <v>73.912999999999997</v>
      </c>
      <c r="BF266">
        <v>8.4727999999999994</v>
      </c>
      <c r="BG266">
        <v>7.8</v>
      </c>
      <c r="BH266" s="20"/>
      <c r="BI266" s="20"/>
      <c r="BJ266" s="19">
        <v>80.099500000000006</v>
      </c>
      <c r="BK266">
        <v>0.99990000000000001</v>
      </c>
      <c r="BL266">
        <v>1.03</v>
      </c>
      <c r="BM266">
        <v>1.0563</v>
      </c>
      <c r="BN266">
        <v>6</v>
      </c>
      <c r="BO266">
        <v>24.963000000000001</v>
      </c>
      <c r="BP266">
        <v>3.39</v>
      </c>
      <c r="BQ266" s="19">
        <v>110.9456</v>
      </c>
      <c r="BR266">
        <v>63.478000000000002</v>
      </c>
      <c r="BS266" s="20">
        <v>11.345000000000001</v>
      </c>
      <c r="BT266" s="20">
        <v>11.345000000000001</v>
      </c>
      <c r="BU266" s="20">
        <v>28.957000000000001</v>
      </c>
      <c r="BV266" s="20">
        <v>29.298999999999999</v>
      </c>
      <c r="BW266" s="19">
        <v>78.606999999999999</v>
      </c>
      <c r="BX266">
        <v>43.51</v>
      </c>
      <c r="BY266" s="5">
        <v>13976386</v>
      </c>
      <c r="BZ266" s="6">
        <v>62185893</v>
      </c>
      <c r="CA266" s="7">
        <f t="shared" si="20"/>
        <v>4.4493542894422067</v>
      </c>
      <c r="CB266">
        <v>10805808</v>
      </c>
      <c r="CC266" s="8">
        <f t="shared" si="21"/>
        <v>5.754858220690207</v>
      </c>
      <c r="CD266" s="8">
        <f t="shared" si="22"/>
        <v>1.2934142453761903</v>
      </c>
      <c r="CE266">
        <v>131694</v>
      </c>
      <c r="CF266" s="8">
        <f t="shared" si="23"/>
        <v>106.12773550807174</v>
      </c>
      <c r="CG266" s="8">
        <f t="shared" si="24"/>
        <v>472.19989521162694</v>
      </c>
      <c r="CH266" s="28">
        <v>96.488900000000001</v>
      </c>
    </row>
    <row r="267" spans="1:86" ht="15.5" x14ac:dyDescent="0.35">
      <c r="A267" t="s">
        <v>97</v>
      </c>
      <c r="B267">
        <v>2001</v>
      </c>
      <c r="C267" s="2">
        <v>49.2575</v>
      </c>
      <c r="D267">
        <v>183480.3</v>
      </c>
      <c r="E267">
        <v>0.27639999999999998</v>
      </c>
      <c r="F267">
        <v>9.0321999999999996</v>
      </c>
      <c r="G267">
        <v>126000</v>
      </c>
      <c r="H267">
        <v>9</v>
      </c>
      <c r="I267" s="19">
        <v>87.248999999999995</v>
      </c>
      <c r="J267" s="19">
        <v>87.796999999999997</v>
      </c>
      <c r="K267" s="19">
        <v>3.9790000000000001</v>
      </c>
      <c r="L267" s="19"/>
      <c r="M267" s="19">
        <v>-9388000000</v>
      </c>
      <c r="N267" s="19">
        <v>39.756</v>
      </c>
      <c r="O267">
        <v>19.77</v>
      </c>
      <c r="Q267" s="19">
        <v>12186.368</v>
      </c>
      <c r="R267" s="19">
        <v>18742.423500000001</v>
      </c>
      <c r="S267" s="19">
        <v>4.1078000000000001</v>
      </c>
      <c r="T267" s="19">
        <v>32675.929100000001</v>
      </c>
      <c r="U267" s="19">
        <v>20306.087800000001</v>
      </c>
      <c r="W267" s="19"/>
      <c r="X267">
        <v>91</v>
      </c>
      <c r="Y267">
        <v>90</v>
      </c>
      <c r="Z267">
        <v>91</v>
      </c>
      <c r="AA267">
        <v>5.0999999999999996</v>
      </c>
      <c r="AB267">
        <v>10.9</v>
      </c>
      <c r="AC267">
        <v>78.387799999999999</v>
      </c>
      <c r="AE267">
        <v>3</v>
      </c>
      <c r="AF267">
        <v>93.696299999999994</v>
      </c>
      <c r="AG267">
        <v>18.2</v>
      </c>
      <c r="AH267">
        <v>0.31</v>
      </c>
      <c r="AI267">
        <v>6</v>
      </c>
      <c r="AJ267">
        <v>5.5</v>
      </c>
      <c r="AK267">
        <v>6.4</v>
      </c>
      <c r="AL267">
        <v>56.015999999999998</v>
      </c>
      <c r="AM267">
        <v>3.6</v>
      </c>
      <c r="AN267">
        <v>60387</v>
      </c>
      <c r="AO267">
        <v>0.60409999999999997</v>
      </c>
      <c r="AP267">
        <v>99.710099999999997</v>
      </c>
      <c r="AQ267">
        <v>97.708600000000004</v>
      </c>
      <c r="AR267">
        <v>99.218100000000007</v>
      </c>
      <c r="AT267">
        <v>85.941699999999997</v>
      </c>
      <c r="AU267">
        <v>24.148800000000001</v>
      </c>
      <c r="AV267" s="19"/>
      <c r="AZ267">
        <v>6</v>
      </c>
      <c r="BA267">
        <v>77.764099999999999</v>
      </c>
      <c r="BB267">
        <v>8.6667000000000005</v>
      </c>
      <c r="BC267">
        <v>5.0488</v>
      </c>
      <c r="BD267" s="19">
        <v>4.6500000000000004</v>
      </c>
      <c r="BE267" s="19"/>
      <c r="BF267">
        <v>6.6291000000000002</v>
      </c>
      <c r="BG267">
        <v>7.1</v>
      </c>
      <c r="BH267" s="20">
        <v>0.5595</v>
      </c>
      <c r="BI267" s="20">
        <v>1329.3423</v>
      </c>
      <c r="BJ267" s="19"/>
      <c r="BK267">
        <v>0.99909999999999999</v>
      </c>
      <c r="BL267">
        <v>1.0226999999999999</v>
      </c>
      <c r="BM267">
        <v>1.0429999999999999</v>
      </c>
      <c r="BN267">
        <v>6</v>
      </c>
      <c r="BO267">
        <v>24.507000000000001</v>
      </c>
      <c r="BP267">
        <v>2.95</v>
      </c>
      <c r="BQ267" s="19">
        <v>108.0723</v>
      </c>
      <c r="BR267">
        <v>65.417100000000005</v>
      </c>
      <c r="BS267" s="20">
        <v>10.763999999999999</v>
      </c>
      <c r="BT267" s="20">
        <v>10.763999999999999</v>
      </c>
      <c r="BU267" s="20">
        <v>27.815999999999999</v>
      </c>
      <c r="BV267" s="20">
        <v>28.103000000000002</v>
      </c>
      <c r="BW267" s="19"/>
      <c r="BX267">
        <v>41.62</v>
      </c>
      <c r="BY267" s="5">
        <v>12843361</v>
      </c>
      <c r="BZ267" s="6">
        <v>56268216</v>
      </c>
      <c r="CA267" s="7">
        <f t="shared" si="20"/>
        <v>4.381113012396054</v>
      </c>
      <c r="CB267">
        <v>10862132</v>
      </c>
      <c r="CC267" s="8">
        <f t="shared" si="21"/>
        <v>5.1802183954310257</v>
      </c>
      <c r="CD267" s="8">
        <f t="shared" si="22"/>
        <v>1.1823978018311692</v>
      </c>
      <c r="CE267">
        <v>131694</v>
      </c>
      <c r="CF267" s="8">
        <f t="shared" si="23"/>
        <v>97.524268379728767</v>
      </c>
      <c r="CG267" s="8">
        <f t="shared" si="24"/>
        <v>427.26484122283478</v>
      </c>
      <c r="CH267" s="28">
        <v>96.299869999999999</v>
      </c>
    </row>
    <row r="268" spans="1:86" ht="15.5" x14ac:dyDescent="0.35">
      <c r="A268" t="s">
        <v>97</v>
      </c>
      <c r="B268">
        <v>2002</v>
      </c>
      <c r="C268" s="2">
        <v>49.601199999999999</v>
      </c>
      <c r="D268">
        <v>186200.6</v>
      </c>
      <c r="E268">
        <v>0.26400000000000001</v>
      </c>
      <c r="F268">
        <v>8.9959000000000007</v>
      </c>
      <c r="G268">
        <v>125000</v>
      </c>
      <c r="H268">
        <v>9</v>
      </c>
      <c r="I268" s="19">
        <v>90.671000000000006</v>
      </c>
      <c r="J268" s="19">
        <v>90.867999999999995</v>
      </c>
      <c r="K268" s="19">
        <v>4.1139999999999999</v>
      </c>
      <c r="L268" s="19">
        <v>69.841300000000004</v>
      </c>
      <c r="M268" s="19">
        <v>-9659000000</v>
      </c>
      <c r="N268" s="19">
        <v>36.471899999999998</v>
      </c>
      <c r="O268">
        <v>17.734000000000002</v>
      </c>
      <c r="Q268" s="19">
        <v>13789.85</v>
      </c>
      <c r="R268" s="19">
        <v>19548.367699999999</v>
      </c>
      <c r="S268" s="19">
        <v>4.3000999999999996</v>
      </c>
      <c r="T268" s="19">
        <v>34081.0288</v>
      </c>
      <c r="U268" s="19">
        <v>21985.234499999999</v>
      </c>
      <c r="W268" s="19">
        <v>75.135099999999994</v>
      </c>
      <c r="X268">
        <v>92</v>
      </c>
      <c r="Y268">
        <v>91</v>
      </c>
      <c r="Z268">
        <v>92</v>
      </c>
      <c r="AA268">
        <v>4.8</v>
      </c>
      <c r="AB268">
        <v>14.7</v>
      </c>
      <c r="AC268">
        <v>78.641499999999994</v>
      </c>
      <c r="AE268">
        <v>3</v>
      </c>
      <c r="AF268">
        <v>93.895200000000003</v>
      </c>
      <c r="AG268">
        <v>16.399999999999999</v>
      </c>
      <c r="AH268">
        <v>0.23</v>
      </c>
      <c r="AI268">
        <v>5.6</v>
      </c>
      <c r="AJ268">
        <v>5.0999999999999996</v>
      </c>
      <c r="AK268">
        <v>6</v>
      </c>
      <c r="AL268">
        <v>56.2273</v>
      </c>
      <c r="AM268">
        <v>3.3</v>
      </c>
      <c r="AN268">
        <v>25692</v>
      </c>
      <c r="AO268">
        <v>0.55379999999999996</v>
      </c>
      <c r="AP268">
        <v>99.735399999999998</v>
      </c>
      <c r="AQ268">
        <v>97.809399999999997</v>
      </c>
      <c r="AR268">
        <v>99.287400000000005</v>
      </c>
      <c r="AT268">
        <v>86.496399999999994</v>
      </c>
      <c r="AU268">
        <v>23.802</v>
      </c>
      <c r="AV268" s="19">
        <v>76.1905</v>
      </c>
      <c r="AX268">
        <v>20.7</v>
      </c>
      <c r="AZ268">
        <v>6</v>
      </c>
      <c r="BA268">
        <v>78.480199999999996</v>
      </c>
      <c r="BB268">
        <v>8.6667000000000005</v>
      </c>
      <c r="BC268">
        <v>4.9779999999999998</v>
      </c>
      <c r="BD268" s="19">
        <v>4.6829999999999998</v>
      </c>
      <c r="BE268" s="19">
        <v>78.918899999999994</v>
      </c>
      <c r="BF268">
        <v>7.7645999999999997</v>
      </c>
      <c r="BG268">
        <v>7.3</v>
      </c>
      <c r="BH268" s="20"/>
      <c r="BI268" s="20"/>
      <c r="BJ268" s="19">
        <v>70.149299999999997</v>
      </c>
      <c r="BK268">
        <v>0.99009999999999998</v>
      </c>
      <c r="BL268">
        <v>1.0025999999999999</v>
      </c>
      <c r="BM268">
        <v>1.0135000000000001</v>
      </c>
      <c r="BN268">
        <v>6</v>
      </c>
      <c r="BO268">
        <v>23.998000000000001</v>
      </c>
      <c r="BP268">
        <v>2.86</v>
      </c>
      <c r="BQ268" s="19">
        <v>108.06019999999999</v>
      </c>
      <c r="BR268">
        <v>67.637200000000007</v>
      </c>
      <c r="BS268" s="20">
        <v>10.346</v>
      </c>
      <c r="BT268" s="20">
        <v>10.346</v>
      </c>
      <c r="BU268" s="20">
        <v>26.710999999999999</v>
      </c>
      <c r="BV268" s="20">
        <v>26.974</v>
      </c>
      <c r="BW268" s="19">
        <v>78.606999999999999</v>
      </c>
      <c r="BX268">
        <v>41.14</v>
      </c>
      <c r="BY268" s="5">
        <v>12392044</v>
      </c>
      <c r="BZ268" s="6">
        <v>54466309</v>
      </c>
      <c r="CA268" s="7">
        <f t="shared" si="20"/>
        <v>4.3952643325023697</v>
      </c>
      <c r="CB268">
        <v>10902022</v>
      </c>
      <c r="CC268" s="8">
        <f t="shared" si="21"/>
        <v>4.9959823049338921</v>
      </c>
      <c r="CD268" s="8">
        <f t="shared" si="22"/>
        <v>1.1366739124173479</v>
      </c>
      <c r="CE268">
        <v>131694</v>
      </c>
      <c r="CF268" s="8">
        <f t="shared" si="23"/>
        <v>94.097255759563836</v>
      </c>
      <c r="CG268" s="8">
        <f t="shared" si="24"/>
        <v>413.58231202636415</v>
      </c>
      <c r="CH268" s="28">
        <v>97.612620000000007</v>
      </c>
    </row>
    <row r="269" spans="1:86" ht="15.5" x14ac:dyDescent="0.35">
      <c r="A269" t="s">
        <v>97</v>
      </c>
      <c r="B269">
        <v>2003</v>
      </c>
      <c r="C269" s="2">
        <v>49.813899999999997</v>
      </c>
      <c r="D269">
        <v>215548.4</v>
      </c>
      <c r="E269">
        <v>0.2591</v>
      </c>
      <c r="F269">
        <v>9.3184000000000005</v>
      </c>
      <c r="G269">
        <v>129000</v>
      </c>
      <c r="H269">
        <v>9</v>
      </c>
      <c r="I269" s="19">
        <v>93.799000000000007</v>
      </c>
      <c r="J269" s="19">
        <v>93.683000000000007</v>
      </c>
      <c r="K269" s="19">
        <v>3.5779999999999998</v>
      </c>
      <c r="L269" s="19">
        <v>68.783100000000005</v>
      </c>
      <c r="M269" s="19">
        <v>-12738000000</v>
      </c>
      <c r="N269" s="19">
        <v>46.865600000000001</v>
      </c>
      <c r="O269">
        <v>21.157</v>
      </c>
      <c r="P269">
        <v>9.5899999999999999E-2</v>
      </c>
      <c r="Q269" s="19">
        <v>18036.400000000001</v>
      </c>
      <c r="R269" s="19">
        <v>20632.255700000002</v>
      </c>
      <c r="S269" s="19">
        <v>5.5446</v>
      </c>
      <c r="T269" s="19">
        <v>35970.7016</v>
      </c>
      <c r="U269" s="19">
        <v>23255.564200000001</v>
      </c>
      <c r="V269">
        <v>32.799999999999997</v>
      </c>
      <c r="W269" s="19">
        <v>74.054100000000005</v>
      </c>
      <c r="X269">
        <v>94</v>
      </c>
      <c r="Y269">
        <v>92</v>
      </c>
      <c r="Z269">
        <v>94</v>
      </c>
      <c r="AA269">
        <v>4.4000000000000004</v>
      </c>
      <c r="AB269">
        <v>17.8</v>
      </c>
      <c r="AC269">
        <v>78.841499999999996</v>
      </c>
      <c r="AE269">
        <v>3</v>
      </c>
      <c r="AF269">
        <v>94.006699999999995</v>
      </c>
      <c r="AG269">
        <v>15.8</v>
      </c>
      <c r="AH269">
        <v>0.22</v>
      </c>
      <c r="AI269">
        <v>5.2</v>
      </c>
      <c r="AJ269">
        <v>4.8</v>
      </c>
      <c r="AK269">
        <v>5.6</v>
      </c>
      <c r="AL269">
        <v>56.346400000000003</v>
      </c>
      <c r="AM269">
        <v>3</v>
      </c>
      <c r="AN269">
        <v>25323</v>
      </c>
      <c r="AO269">
        <v>0.50449999999999995</v>
      </c>
      <c r="AP269">
        <v>99.760099999999994</v>
      </c>
      <c r="AQ269">
        <v>97.908699999999996</v>
      </c>
      <c r="AR269">
        <v>99.355099999999993</v>
      </c>
      <c r="AT269">
        <v>87.051100000000005</v>
      </c>
      <c r="AU269">
        <v>23.388400000000001</v>
      </c>
      <c r="AV269" s="19">
        <v>60.804000000000002</v>
      </c>
      <c r="AW269">
        <v>0.5</v>
      </c>
      <c r="AX269">
        <v>19.899999999999999</v>
      </c>
      <c r="AZ269">
        <v>6</v>
      </c>
      <c r="BA269">
        <v>79.193799999999996</v>
      </c>
      <c r="BB269">
        <v>8.6667000000000005</v>
      </c>
      <c r="BC269">
        <v>5.0579999999999998</v>
      </c>
      <c r="BD269" s="19">
        <v>5.7969999999999997</v>
      </c>
      <c r="BE269" s="19">
        <v>77.837800000000001</v>
      </c>
      <c r="BF269">
        <v>11.045</v>
      </c>
      <c r="BG269">
        <v>7.6</v>
      </c>
      <c r="BH269" s="20">
        <v>0.54649999999999999</v>
      </c>
      <c r="BI269" s="20">
        <v>1433.3916999999999</v>
      </c>
      <c r="BJ269" s="19">
        <v>71.641800000000003</v>
      </c>
      <c r="BK269">
        <v>0.98629999999999995</v>
      </c>
      <c r="BL269">
        <v>0.99429999999999996</v>
      </c>
      <c r="BM269">
        <v>1.0015000000000001</v>
      </c>
      <c r="BN269">
        <v>6</v>
      </c>
      <c r="BO269">
        <v>29.114999999999998</v>
      </c>
      <c r="BP269">
        <v>3.3</v>
      </c>
      <c r="BQ269" s="19">
        <v>106.03830000000001</v>
      </c>
      <c r="BR269">
        <v>68.654700000000005</v>
      </c>
      <c r="BS269" s="20">
        <v>9.8390000000000004</v>
      </c>
      <c r="BT269" s="20">
        <v>9.8390000000000004</v>
      </c>
      <c r="BU269" s="20">
        <v>26.498999999999999</v>
      </c>
      <c r="BV269" s="20">
        <v>26.753</v>
      </c>
      <c r="BW269" s="19">
        <v>86.5672</v>
      </c>
      <c r="BX269">
        <v>40.270000000000003</v>
      </c>
      <c r="BY269" s="5">
        <v>12499809</v>
      </c>
      <c r="BZ269" s="6">
        <v>54502104</v>
      </c>
      <c r="CA269" s="7">
        <f t="shared" si="20"/>
        <v>4.3602349443899504</v>
      </c>
      <c r="CB269">
        <v>10928070</v>
      </c>
      <c r="CC269" s="8">
        <f t="shared" si="21"/>
        <v>4.9873494587790894</v>
      </c>
      <c r="CD269" s="8">
        <f t="shared" si="22"/>
        <v>1.1438258539705548</v>
      </c>
      <c r="CE269">
        <v>131694</v>
      </c>
      <c r="CF269" s="8">
        <f t="shared" si="23"/>
        <v>94.915554239373094</v>
      </c>
      <c r="CG269" s="8">
        <f t="shared" si="24"/>
        <v>413.85411636065425</v>
      </c>
      <c r="CH269" s="28">
        <v>99.40795</v>
      </c>
    </row>
    <row r="270" spans="1:86" ht="15.5" x14ac:dyDescent="0.35">
      <c r="A270" t="s">
        <v>97</v>
      </c>
      <c r="B270">
        <v>2004</v>
      </c>
      <c r="C270" s="2">
        <v>49.923699999999997</v>
      </c>
      <c r="D270">
        <v>211829.7</v>
      </c>
      <c r="E270">
        <v>0.2452</v>
      </c>
      <c r="F270">
        <v>9.2720000000000002</v>
      </c>
      <c r="G270">
        <v>130000</v>
      </c>
      <c r="H270">
        <v>9</v>
      </c>
      <c r="I270" s="19">
        <v>96.631</v>
      </c>
      <c r="J270" s="19">
        <v>96.614999999999995</v>
      </c>
      <c r="K270" s="19">
        <v>4.0730000000000004</v>
      </c>
      <c r="L270" s="19">
        <v>70.443399999999997</v>
      </c>
      <c r="M270" s="19">
        <v>-13325000000</v>
      </c>
      <c r="N270" s="19">
        <v>53.610500000000002</v>
      </c>
      <c r="O270">
        <v>22.901</v>
      </c>
      <c r="P270">
        <v>0.47</v>
      </c>
      <c r="Q270" s="19">
        <v>21468.468000000001</v>
      </c>
      <c r="R270" s="19">
        <v>21688.105100000001</v>
      </c>
      <c r="S270" s="19">
        <v>5.1174999999999997</v>
      </c>
      <c r="T270" s="19">
        <v>37811.491300000002</v>
      </c>
      <c r="U270" s="19">
        <v>24828.8979</v>
      </c>
      <c r="V270">
        <v>33.6</v>
      </c>
      <c r="W270" s="19">
        <v>76.616900000000001</v>
      </c>
      <c r="X270">
        <v>95</v>
      </c>
      <c r="Y270">
        <v>92</v>
      </c>
      <c r="Z270">
        <v>95</v>
      </c>
      <c r="AA270">
        <v>4.0999999999999996</v>
      </c>
      <c r="AB270">
        <v>21.4</v>
      </c>
      <c r="AC270">
        <v>79.039000000000001</v>
      </c>
      <c r="AE270">
        <v>3</v>
      </c>
      <c r="AF270">
        <v>94.132599999999996</v>
      </c>
      <c r="AG270">
        <v>17.5</v>
      </c>
      <c r="AH270">
        <v>0.23</v>
      </c>
      <c r="AI270">
        <v>4.9000000000000004</v>
      </c>
      <c r="AJ270">
        <v>4.5</v>
      </c>
      <c r="AK270">
        <v>5.2</v>
      </c>
      <c r="AL270">
        <v>56.623699999999999</v>
      </c>
      <c r="AM270">
        <v>2.7</v>
      </c>
      <c r="AN270">
        <v>29039</v>
      </c>
      <c r="AO270">
        <v>0.45600000000000002</v>
      </c>
      <c r="AP270">
        <v>99.784300000000002</v>
      </c>
      <c r="AQ270">
        <v>98.006699999999995</v>
      </c>
      <c r="AR270">
        <v>99.421499999999995</v>
      </c>
      <c r="AT270">
        <v>87.605800000000002</v>
      </c>
      <c r="AU270">
        <v>22.948499999999999</v>
      </c>
      <c r="AV270" s="19">
        <v>62.621400000000001</v>
      </c>
      <c r="AW270">
        <v>0.6</v>
      </c>
      <c r="AX270">
        <v>19.600000000000001</v>
      </c>
      <c r="AZ270">
        <v>6</v>
      </c>
      <c r="BA270">
        <v>79.905500000000004</v>
      </c>
      <c r="BB270">
        <v>14</v>
      </c>
      <c r="BC270">
        <v>4.7450999999999999</v>
      </c>
      <c r="BD270" s="19">
        <v>5.3780000000000001</v>
      </c>
      <c r="BE270" s="19">
        <v>76.616900000000001</v>
      </c>
      <c r="BF270">
        <v>10.8695</v>
      </c>
      <c r="BG270">
        <v>7.8</v>
      </c>
      <c r="BH270" s="20">
        <v>0.52729999999999999</v>
      </c>
      <c r="BI270" s="20"/>
      <c r="BJ270" s="19">
        <v>77.403800000000004</v>
      </c>
      <c r="BK270">
        <v>0.97609999999999997</v>
      </c>
      <c r="BL270">
        <v>0.97970000000000002</v>
      </c>
      <c r="BM270">
        <v>0.98299999999999998</v>
      </c>
      <c r="BN270">
        <v>6</v>
      </c>
      <c r="BO270">
        <v>24.524000000000001</v>
      </c>
      <c r="BP270">
        <v>3.1</v>
      </c>
      <c r="BQ270" s="19">
        <v>107.1234</v>
      </c>
      <c r="BR270">
        <v>66.959999999999994</v>
      </c>
      <c r="BS270" s="20">
        <v>10.628</v>
      </c>
      <c r="BT270" s="20">
        <v>10.628</v>
      </c>
      <c r="BU270" s="20">
        <v>26.57</v>
      </c>
      <c r="BV270" s="20">
        <v>26.8</v>
      </c>
      <c r="BW270" s="19">
        <v>87.019199999999998</v>
      </c>
      <c r="BX270">
        <v>39.950000000000003</v>
      </c>
      <c r="BY270" s="5">
        <v>12131583</v>
      </c>
      <c r="BZ270" s="6">
        <v>52554021</v>
      </c>
      <c r="CA270" s="7">
        <f t="shared" si="20"/>
        <v>4.3320002838871066</v>
      </c>
      <c r="CB270">
        <v>10955141</v>
      </c>
      <c r="CC270" s="8">
        <f t="shared" si="21"/>
        <v>4.7972016973583456</v>
      </c>
      <c r="CD270" s="8">
        <f t="shared" si="22"/>
        <v>1.107387207522021</v>
      </c>
      <c r="CE270">
        <v>131694</v>
      </c>
      <c r="CF270" s="8">
        <f t="shared" si="23"/>
        <v>92.119481525354232</v>
      </c>
      <c r="CG270" s="8">
        <f t="shared" si="24"/>
        <v>399.0616201193676</v>
      </c>
      <c r="CH270" s="28">
        <v>100.12969</v>
      </c>
    </row>
    <row r="271" spans="1:86" ht="15.5" x14ac:dyDescent="0.35">
      <c r="A271" t="s">
        <v>97</v>
      </c>
      <c r="B271">
        <v>2005</v>
      </c>
      <c r="C271" s="2">
        <v>49.977899999999998</v>
      </c>
      <c r="D271">
        <v>207998.3</v>
      </c>
      <c r="E271">
        <v>0.2472</v>
      </c>
      <c r="F271">
        <v>9.4313000000000002</v>
      </c>
      <c r="G271">
        <v>135000</v>
      </c>
      <c r="H271">
        <v>9</v>
      </c>
      <c r="I271" s="19">
        <v>100</v>
      </c>
      <c r="J271" s="19">
        <v>100</v>
      </c>
      <c r="K271" s="19">
        <v>3.875</v>
      </c>
      <c r="L271" s="19">
        <v>64.878100000000003</v>
      </c>
      <c r="M271" s="19">
        <v>-18220000000</v>
      </c>
      <c r="N271" s="19">
        <v>60.511600000000001</v>
      </c>
      <c r="O271">
        <v>23.687999999999999</v>
      </c>
      <c r="P271">
        <v>1.4581</v>
      </c>
      <c r="Q271" s="19">
        <v>22101.329000000002</v>
      </c>
      <c r="R271" s="19">
        <v>21880.526600000001</v>
      </c>
      <c r="S271" s="19">
        <v>0.88719999999999999</v>
      </c>
      <c r="T271" s="19">
        <v>38146.962800000001</v>
      </c>
      <c r="U271" s="19">
        <v>25003.829699999998</v>
      </c>
      <c r="V271">
        <v>34.6</v>
      </c>
      <c r="W271" s="19">
        <v>72.549000000000007</v>
      </c>
      <c r="X271">
        <v>96</v>
      </c>
      <c r="Y271">
        <v>93</v>
      </c>
      <c r="Z271">
        <v>96</v>
      </c>
      <c r="AA271">
        <v>3.9</v>
      </c>
      <c r="AB271">
        <v>24</v>
      </c>
      <c r="AC271">
        <v>79.239000000000004</v>
      </c>
      <c r="AD271">
        <v>85.489199999999997</v>
      </c>
      <c r="AE271">
        <v>3</v>
      </c>
      <c r="AF271">
        <v>94.974999999999994</v>
      </c>
      <c r="AG271">
        <v>16.600000000000001</v>
      </c>
      <c r="AH271">
        <v>0.32</v>
      </c>
      <c r="AI271">
        <v>4.5999999999999996</v>
      </c>
      <c r="AJ271">
        <v>4.2</v>
      </c>
      <c r="AK271">
        <v>4.9000000000000004</v>
      </c>
      <c r="AL271">
        <v>56.525700000000001</v>
      </c>
      <c r="AM271">
        <v>2.5</v>
      </c>
      <c r="AN271">
        <v>33297</v>
      </c>
      <c r="AO271">
        <v>0.40849999999999997</v>
      </c>
      <c r="AP271">
        <v>99.808000000000007</v>
      </c>
      <c r="AQ271">
        <v>98.103200000000001</v>
      </c>
      <c r="AR271">
        <v>99.486500000000007</v>
      </c>
      <c r="AT271">
        <v>88.160499999999999</v>
      </c>
      <c r="AU271">
        <v>22.522300000000001</v>
      </c>
      <c r="AV271" s="19">
        <v>63.592199999999998</v>
      </c>
      <c r="AW271">
        <v>0.3</v>
      </c>
      <c r="AX271">
        <v>20.5</v>
      </c>
      <c r="AZ271">
        <v>6</v>
      </c>
      <c r="BA271">
        <v>80.614500000000007</v>
      </c>
      <c r="BB271">
        <v>13</v>
      </c>
      <c r="BC271">
        <v>5.2102000000000004</v>
      </c>
      <c r="BD271" s="19">
        <v>1.1830000000000001</v>
      </c>
      <c r="BE271" s="19">
        <v>77.941199999999995</v>
      </c>
      <c r="BF271">
        <v>11.662599999999999</v>
      </c>
      <c r="BG271">
        <v>8</v>
      </c>
      <c r="BH271" s="20">
        <v>0.57899999999999996</v>
      </c>
      <c r="BI271" s="20">
        <v>1787.194</v>
      </c>
      <c r="BJ271" s="19">
        <v>73.205699999999993</v>
      </c>
      <c r="BK271">
        <v>0.97860000000000003</v>
      </c>
      <c r="BL271">
        <v>0.96560000000000001</v>
      </c>
      <c r="BM271">
        <v>0.95389999999999997</v>
      </c>
      <c r="BN271">
        <v>6</v>
      </c>
      <c r="BO271">
        <v>22.442</v>
      </c>
      <c r="BP271">
        <v>3.51</v>
      </c>
      <c r="BQ271" s="19">
        <v>103.4402</v>
      </c>
      <c r="BR271">
        <v>67.616200000000006</v>
      </c>
      <c r="BS271" s="20">
        <v>10.074</v>
      </c>
      <c r="BT271" s="20">
        <v>10.074</v>
      </c>
      <c r="BU271" s="20">
        <v>25.811</v>
      </c>
      <c r="BV271" s="20">
        <v>26.023</v>
      </c>
      <c r="BW271" s="19">
        <v>83.653800000000004</v>
      </c>
      <c r="BX271">
        <v>40.4</v>
      </c>
      <c r="BY271" s="5">
        <v>13412596</v>
      </c>
      <c r="BZ271" s="6">
        <v>55264093</v>
      </c>
      <c r="CA271" s="7">
        <f t="shared" si="20"/>
        <v>4.1203129506025533</v>
      </c>
      <c r="CB271">
        <v>10987314</v>
      </c>
      <c r="CC271" s="8">
        <f t="shared" si="21"/>
        <v>5.0298091963149503</v>
      </c>
      <c r="CD271" s="8">
        <f t="shared" si="22"/>
        <v>1.2207347491843776</v>
      </c>
      <c r="CE271">
        <v>131694</v>
      </c>
      <c r="CF271" s="8">
        <f t="shared" si="23"/>
        <v>101.84667486749586</v>
      </c>
      <c r="CG271" s="8">
        <f t="shared" si="24"/>
        <v>419.64017343235076</v>
      </c>
      <c r="CH271" s="28">
        <v>100.59276</v>
      </c>
    </row>
    <row r="272" spans="1:86" ht="15.5" x14ac:dyDescent="0.35">
      <c r="A272" t="s">
        <v>97</v>
      </c>
      <c r="B272">
        <v>2006</v>
      </c>
      <c r="C272" s="2">
        <v>49.965299999999999</v>
      </c>
      <c r="D272">
        <v>201627.3</v>
      </c>
      <c r="E272">
        <v>0.22950000000000001</v>
      </c>
      <c r="F272">
        <v>9.2898999999999994</v>
      </c>
      <c r="G272">
        <v>131000</v>
      </c>
      <c r="H272">
        <v>9</v>
      </c>
      <c r="I272" s="19">
        <v>103.31399999999999</v>
      </c>
      <c r="J272" s="19">
        <v>103.199</v>
      </c>
      <c r="K272" s="19">
        <v>3.7789999999999999</v>
      </c>
      <c r="L272" s="19">
        <v>68.780500000000004</v>
      </c>
      <c r="M272" s="19">
        <v>-29710000000</v>
      </c>
      <c r="N272" s="19">
        <v>72.666799999999995</v>
      </c>
      <c r="O272">
        <v>26.661999999999999</v>
      </c>
      <c r="P272">
        <v>4.4314999999999998</v>
      </c>
      <c r="Q272" s="19">
        <v>24452.035</v>
      </c>
      <c r="R272" s="19">
        <v>23220.5324</v>
      </c>
      <c r="S272" s="19">
        <v>6.1242000000000001</v>
      </c>
      <c r="T272" s="19">
        <v>40483.156799999997</v>
      </c>
      <c r="U272" s="19">
        <v>28082.124899999999</v>
      </c>
      <c r="V272">
        <v>35.1</v>
      </c>
      <c r="W272" s="19">
        <v>71.707300000000004</v>
      </c>
      <c r="X272">
        <v>98</v>
      </c>
      <c r="Y272">
        <v>94</v>
      </c>
      <c r="Z272">
        <v>98</v>
      </c>
      <c r="AA272">
        <v>3.7</v>
      </c>
      <c r="AB272">
        <v>32.299999999999997</v>
      </c>
      <c r="AC272">
        <v>79.438999999999993</v>
      </c>
      <c r="AD272">
        <v>81.039199999999994</v>
      </c>
      <c r="AE272">
        <v>3</v>
      </c>
      <c r="AF272">
        <v>95.087100000000007</v>
      </c>
      <c r="AG272">
        <v>16</v>
      </c>
      <c r="AH272">
        <v>0.3</v>
      </c>
      <c r="AI272">
        <v>4.3</v>
      </c>
      <c r="AJ272">
        <v>4</v>
      </c>
      <c r="AK272">
        <v>4.5999999999999996</v>
      </c>
      <c r="AL272">
        <v>57.677599999999998</v>
      </c>
      <c r="AM272">
        <v>2.4</v>
      </c>
      <c r="AN272">
        <v>27621</v>
      </c>
      <c r="AO272">
        <v>0.36180000000000001</v>
      </c>
      <c r="AP272">
        <v>99.831100000000006</v>
      </c>
      <c r="AQ272">
        <v>98.198300000000003</v>
      </c>
      <c r="AR272">
        <v>99.473299999999995</v>
      </c>
      <c r="AT272">
        <v>88.715199999999996</v>
      </c>
      <c r="AU272">
        <v>22.031199999999998</v>
      </c>
      <c r="AV272" s="19">
        <v>65.217399999999998</v>
      </c>
      <c r="AW272">
        <v>0.6</v>
      </c>
      <c r="AX272">
        <v>20.3</v>
      </c>
      <c r="AZ272">
        <v>6</v>
      </c>
      <c r="BA272">
        <v>81.321100000000001</v>
      </c>
      <c r="BB272">
        <v>13</v>
      </c>
      <c r="BC272">
        <v>5.0880999999999998</v>
      </c>
      <c r="BD272" s="19">
        <v>6.4429999999999996</v>
      </c>
      <c r="BE272" s="19">
        <v>75.980400000000003</v>
      </c>
      <c r="BF272">
        <v>13.636699999999999</v>
      </c>
      <c r="BG272">
        <v>8.5</v>
      </c>
      <c r="BH272" s="20">
        <v>0.56120000000000003</v>
      </c>
      <c r="BI272" s="20">
        <v>1809.7524000000001</v>
      </c>
      <c r="BJ272" s="19">
        <v>75.119600000000005</v>
      </c>
      <c r="BK272">
        <v>0.97740000000000005</v>
      </c>
      <c r="BL272">
        <v>0.96120000000000005</v>
      </c>
      <c r="BM272">
        <v>0.94669999999999999</v>
      </c>
      <c r="BN272">
        <v>6</v>
      </c>
      <c r="BO272">
        <v>13.327999999999999</v>
      </c>
      <c r="BP272">
        <v>3.48</v>
      </c>
      <c r="BQ272" s="19">
        <v>102.7683</v>
      </c>
      <c r="BR272">
        <v>69.561999999999998</v>
      </c>
      <c r="BS272" s="20">
        <v>8.9060000000000006</v>
      </c>
      <c r="BT272" s="20">
        <v>8.9060000000000006</v>
      </c>
      <c r="BU272" s="20">
        <v>24.658000000000001</v>
      </c>
      <c r="BV272" s="20">
        <v>24.859000000000002</v>
      </c>
      <c r="BW272" s="19">
        <v>77.884600000000006</v>
      </c>
      <c r="BX272">
        <v>40.26</v>
      </c>
      <c r="BY272" s="5">
        <v>13982021</v>
      </c>
      <c r="BZ272" s="6">
        <v>57796551</v>
      </c>
      <c r="CA272" s="7">
        <f t="shared" si="20"/>
        <v>4.1336335426759838</v>
      </c>
      <c r="CB272">
        <v>11020362</v>
      </c>
      <c r="CC272" s="8">
        <f t="shared" si="21"/>
        <v>5.2445238187275516</v>
      </c>
      <c r="CD272" s="8">
        <f t="shared" si="22"/>
        <v>1.2687442572213146</v>
      </c>
      <c r="CE272">
        <v>131694</v>
      </c>
      <c r="CF272" s="8">
        <f t="shared" si="23"/>
        <v>106.17052409373244</v>
      </c>
      <c r="CG272" s="8">
        <f t="shared" si="24"/>
        <v>438.87003963734111</v>
      </c>
      <c r="CH272" s="28">
        <v>101.31075</v>
      </c>
    </row>
    <row r="273" spans="1:86" ht="15.5" x14ac:dyDescent="0.35">
      <c r="A273" t="s">
        <v>97</v>
      </c>
      <c r="B273">
        <v>2007</v>
      </c>
      <c r="C273" s="2">
        <v>49.921700000000001</v>
      </c>
      <c r="D273">
        <v>208611.6</v>
      </c>
      <c r="E273">
        <v>0.22950000000000001</v>
      </c>
      <c r="F273">
        <v>9.5938999999999997</v>
      </c>
      <c r="G273">
        <v>134000</v>
      </c>
      <c r="H273">
        <v>9</v>
      </c>
      <c r="I273" s="19">
        <v>106.402</v>
      </c>
      <c r="J273" s="19">
        <v>107.178</v>
      </c>
      <c r="K273" s="19">
        <v>5.1950000000000003</v>
      </c>
      <c r="L273" s="19">
        <v>62.621400000000001</v>
      </c>
      <c r="M273" s="19">
        <v>-44399000000</v>
      </c>
      <c r="N273" s="19">
        <v>82.573999999999998</v>
      </c>
      <c r="O273">
        <v>28.027000000000001</v>
      </c>
      <c r="P273">
        <v>9.2114999999999991</v>
      </c>
      <c r="Q273" s="19">
        <v>28476.245999999999</v>
      </c>
      <c r="R273" s="19">
        <v>23973.6937</v>
      </c>
      <c r="S273" s="19">
        <v>3.2435</v>
      </c>
      <c r="T273" s="19">
        <v>41796.233699999997</v>
      </c>
      <c r="U273" s="19">
        <v>28896.9211</v>
      </c>
      <c r="V273">
        <v>34</v>
      </c>
      <c r="W273" s="19">
        <v>70.873800000000003</v>
      </c>
      <c r="X273">
        <v>99</v>
      </c>
      <c r="Y273">
        <v>95</v>
      </c>
      <c r="Z273">
        <v>99</v>
      </c>
      <c r="AA273">
        <v>3.5</v>
      </c>
      <c r="AB273">
        <v>35.9</v>
      </c>
      <c r="AC273">
        <v>79.438999999999993</v>
      </c>
      <c r="AD273">
        <v>92.401799999999994</v>
      </c>
      <c r="AE273">
        <v>3</v>
      </c>
      <c r="AF273">
        <v>95.109300000000005</v>
      </c>
      <c r="AG273">
        <v>16.100000000000001</v>
      </c>
      <c r="AH273">
        <v>0.28000000000000003</v>
      </c>
      <c r="AI273">
        <v>4.0999999999999996</v>
      </c>
      <c r="AJ273">
        <v>3.8</v>
      </c>
      <c r="AK273">
        <v>4.4000000000000004</v>
      </c>
      <c r="AL273">
        <v>57.656500000000001</v>
      </c>
      <c r="AM273">
        <v>2.2000000000000002</v>
      </c>
      <c r="AN273">
        <v>25400</v>
      </c>
      <c r="AO273">
        <v>0.31590000000000001</v>
      </c>
      <c r="AP273">
        <v>99.853800000000007</v>
      </c>
      <c r="AQ273">
        <v>98.292100000000005</v>
      </c>
      <c r="AR273">
        <v>99.4452</v>
      </c>
      <c r="AT273">
        <v>89.269900000000007</v>
      </c>
      <c r="AU273">
        <v>21.446899999999999</v>
      </c>
      <c r="AV273" s="19">
        <v>62.318800000000003</v>
      </c>
      <c r="AW273">
        <v>0.5</v>
      </c>
      <c r="AX273">
        <v>20.100000000000001</v>
      </c>
      <c r="AZ273">
        <v>6</v>
      </c>
      <c r="BA273">
        <v>82.025599999999997</v>
      </c>
      <c r="BB273">
        <v>14.666700000000001</v>
      </c>
      <c r="BC273">
        <v>5.319</v>
      </c>
      <c r="BD273" s="19">
        <v>3.5070000000000001</v>
      </c>
      <c r="BE273" s="19">
        <v>77.1845</v>
      </c>
      <c r="BF273">
        <v>8.4726999999999997</v>
      </c>
      <c r="BG273">
        <v>8.1</v>
      </c>
      <c r="BH273" s="20">
        <v>0.5766</v>
      </c>
      <c r="BI273" s="20">
        <v>1904.7507000000001</v>
      </c>
      <c r="BJ273" s="19">
        <v>76.555000000000007</v>
      </c>
      <c r="BK273">
        <v>0.98089999999999999</v>
      </c>
      <c r="BL273">
        <v>0.95640000000000003</v>
      </c>
      <c r="BM273">
        <v>0.93410000000000004</v>
      </c>
      <c r="BN273">
        <v>6</v>
      </c>
      <c r="BO273">
        <v>13.051</v>
      </c>
      <c r="BP273">
        <v>2.91</v>
      </c>
      <c r="BQ273" s="19">
        <v>102.94029999999999</v>
      </c>
      <c r="BR273">
        <v>72.101600000000005</v>
      </c>
      <c r="BS273" s="20">
        <v>8.3510000000000009</v>
      </c>
      <c r="BT273" s="20">
        <v>8.3510000000000009</v>
      </c>
      <c r="BU273" s="20">
        <v>22.731000000000002</v>
      </c>
      <c r="BV273" s="20">
        <v>22.882999999999999</v>
      </c>
      <c r="BW273" s="19">
        <v>78.846199999999996</v>
      </c>
      <c r="BX273">
        <v>40.67</v>
      </c>
      <c r="BY273" s="5">
        <v>16037592</v>
      </c>
      <c r="BZ273" s="6">
        <v>65420236</v>
      </c>
      <c r="CA273" s="7">
        <f t="shared" si="20"/>
        <v>4.0791807149103185</v>
      </c>
      <c r="CB273">
        <v>11048473</v>
      </c>
      <c r="CC273" s="8">
        <f t="shared" si="21"/>
        <v>5.9212015995332568</v>
      </c>
      <c r="CD273" s="8">
        <f t="shared" si="22"/>
        <v>1.4515663838794737</v>
      </c>
      <c r="CE273">
        <v>131694</v>
      </c>
      <c r="CF273" s="8">
        <f t="shared" si="23"/>
        <v>121.77921545400702</v>
      </c>
      <c r="CG273" s="8">
        <f t="shared" si="24"/>
        <v>496.75942715689399</v>
      </c>
      <c r="CH273" s="28">
        <v>101.43304999999999</v>
      </c>
    </row>
    <row r="274" spans="1:86" ht="15.5" x14ac:dyDescent="0.35">
      <c r="A274" t="s">
        <v>97</v>
      </c>
      <c r="B274">
        <v>2008</v>
      </c>
      <c r="C274" s="2">
        <v>50.0289</v>
      </c>
      <c r="D274">
        <v>207611.4</v>
      </c>
      <c r="E274">
        <v>0.22040000000000001</v>
      </c>
      <c r="F274">
        <v>9.1922999999999995</v>
      </c>
      <c r="G274">
        <v>130000</v>
      </c>
      <c r="H274">
        <v>10</v>
      </c>
      <c r="I274" s="19">
        <v>110.90300000000001</v>
      </c>
      <c r="J274" s="19">
        <v>109.52800000000001</v>
      </c>
      <c r="K274" s="19">
        <v>4.5810000000000004</v>
      </c>
      <c r="L274" s="19">
        <v>61.650500000000001</v>
      </c>
      <c r="M274" s="19">
        <v>-51535000000</v>
      </c>
      <c r="N274" s="19">
        <v>92.392700000000005</v>
      </c>
      <c r="O274">
        <v>28.3</v>
      </c>
      <c r="P274">
        <v>13.604900000000001</v>
      </c>
      <c r="Q274" s="19">
        <v>31740.794000000002</v>
      </c>
      <c r="R274" s="19">
        <v>23923.880099999998</v>
      </c>
      <c r="S274" s="19">
        <v>-0.20780000000000001</v>
      </c>
      <c r="T274" s="19">
        <v>41709.387600000002</v>
      </c>
      <c r="U274" s="19">
        <v>30440.9709</v>
      </c>
      <c r="V274">
        <v>33.6</v>
      </c>
      <c r="W274" s="19">
        <v>71.359200000000001</v>
      </c>
      <c r="X274">
        <v>99</v>
      </c>
      <c r="Y274">
        <v>95</v>
      </c>
      <c r="Z274">
        <v>99</v>
      </c>
      <c r="AA274">
        <v>3.4</v>
      </c>
      <c r="AB274">
        <v>38.200000000000003</v>
      </c>
      <c r="AC274">
        <v>79.938999999999993</v>
      </c>
      <c r="AE274">
        <v>3</v>
      </c>
      <c r="AF274">
        <v>95.298500000000004</v>
      </c>
      <c r="AG274">
        <v>15.5</v>
      </c>
      <c r="AH274">
        <v>0.2</v>
      </c>
      <c r="AI274">
        <v>4</v>
      </c>
      <c r="AJ274">
        <v>3.7</v>
      </c>
      <c r="AK274">
        <v>4.3</v>
      </c>
      <c r="AL274">
        <v>57.407299999999999</v>
      </c>
      <c r="AM274">
        <v>2.1</v>
      </c>
      <c r="AN274">
        <v>27081</v>
      </c>
      <c r="AO274">
        <v>0.27089999999999997</v>
      </c>
      <c r="AP274">
        <v>99.875900000000001</v>
      </c>
      <c r="AQ274">
        <v>98.384500000000003</v>
      </c>
      <c r="AR274">
        <v>99.416399999999996</v>
      </c>
      <c r="AT274">
        <v>89.824600000000004</v>
      </c>
      <c r="AU274">
        <v>20.8856</v>
      </c>
      <c r="AV274" s="19">
        <v>54.326900000000002</v>
      </c>
      <c r="AW274">
        <v>0.3</v>
      </c>
      <c r="AX274">
        <v>19.7</v>
      </c>
      <c r="AZ274">
        <v>6</v>
      </c>
      <c r="BA274">
        <v>82.727900000000005</v>
      </c>
      <c r="BB274">
        <v>14.666700000000001</v>
      </c>
      <c r="BC274">
        <v>5.7675999999999998</v>
      </c>
      <c r="BD274" s="19">
        <v>5.8000000000000003E-2</v>
      </c>
      <c r="BE274" s="19">
        <v>75.728200000000001</v>
      </c>
      <c r="BF274">
        <v>10.333500000000001</v>
      </c>
      <c r="BG274">
        <v>8.3000000000000007</v>
      </c>
      <c r="BH274" s="20">
        <v>0.66180000000000005</v>
      </c>
      <c r="BI274" s="20"/>
      <c r="BJ274" s="19">
        <v>77.403800000000004</v>
      </c>
      <c r="BN274">
        <v>6</v>
      </c>
      <c r="BO274">
        <v>13.097</v>
      </c>
      <c r="BP274">
        <v>3.31</v>
      </c>
      <c r="BQ274" s="19">
        <v>100.82640000000001</v>
      </c>
      <c r="BR274">
        <v>73.569100000000006</v>
      </c>
      <c r="BS274" s="20">
        <v>7.6639999999999997</v>
      </c>
      <c r="BT274" s="20">
        <v>7.6639999999999997</v>
      </c>
      <c r="BU274" s="20">
        <v>21.61</v>
      </c>
      <c r="BV274" s="20">
        <v>21.763999999999999</v>
      </c>
      <c r="BW274" s="19">
        <v>73.557699999999997</v>
      </c>
      <c r="BX274">
        <v>42.99</v>
      </c>
      <c r="BY274" s="5">
        <v>16013569</v>
      </c>
      <c r="BZ274" s="6">
        <v>65624563</v>
      </c>
      <c r="CA274" s="7">
        <f t="shared" si="20"/>
        <v>4.098059776680639</v>
      </c>
      <c r="CB274">
        <v>11077841</v>
      </c>
      <c r="CC274" s="8">
        <f t="shared" si="21"/>
        <v>5.9239488091587518</v>
      </c>
      <c r="CD274" s="8">
        <f t="shared" si="22"/>
        <v>1.4455496337237554</v>
      </c>
      <c r="CE274">
        <v>131694</v>
      </c>
      <c r="CF274" s="8">
        <f t="shared" si="23"/>
        <v>121.5968001579419</v>
      </c>
      <c r="CG274" s="8">
        <f t="shared" si="24"/>
        <v>498.31095570033563</v>
      </c>
      <c r="CH274" s="28">
        <v>101.82491</v>
      </c>
    </row>
    <row r="275" spans="1:86" ht="15.5" x14ac:dyDescent="0.35">
      <c r="A275" t="s">
        <v>97</v>
      </c>
      <c r="B275">
        <v>2009</v>
      </c>
      <c r="C275" s="2">
        <v>50.414299999999997</v>
      </c>
      <c r="D275">
        <v>194027.5</v>
      </c>
      <c r="E275">
        <v>0.2172</v>
      </c>
      <c r="F275">
        <v>8.6624999999999996</v>
      </c>
      <c r="G275">
        <v>123000</v>
      </c>
      <c r="H275">
        <v>10</v>
      </c>
      <c r="I275" s="19">
        <v>112.39700000000001</v>
      </c>
      <c r="J275" s="19">
        <v>112.32</v>
      </c>
      <c r="K275" s="19">
        <v>3.16</v>
      </c>
      <c r="L275" s="19">
        <v>59.808599999999998</v>
      </c>
      <c r="M275" s="19">
        <v>-35972000000</v>
      </c>
      <c r="N275" s="19">
        <v>71.685900000000004</v>
      </c>
      <c r="O275">
        <v>29.795000000000002</v>
      </c>
      <c r="P275">
        <v>17.2544</v>
      </c>
      <c r="Q275" s="19">
        <v>29426.018</v>
      </c>
      <c r="R275" s="19">
        <v>22878.134699999999</v>
      </c>
      <c r="S275" s="19">
        <v>-4.3711000000000002</v>
      </c>
      <c r="T275" s="19">
        <v>39886.213499999998</v>
      </c>
      <c r="U275" s="19">
        <v>29947.786800000002</v>
      </c>
      <c r="V275">
        <v>33.6</v>
      </c>
      <c r="W275" s="19">
        <v>70.334900000000005</v>
      </c>
      <c r="X275">
        <v>99</v>
      </c>
      <c r="Y275">
        <v>95</v>
      </c>
      <c r="Z275">
        <v>99</v>
      </c>
      <c r="AA275">
        <v>3.3</v>
      </c>
      <c r="AB275">
        <v>42.4</v>
      </c>
      <c r="AC275">
        <v>80.187799999999996</v>
      </c>
      <c r="AE275">
        <v>3</v>
      </c>
      <c r="AF275">
        <v>95.377099999999999</v>
      </c>
      <c r="AG275">
        <v>14.9</v>
      </c>
      <c r="AH275">
        <v>0.25</v>
      </c>
      <c r="AI275">
        <v>4</v>
      </c>
      <c r="AJ275">
        <v>3.7</v>
      </c>
      <c r="AK275">
        <v>4.2</v>
      </c>
      <c r="AL275">
        <v>57.472700000000003</v>
      </c>
      <c r="AM275">
        <v>2.1</v>
      </c>
      <c r="AN275">
        <v>18182</v>
      </c>
      <c r="AO275">
        <v>0.22670000000000001</v>
      </c>
      <c r="AP275">
        <v>99.897499999999994</v>
      </c>
      <c r="AQ275">
        <v>98.475499999999997</v>
      </c>
      <c r="AR275">
        <v>99.387200000000007</v>
      </c>
      <c r="AT275">
        <v>90.379300000000001</v>
      </c>
      <c r="AU275">
        <v>20.4636</v>
      </c>
      <c r="AV275" s="19">
        <v>37.914700000000003</v>
      </c>
      <c r="AW275">
        <v>0.6</v>
      </c>
      <c r="AX275">
        <v>20.100000000000001</v>
      </c>
      <c r="AZ275">
        <v>6</v>
      </c>
      <c r="BA275">
        <v>83.427700000000002</v>
      </c>
      <c r="BB275">
        <v>17.333300000000001</v>
      </c>
      <c r="BC275">
        <v>6.4268999999999998</v>
      </c>
      <c r="BD275" s="19">
        <v>-4.1189999999999998</v>
      </c>
      <c r="BE275" s="19">
        <v>74.641199999999998</v>
      </c>
      <c r="BF275">
        <v>13.746</v>
      </c>
      <c r="BG275">
        <v>9.1999999999999993</v>
      </c>
      <c r="BH275" s="20">
        <v>0.62560000000000004</v>
      </c>
      <c r="BI275" s="20"/>
      <c r="BJ275" s="19">
        <v>68.246399999999994</v>
      </c>
      <c r="BN275">
        <v>6</v>
      </c>
      <c r="BO275">
        <v>13.467000000000001</v>
      </c>
      <c r="BP275">
        <v>3.49</v>
      </c>
      <c r="BQ275" s="19">
        <v>98.029700000000005</v>
      </c>
      <c r="BR275">
        <v>68.227599999999995</v>
      </c>
      <c r="BS275" s="20">
        <v>9.5459999999999994</v>
      </c>
      <c r="BT275" s="20">
        <v>9.5459999999999994</v>
      </c>
      <c r="BU275" s="20">
        <v>25.469000000000001</v>
      </c>
      <c r="BV275" s="20">
        <v>25.609000000000002</v>
      </c>
      <c r="BW275" s="19">
        <v>73.933599999999998</v>
      </c>
      <c r="BX275">
        <v>46.45</v>
      </c>
      <c r="BY275" s="5">
        <v>20150866</v>
      </c>
      <c r="BZ275" s="6">
        <v>85083505</v>
      </c>
      <c r="CA275" s="7">
        <f t="shared" si="20"/>
        <v>4.2223249859336072</v>
      </c>
      <c r="CB275">
        <v>11107017</v>
      </c>
      <c r="CC275" s="8">
        <f t="shared" si="21"/>
        <v>7.6603380547630389</v>
      </c>
      <c r="CD275" s="8">
        <f t="shared" si="22"/>
        <v>1.814246435384046</v>
      </c>
      <c r="CE275">
        <v>131694</v>
      </c>
      <c r="CF275" s="8">
        <f t="shared" si="23"/>
        <v>153.01278721885583</v>
      </c>
      <c r="CG275" s="8">
        <f t="shared" si="24"/>
        <v>646.06971464151741</v>
      </c>
      <c r="CH275" s="28">
        <v>103.95072999999999</v>
      </c>
    </row>
    <row r="276" spans="1:86" ht="15.5" x14ac:dyDescent="0.35">
      <c r="A276" t="s">
        <v>97</v>
      </c>
      <c r="B276">
        <v>2010</v>
      </c>
      <c r="C276" s="2">
        <v>51.037100000000002</v>
      </c>
      <c r="D276">
        <v>181830.2</v>
      </c>
      <c r="E276">
        <v>0.2132</v>
      </c>
      <c r="F276">
        <v>8.0108999999999995</v>
      </c>
      <c r="G276">
        <v>117000</v>
      </c>
      <c r="H276">
        <v>10</v>
      </c>
      <c r="I276" s="19">
        <v>117.684</v>
      </c>
      <c r="J276" s="19">
        <v>118.113</v>
      </c>
      <c r="K276" s="19">
        <v>4.1509999999999998</v>
      </c>
      <c r="L276" s="19">
        <v>55.714300000000001</v>
      </c>
      <c r="M276" s="19">
        <v>-29861000000</v>
      </c>
      <c r="N276" s="19">
        <v>97.885900000000007</v>
      </c>
      <c r="O276">
        <v>29.849</v>
      </c>
      <c r="P276">
        <v>20.249199999999998</v>
      </c>
      <c r="Q276" s="19">
        <v>26679.741000000002</v>
      </c>
      <c r="R276" s="19">
        <v>21547.724200000001</v>
      </c>
      <c r="S276" s="19">
        <v>-5.8151999999999999</v>
      </c>
      <c r="T276" s="19">
        <v>37566.748299999999</v>
      </c>
      <c r="U276" s="19">
        <v>27841.859100000001</v>
      </c>
      <c r="V276">
        <v>34.1</v>
      </c>
      <c r="W276" s="19">
        <v>68.899500000000003</v>
      </c>
      <c r="X276">
        <v>99</v>
      </c>
      <c r="Y276">
        <v>95</v>
      </c>
      <c r="Z276">
        <v>99</v>
      </c>
      <c r="AA276">
        <v>3.3</v>
      </c>
      <c r="AB276">
        <v>44.4</v>
      </c>
      <c r="AC276">
        <v>80.387799999999999</v>
      </c>
      <c r="AD276">
        <v>101.3907</v>
      </c>
      <c r="AE276">
        <v>4</v>
      </c>
      <c r="AF276">
        <v>95.8977</v>
      </c>
      <c r="AG276">
        <v>13.1</v>
      </c>
      <c r="AH276">
        <v>0.2</v>
      </c>
      <c r="AI276">
        <v>3.9</v>
      </c>
      <c r="AJ276">
        <v>3.6</v>
      </c>
      <c r="AK276">
        <v>4.2</v>
      </c>
      <c r="AL276">
        <v>57.506100000000004</v>
      </c>
      <c r="AM276">
        <v>2.1</v>
      </c>
      <c r="AN276">
        <v>2001</v>
      </c>
      <c r="AO276">
        <v>0.18340000000000001</v>
      </c>
      <c r="AP276">
        <v>99.918599999999998</v>
      </c>
      <c r="AQ276">
        <v>98.565200000000004</v>
      </c>
      <c r="AR276">
        <v>99.357399999999998</v>
      </c>
      <c r="AT276">
        <v>90.933999999999997</v>
      </c>
      <c r="AU276">
        <v>20.2971</v>
      </c>
      <c r="AV276" s="19">
        <v>40.758299999999998</v>
      </c>
      <c r="AW276">
        <v>1</v>
      </c>
      <c r="AX276">
        <v>21.4</v>
      </c>
      <c r="AZ276">
        <v>6</v>
      </c>
      <c r="BA276">
        <v>84.125100000000003</v>
      </c>
      <c r="BB276">
        <v>17.333300000000001</v>
      </c>
      <c r="BC276">
        <v>6.6124999999999998</v>
      </c>
      <c r="BD276" s="19">
        <v>-5.694</v>
      </c>
      <c r="BE276" s="19">
        <v>71.291899999999998</v>
      </c>
      <c r="BF276">
        <v>18.395499999999998</v>
      </c>
      <c r="BG276">
        <v>11.4</v>
      </c>
      <c r="BH276" s="20">
        <v>0.60350000000000004</v>
      </c>
      <c r="BI276" s="20"/>
      <c r="BJ276" s="19">
        <v>66.824600000000004</v>
      </c>
      <c r="BK276">
        <v>0.97709999999999997</v>
      </c>
      <c r="BL276">
        <v>0.97030000000000005</v>
      </c>
      <c r="BM276">
        <v>0.96540000000000004</v>
      </c>
      <c r="BN276">
        <v>6</v>
      </c>
      <c r="BO276">
        <v>15.766999999999999</v>
      </c>
      <c r="BP276">
        <v>3.4</v>
      </c>
      <c r="BQ276" s="19">
        <v>99.398799999999994</v>
      </c>
      <c r="BR276">
        <v>58.6496</v>
      </c>
      <c r="BS276" s="20">
        <v>12.718999999999999</v>
      </c>
      <c r="BT276" s="20">
        <v>12.718999999999999</v>
      </c>
      <c r="BU276" s="20">
        <v>33.005000000000003</v>
      </c>
      <c r="BV276" s="20">
        <v>33.148000000000003</v>
      </c>
      <c r="BW276" s="19">
        <v>74.407600000000002</v>
      </c>
      <c r="BX276">
        <v>47.91</v>
      </c>
      <c r="BY276" s="5">
        <v>19856896</v>
      </c>
      <c r="BZ276" s="6">
        <v>84037675</v>
      </c>
      <c r="CA276" s="7">
        <f t="shared" si="20"/>
        <v>4.2321657423194443</v>
      </c>
      <c r="CB276">
        <v>11121341</v>
      </c>
      <c r="CC276" s="8">
        <f t="shared" si="21"/>
        <v>7.5564336171330417</v>
      </c>
      <c r="CD276" s="8">
        <f t="shared" si="22"/>
        <v>1.7854767693931874</v>
      </c>
      <c r="CE276">
        <v>131694</v>
      </c>
      <c r="CF276" s="8">
        <f t="shared" si="23"/>
        <v>150.78056707215211</v>
      </c>
      <c r="CG276" s="8">
        <f t="shared" si="24"/>
        <v>638.12835057026132</v>
      </c>
      <c r="CH276" s="28">
        <v>106.28607</v>
      </c>
    </row>
    <row r="277" spans="1:86" ht="15.5" x14ac:dyDescent="0.35">
      <c r="A277" t="s">
        <v>97</v>
      </c>
      <c r="B277">
        <v>2011</v>
      </c>
      <c r="C277" s="2">
        <v>51.871600000000001</v>
      </c>
      <c r="D277">
        <v>169447.2</v>
      </c>
      <c r="E277">
        <v>0.2288</v>
      </c>
      <c r="F277">
        <v>7.7565</v>
      </c>
      <c r="G277">
        <v>114000</v>
      </c>
      <c r="H277">
        <v>10</v>
      </c>
      <c r="I277" s="19">
        <v>121.354</v>
      </c>
      <c r="J277" s="19">
        <v>120.684</v>
      </c>
      <c r="K277" s="19">
        <v>4.6689999999999996</v>
      </c>
      <c r="L277" s="19">
        <v>55.450200000000002</v>
      </c>
      <c r="M277" s="19">
        <v>-28716000000</v>
      </c>
      <c r="N277" s="19">
        <v>118.4404</v>
      </c>
      <c r="O277">
        <v>22.08</v>
      </c>
      <c r="P277">
        <v>22.1831</v>
      </c>
      <c r="Q277" s="19">
        <v>25457.904999999999</v>
      </c>
      <c r="R277" s="19">
        <v>19448.255799999999</v>
      </c>
      <c r="S277" s="19">
        <v>-9.7432999999999996</v>
      </c>
      <c r="T277" s="19">
        <v>33906.491600000001</v>
      </c>
      <c r="U277" s="19">
        <v>25692.574100000002</v>
      </c>
      <c r="V277">
        <v>34.799999999999997</v>
      </c>
      <c r="W277" s="19">
        <v>66.824600000000004</v>
      </c>
      <c r="X277">
        <v>99</v>
      </c>
      <c r="Y277">
        <v>95</v>
      </c>
      <c r="Z277">
        <v>99</v>
      </c>
      <c r="AA277">
        <v>3.4</v>
      </c>
      <c r="AB277">
        <v>51.7</v>
      </c>
      <c r="AC277">
        <v>80.731700000000004</v>
      </c>
      <c r="AD277">
        <v>97.864500000000007</v>
      </c>
      <c r="AE277">
        <v>4</v>
      </c>
      <c r="AF277">
        <v>96.005099999999999</v>
      </c>
      <c r="AG277">
        <v>12.3</v>
      </c>
      <c r="AH277">
        <v>0.18</v>
      </c>
      <c r="AI277">
        <v>4</v>
      </c>
      <c r="AJ277">
        <v>3.7</v>
      </c>
      <c r="AK277">
        <v>4.3</v>
      </c>
      <c r="AL277">
        <v>57.1006</v>
      </c>
      <c r="AM277">
        <v>2.2000000000000002</v>
      </c>
      <c r="AN277">
        <v>-31786</v>
      </c>
      <c r="AO277">
        <v>0.1409</v>
      </c>
      <c r="AP277">
        <v>99.9392</v>
      </c>
      <c r="AQ277">
        <v>98.653700000000001</v>
      </c>
      <c r="AR277">
        <v>99.327200000000005</v>
      </c>
      <c r="AT277">
        <v>91.488699999999994</v>
      </c>
      <c r="AU277">
        <v>21.383400000000002</v>
      </c>
      <c r="AV277" s="19">
        <v>41.706200000000003</v>
      </c>
      <c r="AW277">
        <v>1.1000000000000001</v>
      </c>
      <c r="AX277">
        <v>23.1</v>
      </c>
      <c r="AZ277">
        <v>6</v>
      </c>
      <c r="BA277">
        <v>84.820400000000006</v>
      </c>
      <c r="BB277">
        <v>18.666699999999999</v>
      </c>
      <c r="BC277">
        <v>6.0403000000000002</v>
      </c>
      <c r="BD277" s="19">
        <v>-9.8770000000000007</v>
      </c>
      <c r="BE277" s="19">
        <v>66.350700000000003</v>
      </c>
      <c r="BF277">
        <v>14.145899999999999</v>
      </c>
      <c r="BG277">
        <v>11.4</v>
      </c>
      <c r="BH277" s="20">
        <v>0.68430000000000002</v>
      </c>
      <c r="BI277" s="20">
        <v>2217.3344999999999</v>
      </c>
      <c r="BJ277" s="19">
        <v>65.727699999999999</v>
      </c>
      <c r="BK277">
        <v>0.97970000000000002</v>
      </c>
      <c r="BL277">
        <v>0.98009999999999997</v>
      </c>
      <c r="BM277">
        <v>0.98109999999999997</v>
      </c>
      <c r="BN277">
        <v>6</v>
      </c>
      <c r="BO277">
        <v>18.311</v>
      </c>
      <c r="BP277">
        <v>4.3099999999999996</v>
      </c>
      <c r="BQ277" s="19">
        <v>99.828699999999998</v>
      </c>
      <c r="BR277">
        <v>42.947400000000002</v>
      </c>
      <c r="BS277" s="20">
        <v>17.972999999999999</v>
      </c>
      <c r="BT277" s="20">
        <v>17.972999999999999</v>
      </c>
      <c r="BU277" s="20">
        <v>44.951000000000001</v>
      </c>
      <c r="BV277" s="20">
        <v>45.125</v>
      </c>
      <c r="BW277" s="19">
        <v>72.77</v>
      </c>
      <c r="BX277">
        <v>51.57</v>
      </c>
      <c r="BY277" s="5">
        <v>20315597</v>
      </c>
      <c r="BZ277" s="6">
        <v>87440009</v>
      </c>
      <c r="CA277" s="7">
        <f t="shared" si="20"/>
        <v>4.3040826710630258</v>
      </c>
      <c r="CB277">
        <v>11104899</v>
      </c>
      <c r="CC277" s="8">
        <f t="shared" si="21"/>
        <v>7.8740030863855672</v>
      </c>
      <c r="CD277" s="8">
        <f t="shared" si="22"/>
        <v>1.8294265440865334</v>
      </c>
      <c r="CE277">
        <v>131694</v>
      </c>
      <c r="CF277" s="8">
        <f t="shared" si="23"/>
        <v>154.26364906525734</v>
      </c>
      <c r="CG277" s="8">
        <f t="shared" si="24"/>
        <v>663.96349871672214</v>
      </c>
      <c r="CH277" s="28">
        <v>106.45616</v>
      </c>
    </row>
    <row r="278" spans="1:86" ht="15.5" x14ac:dyDescent="0.35">
      <c r="A278" s="9" t="s">
        <v>97</v>
      </c>
      <c r="B278" s="9">
        <v>2012</v>
      </c>
      <c r="C278" s="10">
        <v>52.811</v>
      </c>
      <c r="D278" s="9">
        <v>160237.5</v>
      </c>
      <c r="E278" s="9">
        <v>0.23630000000000001</v>
      </c>
      <c r="F278" s="9">
        <v>7.3830999999999998</v>
      </c>
      <c r="G278" s="9">
        <v>110000</v>
      </c>
      <c r="H278" s="9">
        <v>10</v>
      </c>
      <c r="I278" s="21">
        <v>122.60899999999999</v>
      </c>
      <c r="J278" s="21">
        <v>121.068</v>
      </c>
      <c r="K278" s="21">
        <v>3.8420000000000001</v>
      </c>
      <c r="L278" s="21">
        <v>52.6066</v>
      </c>
      <c r="M278" s="21">
        <v>-6202000000</v>
      </c>
      <c r="N278" s="21">
        <v>124.1215</v>
      </c>
      <c r="O278" s="9">
        <v>22.172999999999998</v>
      </c>
      <c r="P278" s="9">
        <v>24.342500000000001</v>
      </c>
      <c r="Q278" s="21">
        <v>21557.251</v>
      </c>
      <c r="R278" s="21">
        <v>17924.662100000001</v>
      </c>
      <c r="S278" s="21">
        <v>-7.8341000000000003</v>
      </c>
      <c r="T278" s="21">
        <v>31250.2268</v>
      </c>
      <c r="U278" s="21">
        <v>24582.974200000001</v>
      </c>
      <c r="V278" s="9">
        <v>36.299999999999997</v>
      </c>
      <c r="W278" s="21">
        <v>62.559199999999997</v>
      </c>
      <c r="X278" s="9">
        <v>99</v>
      </c>
      <c r="Y278" s="9">
        <v>98</v>
      </c>
      <c r="Z278" s="9">
        <v>99</v>
      </c>
      <c r="AA278" s="9">
        <v>3.4</v>
      </c>
      <c r="AB278" s="9">
        <v>55.1</v>
      </c>
      <c r="AC278" s="9">
        <v>80.634100000000004</v>
      </c>
      <c r="AD278" s="9">
        <v>98.150800000000004</v>
      </c>
      <c r="AE278" s="9">
        <v>4</v>
      </c>
      <c r="AF278" s="9">
        <v>95.9893</v>
      </c>
      <c r="AG278" s="9">
        <v>11.3</v>
      </c>
      <c r="AH278" s="9">
        <v>0.17</v>
      </c>
      <c r="AI278" s="9">
        <v>4</v>
      </c>
      <c r="AJ278" s="9">
        <v>3.7</v>
      </c>
      <c r="AK278" s="9">
        <v>4.3</v>
      </c>
      <c r="AL278" s="9">
        <v>56.728099999999998</v>
      </c>
      <c r="AM278" s="9">
        <v>2.2999999999999998</v>
      </c>
      <c r="AN278" s="9">
        <v>-65364</v>
      </c>
      <c r="AO278" s="9">
        <v>9.9099999999999994E-2</v>
      </c>
      <c r="AP278" s="9">
        <v>99.959400000000002</v>
      </c>
      <c r="AQ278" s="9">
        <v>98.740899999999996</v>
      </c>
      <c r="AR278" s="9">
        <v>99.296400000000006</v>
      </c>
      <c r="AS278" s="9"/>
      <c r="AT278" s="9">
        <v>92.043400000000005</v>
      </c>
      <c r="AU278" s="9">
        <v>18.8095</v>
      </c>
      <c r="AV278" s="21">
        <v>39.336500000000001</v>
      </c>
      <c r="AW278" s="9">
        <v>1.5</v>
      </c>
      <c r="AX278" s="9">
        <v>23.1</v>
      </c>
      <c r="AY278" s="9"/>
      <c r="AZ278" s="9">
        <v>6</v>
      </c>
      <c r="BA278" s="9">
        <v>85.514099999999999</v>
      </c>
      <c r="BB278" s="9">
        <v>21</v>
      </c>
      <c r="BC278" s="9">
        <v>5.6760999999999999</v>
      </c>
      <c r="BD278" s="21">
        <v>-8.3309999999999995</v>
      </c>
      <c r="BE278" s="21">
        <v>68.246399999999994</v>
      </c>
      <c r="BF278" s="9">
        <v>16.9602</v>
      </c>
      <c r="BG278" s="9">
        <v>14.2</v>
      </c>
      <c r="BH278" s="22">
        <v>0.71</v>
      </c>
      <c r="BI278" s="22">
        <v>2236.2874000000002</v>
      </c>
      <c r="BJ278" s="21">
        <v>63.849800000000002</v>
      </c>
      <c r="BK278" s="9">
        <v>0.98040000000000005</v>
      </c>
      <c r="BL278" s="9">
        <v>0.97519999999999996</v>
      </c>
      <c r="BM278" s="9">
        <v>0.9708</v>
      </c>
      <c r="BN278" s="9">
        <v>6</v>
      </c>
      <c r="BO278" s="9">
        <v>21.135000000000002</v>
      </c>
      <c r="BP278" s="9">
        <v>4.7</v>
      </c>
      <c r="BQ278" s="21">
        <v>97.686700000000002</v>
      </c>
      <c r="BR278" s="9">
        <v>26.203900000000001</v>
      </c>
      <c r="BS278" s="22">
        <v>24.731000000000002</v>
      </c>
      <c r="BT278" s="22">
        <v>24.731000000000002</v>
      </c>
      <c r="BU278" s="22">
        <v>55.655999999999999</v>
      </c>
      <c r="BV278" s="22">
        <v>55.826999999999998</v>
      </c>
      <c r="BW278" s="21">
        <v>69.483599999999996</v>
      </c>
      <c r="BX278" s="9">
        <v>49.37</v>
      </c>
      <c r="BY278" s="14">
        <v>18212022</v>
      </c>
      <c r="BZ278" s="6">
        <v>80566672</v>
      </c>
      <c r="CA278" s="7">
        <f t="shared" si="20"/>
        <v>4.4238180691852884</v>
      </c>
      <c r="CB278">
        <v>11045011</v>
      </c>
      <c r="CC278" s="8">
        <f t="shared" si="21"/>
        <v>7.294394908253147</v>
      </c>
      <c r="CD278" s="8">
        <f t="shared" si="22"/>
        <v>1.6488912505383653</v>
      </c>
      <c r="CE278">
        <v>131694</v>
      </c>
      <c r="CF278" s="8">
        <f t="shared" si="23"/>
        <v>138.29044603398788</v>
      </c>
      <c r="CG278" s="8">
        <f t="shared" si="24"/>
        <v>611.77177396084858</v>
      </c>
      <c r="CH278" s="28">
        <v>104.93461000000001</v>
      </c>
    </row>
    <row r="279" spans="1:86" ht="15.5" x14ac:dyDescent="0.35">
      <c r="A279" t="s">
        <v>97</v>
      </c>
      <c r="B279">
        <v>2013</v>
      </c>
      <c r="C279" s="2">
        <v>53.731999999999999</v>
      </c>
      <c r="D279">
        <v>149820.20000000001</v>
      </c>
      <c r="E279">
        <v>0.219</v>
      </c>
      <c r="F279">
        <v>6.7363999999999997</v>
      </c>
      <c r="G279">
        <v>101000</v>
      </c>
      <c r="H279">
        <v>10</v>
      </c>
      <c r="I279" s="19">
        <v>121.562</v>
      </c>
      <c r="J279" s="19">
        <v>118.869</v>
      </c>
      <c r="K279" s="19">
        <v>3.1909999999999998</v>
      </c>
      <c r="L279" s="19">
        <v>55.924199999999999</v>
      </c>
      <c r="M279" s="19">
        <v>-6171000000</v>
      </c>
      <c r="N279" s="19">
        <v>126.9046</v>
      </c>
      <c r="O279">
        <v>25.655999999999999</v>
      </c>
      <c r="P279">
        <v>26.561900000000001</v>
      </c>
      <c r="Q279" s="19">
        <v>21498.365000000002</v>
      </c>
      <c r="R279" s="19">
        <v>17644.876700000001</v>
      </c>
      <c r="S279" s="19">
        <v>-1.5609</v>
      </c>
      <c r="T279" s="19">
        <v>30762.443200000002</v>
      </c>
      <c r="U279" s="19">
        <v>25730.8809</v>
      </c>
      <c r="V279">
        <v>36.1</v>
      </c>
      <c r="W279" s="19">
        <v>64.454999999999998</v>
      </c>
      <c r="X279">
        <v>99</v>
      </c>
      <c r="Y279">
        <v>98</v>
      </c>
      <c r="Z279">
        <v>99</v>
      </c>
      <c r="AA279">
        <v>3.5</v>
      </c>
      <c r="AB279">
        <v>59.9</v>
      </c>
      <c r="AC279">
        <v>81.285399999999996</v>
      </c>
      <c r="AD279">
        <v>94.91</v>
      </c>
      <c r="AE279">
        <v>4</v>
      </c>
      <c r="AF279">
        <v>94.978999999999999</v>
      </c>
      <c r="AG279">
        <v>10.3</v>
      </c>
      <c r="AH279">
        <v>0.14000000000000001</v>
      </c>
      <c r="AI279">
        <v>4.0999999999999996</v>
      </c>
      <c r="AJ279">
        <v>3.8</v>
      </c>
      <c r="AK279">
        <v>4.5</v>
      </c>
      <c r="AL279">
        <v>57.722999999999999</v>
      </c>
      <c r="AM279">
        <v>2.5</v>
      </c>
      <c r="AN279">
        <v>-59323</v>
      </c>
      <c r="AO279">
        <v>5.8200000000000002E-2</v>
      </c>
      <c r="AP279">
        <v>99.978999999999999</v>
      </c>
      <c r="AQ279">
        <v>98.826800000000006</v>
      </c>
      <c r="AR279">
        <v>99.265199999999993</v>
      </c>
      <c r="AT279">
        <v>92.598100000000002</v>
      </c>
      <c r="AU279">
        <v>17.960100000000001</v>
      </c>
      <c r="AV279" s="19">
        <v>40.284399999999998</v>
      </c>
      <c r="AW279">
        <v>1</v>
      </c>
      <c r="AX279">
        <v>22.1</v>
      </c>
      <c r="AY279">
        <v>6</v>
      </c>
      <c r="AZ279">
        <v>6</v>
      </c>
      <c r="BA279">
        <v>86.205399999999997</v>
      </c>
      <c r="BB279">
        <v>21</v>
      </c>
      <c r="BC279">
        <v>5.1802999999999999</v>
      </c>
      <c r="BD279" s="19">
        <v>-2.2719999999999998</v>
      </c>
      <c r="BE279" s="19">
        <v>71.09</v>
      </c>
      <c r="BF279">
        <v>25.173400000000001</v>
      </c>
      <c r="BG279">
        <v>16.600000000000001</v>
      </c>
      <c r="BH279" s="20">
        <v>0.81479999999999997</v>
      </c>
      <c r="BI279" s="20">
        <v>2655.4722000000002</v>
      </c>
      <c r="BJ279" s="19">
        <v>64.788700000000006</v>
      </c>
      <c r="BK279">
        <v>0.98270000000000002</v>
      </c>
      <c r="BL279">
        <v>0.97299999999999998</v>
      </c>
      <c r="BM279">
        <v>0.96440000000000003</v>
      </c>
      <c r="BN279">
        <v>6</v>
      </c>
      <c r="BO279">
        <v>21.244</v>
      </c>
      <c r="BP279">
        <v>4.93</v>
      </c>
      <c r="BQ279" s="19">
        <v>97.941400000000002</v>
      </c>
      <c r="BR279">
        <v>19.951599999999999</v>
      </c>
      <c r="BS279" s="20">
        <v>27.686</v>
      </c>
      <c r="BT279" s="20">
        <v>27.686</v>
      </c>
      <c r="BU279" s="20">
        <v>58.491</v>
      </c>
      <c r="BV279" s="20">
        <v>58.664000000000001</v>
      </c>
      <c r="BW279" s="19">
        <v>68.075100000000006</v>
      </c>
      <c r="BX279">
        <v>51.38</v>
      </c>
      <c r="BY279" s="5">
        <v>20115254</v>
      </c>
      <c r="BZ279" s="6">
        <v>89105445</v>
      </c>
      <c r="CA279" s="7">
        <f t="shared" si="20"/>
        <v>4.4297449587263475</v>
      </c>
      <c r="CB279">
        <v>10965211</v>
      </c>
      <c r="CC279" s="8">
        <f t="shared" si="21"/>
        <v>8.1261952004389162</v>
      </c>
      <c r="CD279" s="8">
        <f t="shared" si="22"/>
        <v>1.8344611882069575</v>
      </c>
      <c r="CE279">
        <v>131694</v>
      </c>
      <c r="CF279" s="8">
        <f t="shared" si="23"/>
        <v>152.74237246951265</v>
      </c>
      <c r="CG279" s="8">
        <f t="shared" si="24"/>
        <v>676.60975443072573</v>
      </c>
      <c r="CH279" s="28">
        <v>102.67167000000001</v>
      </c>
    </row>
    <row r="280" spans="1:86" ht="15.5" x14ac:dyDescent="0.35">
      <c r="A280" t="s">
        <v>97</v>
      </c>
      <c r="B280">
        <v>2014</v>
      </c>
      <c r="C280" s="2">
        <v>54.522100000000002</v>
      </c>
      <c r="D280">
        <v>140886.79999999999</v>
      </c>
      <c r="E280">
        <v>0.20880000000000001</v>
      </c>
      <c r="F280">
        <v>6.5186999999999999</v>
      </c>
      <c r="G280">
        <v>97300</v>
      </c>
      <c r="H280">
        <v>10</v>
      </c>
      <c r="I280" s="19">
        <v>119.86799999999999</v>
      </c>
      <c r="J280" s="19">
        <v>115.85599999999999</v>
      </c>
      <c r="K280" s="19">
        <v>2.8130000000000002</v>
      </c>
      <c r="L280" s="19">
        <v>53.365400000000001</v>
      </c>
      <c r="M280" s="19">
        <v>-5872000000</v>
      </c>
      <c r="N280" s="19">
        <v>125.9379</v>
      </c>
      <c r="O280">
        <v>27.753</v>
      </c>
      <c r="P280">
        <v>28.972899999999999</v>
      </c>
      <c r="Q280" s="19">
        <v>21412.642</v>
      </c>
      <c r="R280" s="19">
        <v>17903.525300000001</v>
      </c>
      <c r="S280" s="19">
        <v>1.4659</v>
      </c>
      <c r="T280" s="19">
        <v>31213.376499999998</v>
      </c>
      <c r="U280" s="19">
        <v>26450.1813</v>
      </c>
      <c r="V280">
        <v>35.799999999999997</v>
      </c>
      <c r="W280" s="19">
        <v>64.903800000000004</v>
      </c>
      <c r="X280">
        <v>99</v>
      </c>
      <c r="Y280">
        <v>96</v>
      </c>
      <c r="Z280">
        <v>97</v>
      </c>
      <c r="AA280">
        <v>3.6</v>
      </c>
      <c r="AB280">
        <v>63.2</v>
      </c>
      <c r="AC280">
        <v>81.385400000000004</v>
      </c>
      <c r="AD280">
        <v>90.751099999999994</v>
      </c>
      <c r="AE280">
        <v>4</v>
      </c>
      <c r="AF280">
        <v>95.035799999999995</v>
      </c>
      <c r="AG280">
        <v>9.3000000000000007</v>
      </c>
      <c r="AH280">
        <v>0.18</v>
      </c>
      <c r="AI280">
        <v>4.2</v>
      </c>
      <c r="AJ280">
        <v>3.9</v>
      </c>
      <c r="AK280">
        <v>4.5999999999999996</v>
      </c>
      <c r="AL280">
        <v>58.3401</v>
      </c>
      <c r="AM280">
        <v>2.6</v>
      </c>
      <c r="AN280">
        <v>-46678</v>
      </c>
      <c r="AO280">
        <v>1.7999999999999999E-2</v>
      </c>
      <c r="AP280">
        <v>99.998199999999997</v>
      </c>
      <c r="AQ280">
        <v>98.911500000000004</v>
      </c>
      <c r="AR280">
        <v>99.233500000000006</v>
      </c>
      <c r="AT280">
        <v>93.152799999999999</v>
      </c>
      <c r="AU280">
        <v>16.869900000000001</v>
      </c>
      <c r="AV280" s="19">
        <v>40.476199999999999</v>
      </c>
      <c r="AW280">
        <v>1.5</v>
      </c>
      <c r="AX280">
        <v>21.4</v>
      </c>
      <c r="AY280">
        <v>6</v>
      </c>
      <c r="AZ280">
        <v>6</v>
      </c>
      <c r="BA280">
        <v>86.894499999999994</v>
      </c>
      <c r="BB280">
        <v>21</v>
      </c>
      <c r="BC280">
        <v>4.4881000000000002</v>
      </c>
      <c r="BD280" s="19">
        <v>0.79200000000000004</v>
      </c>
      <c r="BE280" s="19">
        <v>63.942300000000003</v>
      </c>
      <c r="BF280">
        <v>24.3841</v>
      </c>
      <c r="BG280">
        <v>16.399999999999999</v>
      </c>
      <c r="BH280" s="20">
        <v>0.84</v>
      </c>
      <c r="BI280" s="20">
        <v>2733.9231</v>
      </c>
      <c r="BJ280" s="19">
        <v>66.346199999999996</v>
      </c>
      <c r="BK280">
        <v>0.98819999999999997</v>
      </c>
      <c r="BL280">
        <v>0.9647</v>
      </c>
      <c r="BM280">
        <v>0.94289999999999996</v>
      </c>
      <c r="BN280">
        <v>6</v>
      </c>
      <c r="BO280">
        <v>19.869</v>
      </c>
      <c r="BP280">
        <v>5.3</v>
      </c>
      <c r="BQ280" s="19">
        <v>98.075100000000006</v>
      </c>
      <c r="BR280">
        <v>25.653600000000001</v>
      </c>
      <c r="BS280" s="20">
        <v>26.707999999999998</v>
      </c>
      <c r="BT280" s="20">
        <v>26.707999999999998</v>
      </c>
      <c r="BU280" s="20">
        <v>52.645000000000003</v>
      </c>
      <c r="BV280" s="20">
        <v>52.768000000000001</v>
      </c>
      <c r="BW280" s="19">
        <v>68.472899999999996</v>
      </c>
      <c r="BX280">
        <v>49.33</v>
      </c>
      <c r="BY280" s="5">
        <v>22674051</v>
      </c>
      <c r="BZ280" s="6">
        <v>100763472</v>
      </c>
      <c r="CA280" s="7">
        <f t="shared" si="20"/>
        <v>4.4439995305646969</v>
      </c>
      <c r="CB280">
        <v>10892413</v>
      </c>
      <c r="CC280" s="8">
        <f t="shared" si="21"/>
        <v>9.2507942914026486</v>
      </c>
      <c r="CD280" s="8">
        <f t="shared" si="22"/>
        <v>2.0816370991441473</v>
      </c>
      <c r="CE280">
        <v>131694</v>
      </c>
      <c r="CF280" s="8">
        <f t="shared" si="23"/>
        <v>172.1722401931751</v>
      </c>
      <c r="CG280" s="8">
        <f t="shared" si="24"/>
        <v>765.1333545947424</v>
      </c>
      <c r="CH280" s="28">
        <v>101.15755</v>
      </c>
    </row>
    <row r="281" spans="1:86" ht="15.5" x14ac:dyDescent="0.35">
      <c r="A281" t="s">
        <v>97</v>
      </c>
      <c r="B281">
        <v>2015</v>
      </c>
      <c r="C281" s="2">
        <v>55.192500000000003</v>
      </c>
      <c r="D281">
        <v>141014.39999999999</v>
      </c>
      <c r="E281">
        <v>0.20469999999999999</v>
      </c>
      <c r="F281">
        <v>6.4179000000000004</v>
      </c>
      <c r="G281">
        <v>93500</v>
      </c>
      <c r="H281">
        <v>10</v>
      </c>
      <c r="I281" s="19">
        <v>118.557</v>
      </c>
      <c r="J281" s="19">
        <v>116.31</v>
      </c>
      <c r="K281" s="19">
        <v>2.79</v>
      </c>
      <c r="L281" s="19">
        <v>53.8095</v>
      </c>
      <c r="M281" s="19">
        <v>-2894000000</v>
      </c>
      <c r="N281" s="19">
        <v>100</v>
      </c>
      <c r="O281">
        <v>24.759</v>
      </c>
      <c r="P281">
        <v>31.781400000000001</v>
      </c>
      <c r="Q281" s="19">
        <v>17921.050999999999</v>
      </c>
      <c r="R281" s="19">
        <v>17980.729800000001</v>
      </c>
      <c r="S281" s="19">
        <v>0.43120000000000003</v>
      </c>
      <c r="T281" s="19">
        <v>31347.976500000001</v>
      </c>
      <c r="U281" s="19">
        <v>26614.848399999999</v>
      </c>
      <c r="V281">
        <v>36</v>
      </c>
      <c r="W281" s="19">
        <v>59.047600000000003</v>
      </c>
      <c r="X281">
        <v>99</v>
      </c>
      <c r="Y281">
        <v>96</v>
      </c>
      <c r="Z281">
        <v>97</v>
      </c>
      <c r="AA281">
        <v>3.6</v>
      </c>
      <c r="AB281">
        <v>66.8</v>
      </c>
      <c r="AC281">
        <v>81.036600000000007</v>
      </c>
      <c r="AD281">
        <v>94.897000000000006</v>
      </c>
      <c r="AE281">
        <v>5</v>
      </c>
      <c r="AF281">
        <v>94.584400000000002</v>
      </c>
      <c r="AG281">
        <v>9.3000000000000007</v>
      </c>
      <c r="AH281">
        <v>8.7999999999999995E-2</v>
      </c>
      <c r="AI281">
        <v>4.3</v>
      </c>
      <c r="AJ281">
        <v>4</v>
      </c>
      <c r="AK281">
        <v>4.5999999999999996</v>
      </c>
      <c r="AL281">
        <v>58.363799999999998</v>
      </c>
      <c r="AM281">
        <v>2.6</v>
      </c>
      <c r="AN281">
        <v>-43462</v>
      </c>
      <c r="AO281">
        <v>0</v>
      </c>
      <c r="AP281">
        <v>100</v>
      </c>
      <c r="AQ281">
        <v>98.975999999999999</v>
      </c>
      <c r="AR281">
        <v>99.184399999999997</v>
      </c>
      <c r="AT281">
        <v>93.743399999999994</v>
      </c>
      <c r="AU281">
        <v>17.237200000000001</v>
      </c>
      <c r="AV281" s="19">
        <v>38.095199999999998</v>
      </c>
      <c r="AW281">
        <v>1.4</v>
      </c>
      <c r="AX281">
        <v>21.2</v>
      </c>
      <c r="AY281">
        <v>6</v>
      </c>
      <c r="AZ281">
        <v>6</v>
      </c>
      <c r="BA281">
        <v>87.639399999999995</v>
      </c>
      <c r="BB281">
        <v>19.666699999999999</v>
      </c>
      <c r="BC281">
        <v>4.74</v>
      </c>
      <c r="BD281" s="19">
        <v>-0.22800000000000001</v>
      </c>
      <c r="BE281" s="19">
        <v>65.714299999999994</v>
      </c>
      <c r="BF281">
        <v>28.7273</v>
      </c>
      <c r="BG281">
        <v>17.5</v>
      </c>
      <c r="BH281" s="20">
        <v>0.96609999999999996</v>
      </c>
      <c r="BI281" s="20">
        <v>3196.5228999999999</v>
      </c>
      <c r="BJ281" s="19">
        <v>62.857100000000003</v>
      </c>
      <c r="BK281">
        <v>0.99099999999999999</v>
      </c>
      <c r="BL281">
        <v>0.95960000000000001</v>
      </c>
      <c r="BM281">
        <v>0.92979999999999996</v>
      </c>
      <c r="BN281">
        <v>6</v>
      </c>
      <c r="BO281">
        <v>17.896000000000001</v>
      </c>
      <c r="BP281">
        <v>4.9400000000000004</v>
      </c>
      <c r="BQ281" s="19">
        <v>100</v>
      </c>
      <c r="BR281">
        <v>29.7239</v>
      </c>
      <c r="BS281" s="20">
        <v>24.981000000000002</v>
      </c>
      <c r="BT281" s="20">
        <v>24.981000000000002</v>
      </c>
      <c r="BU281" s="20">
        <v>49.731000000000002</v>
      </c>
      <c r="BV281" s="20">
        <v>49.841000000000001</v>
      </c>
      <c r="BW281" s="19">
        <v>70.443399999999997</v>
      </c>
      <c r="BX281">
        <v>49.23</v>
      </c>
      <c r="BY281" s="5">
        <v>24166974</v>
      </c>
      <c r="BZ281" s="6">
        <v>106064266</v>
      </c>
      <c r="CA281" s="7">
        <f t="shared" si="20"/>
        <v>4.3888103657495554</v>
      </c>
      <c r="CB281">
        <v>10820883</v>
      </c>
      <c r="CC281" s="8">
        <f t="shared" si="21"/>
        <v>9.8018124768560941</v>
      </c>
      <c r="CD281" s="8">
        <f t="shared" si="22"/>
        <v>2.2333643197140196</v>
      </c>
      <c r="CE281">
        <v>131694</v>
      </c>
      <c r="CF281" s="8">
        <f t="shared" si="23"/>
        <v>183.5085425304114</v>
      </c>
      <c r="CG281" s="8">
        <f t="shared" si="24"/>
        <v>805.3841936610628</v>
      </c>
      <c r="CH281" s="28">
        <v>100</v>
      </c>
    </row>
    <row r="282" spans="1:86" ht="15.5" x14ac:dyDescent="0.35">
      <c r="A282" t="s">
        <v>97</v>
      </c>
      <c r="B282">
        <v>2016</v>
      </c>
      <c r="C282" s="2">
        <v>55.851599999999998</v>
      </c>
      <c r="D282">
        <v>148249.1</v>
      </c>
      <c r="E282">
        <v>0.20100000000000001</v>
      </c>
      <c r="F282">
        <v>6.3247999999999998</v>
      </c>
      <c r="G282">
        <v>93500</v>
      </c>
      <c r="H282">
        <v>10</v>
      </c>
      <c r="I282" s="19">
        <v>118.57299999999999</v>
      </c>
      <c r="J282" s="19">
        <v>116.64700000000001</v>
      </c>
      <c r="K282" s="19">
        <v>2.9319999999999999</v>
      </c>
      <c r="L282" s="19">
        <v>53.333300000000001</v>
      </c>
      <c r="M282" s="19">
        <v>-4583000000</v>
      </c>
      <c r="N282" s="19">
        <v>98.587699999999998</v>
      </c>
      <c r="O282">
        <v>24.698</v>
      </c>
      <c r="P282">
        <v>33.5486</v>
      </c>
      <c r="Q282" s="19">
        <v>17901.38</v>
      </c>
      <c r="R282" s="19">
        <v>18049.928899999999</v>
      </c>
      <c r="S282" s="19">
        <v>0.38490000000000002</v>
      </c>
      <c r="T282" s="19">
        <v>31468.619600000002</v>
      </c>
      <c r="U282" s="19">
        <v>27504.549800000001</v>
      </c>
      <c r="V282">
        <v>35</v>
      </c>
      <c r="W282" s="19">
        <v>58.571399999999997</v>
      </c>
      <c r="X282">
        <v>99</v>
      </c>
      <c r="Y282">
        <v>96</v>
      </c>
      <c r="Z282">
        <v>97</v>
      </c>
      <c r="AA282">
        <v>3.6</v>
      </c>
      <c r="AB282">
        <v>69.099999999999994</v>
      </c>
      <c r="AC282">
        <v>81.387799999999999</v>
      </c>
      <c r="AD282">
        <v>92.849599999999995</v>
      </c>
      <c r="AE282">
        <v>5</v>
      </c>
      <c r="AF282">
        <v>93.750799999999998</v>
      </c>
      <c r="AG282">
        <v>9.6999999999999993</v>
      </c>
      <c r="AH282">
        <v>0.16</v>
      </c>
      <c r="AI282">
        <v>4.3</v>
      </c>
      <c r="AJ282">
        <v>4</v>
      </c>
      <c r="AK282">
        <v>4.7</v>
      </c>
      <c r="AL282">
        <v>57.993200000000002</v>
      </c>
      <c r="AM282">
        <v>2.6</v>
      </c>
      <c r="AN282">
        <v>10484</v>
      </c>
      <c r="AO282">
        <v>0</v>
      </c>
      <c r="AP282">
        <v>100</v>
      </c>
      <c r="AQ282">
        <v>98.979600000000005</v>
      </c>
      <c r="AR282">
        <v>99.133600000000001</v>
      </c>
      <c r="AT282">
        <v>94.3446</v>
      </c>
      <c r="AU282">
        <v>15.775</v>
      </c>
      <c r="AV282" s="19">
        <v>41.428600000000003</v>
      </c>
      <c r="AW282">
        <v>1</v>
      </c>
      <c r="AX282">
        <v>20.2</v>
      </c>
      <c r="AY282">
        <v>6</v>
      </c>
      <c r="AZ282">
        <v>6</v>
      </c>
      <c r="BA282">
        <v>88.385199999999998</v>
      </c>
      <c r="BB282">
        <v>19.666699999999999</v>
      </c>
      <c r="BC282">
        <v>4.3426</v>
      </c>
      <c r="BD282" s="19">
        <v>-3.2000000000000001E-2</v>
      </c>
      <c r="BE282" s="19">
        <v>60</v>
      </c>
      <c r="BF282">
        <v>27.398700000000002</v>
      </c>
      <c r="BG282">
        <v>16.399999999999999</v>
      </c>
      <c r="BH282" s="20">
        <v>1.0053000000000001</v>
      </c>
      <c r="BI282" s="20">
        <v>2726.6008000000002</v>
      </c>
      <c r="BJ282" s="19">
        <v>57.619</v>
      </c>
      <c r="BK282">
        <v>0.99580000000000002</v>
      </c>
      <c r="BL282">
        <v>0.96540000000000004</v>
      </c>
      <c r="BM282">
        <v>0.93620000000000003</v>
      </c>
      <c r="BN282">
        <v>6</v>
      </c>
      <c r="BO282">
        <v>16.239000000000001</v>
      </c>
      <c r="BP282">
        <v>4.5999999999999996</v>
      </c>
      <c r="BQ282" s="19">
        <v>99.248199999999997</v>
      </c>
      <c r="BR282">
        <v>33.421999999999997</v>
      </c>
      <c r="BS282" s="20">
        <v>23.513999999999999</v>
      </c>
      <c r="BT282" s="20">
        <v>23.513999999999999</v>
      </c>
      <c r="BU282" s="20">
        <v>47.222999999999999</v>
      </c>
      <c r="BV282" s="20">
        <v>47.347000000000001</v>
      </c>
      <c r="BW282" s="19">
        <v>70.443399999999997</v>
      </c>
      <c r="BX282">
        <v>46.95</v>
      </c>
      <c r="BY282" s="5">
        <v>24996038</v>
      </c>
      <c r="BZ282" s="6">
        <v>110020042</v>
      </c>
      <c r="CA282" s="7">
        <f t="shared" si="20"/>
        <v>4.4014992295979063</v>
      </c>
      <c r="CB282">
        <v>10775971</v>
      </c>
      <c r="CC282" s="8">
        <f t="shared" si="21"/>
        <v>10.209756689211581</v>
      </c>
      <c r="CD282" s="8">
        <f t="shared" si="22"/>
        <v>2.3196088779377746</v>
      </c>
      <c r="CE282">
        <v>131694</v>
      </c>
      <c r="CF282" s="8">
        <f t="shared" si="23"/>
        <v>189.803924248637</v>
      </c>
      <c r="CG282" s="8">
        <f t="shared" si="24"/>
        <v>835.42182635503514</v>
      </c>
      <c r="CH282" s="28">
        <v>100.06258</v>
      </c>
    </row>
    <row r="283" spans="1:86" ht="15.5" x14ac:dyDescent="0.35">
      <c r="A283" t="s">
        <v>97</v>
      </c>
      <c r="B283">
        <v>2017</v>
      </c>
      <c r="C283" s="2">
        <v>56.436599999999999</v>
      </c>
      <c r="D283">
        <v>156533.70000000001</v>
      </c>
      <c r="E283">
        <v>0.19869999999999999</v>
      </c>
      <c r="F283">
        <v>6.3581000000000003</v>
      </c>
      <c r="G283">
        <v>93500</v>
      </c>
      <c r="H283">
        <v>10</v>
      </c>
      <c r="I283" s="19">
        <v>119.922</v>
      </c>
      <c r="J283" s="19">
        <v>117.776</v>
      </c>
      <c r="K283" s="19">
        <v>3.3260000000000001</v>
      </c>
      <c r="L283" s="19">
        <v>53.333300000000001</v>
      </c>
      <c r="M283" s="19">
        <v>-5143000000</v>
      </c>
      <c r="N283" s="19">
        <v>114.26390000000001</v>
      </c>
      <c r="O283">
        <v>29.885000000000002</v>
      </c>
      <c r="P283">
        <v>35.135100000000001</v>
      </c>
      <c r="Q283" s="19">
        <v>18602.047999999999</v>
      </c>
      <c r="R283" s="19">
        <v>18352.088400000001</v>
      </c>
      <c r="S283" s="19">
        <v>1.6739999999999999</v>
      </c>
      <c r="T283" s="19">
        <v>31995.4107</v>
      </c>
      <c r="U283" s="19">
        <v>28681.6816</v>
      </c>
      <c r="V283">
        <v>34.4</v>
      </c>
      <c r="W283" s="19">
        <v>64.285700000000006</v>
      </c>
      <c r="X283">
        <v>99</v>
      </c>
      <c r="Y283">
        <v>96</v>
      </c>
      <c r="Z283">
        <v>97</v>
      </c>
      <c r="AA283">
        <v>3.6</v>
      </c>
      <c r="AB283">
        <v>69.900000000000006</v>
      </c>
      <c r="AC283">
        <v>81.287800000000004</v>
      </c>
      <c r="AD283">
        <v>93.848699999999994</v>
      </c>
      <c r="AE283">
        <v>5</v>
      </c>
      <c r="AF283">
        <v>93.822800000000001</v>
      </c>
      <c r="AG283">
        <v>8.6</v>
      </c>
      <c r="AH283">
        <v>0.26</v>
      </c>
      <c r="AI283">
        <v>4.3</v>
      </c>
      <c r="AJ283">
        <v>3.9</v>
      </c>
      <c r="AK283">
        <v>4.5999999999999996</v>
      </c>
      <c r="AL283">
        <v>57.967599999999997</v>
      </c>
      <c r="AM283">
        <v>2.6</v>
      </c>
      <c r="AN283">
        <v>10483</v>
      </c>
      <c r="AO283">
        <v>0</v>
      </c>
      <c r="AP283">
        <v>100</v>
      </c>
      <c r="AQ283">
        <v>98.983199999999997</v>
      </c>
      <c r="AR283">
        <v>99.082800000000006</v>
      </c>
      <c r="AT283">
        <v>94.945899999999995</v>
      </c>
      <c r="AU283">
        <v>15.6724</v>
      </c>
      <c r="AV283" s="19">
        <v>41.428600000000003</v>
      </c>
      <c r="AW283">
        <v>0.9</v>
      </c>
      <c r="AX283">
        <v>18.5</v>
      </c>
      <c r="AY283">
        <v>6</v>
      </c>
      <c r="AZ283">
        <v>6</v>
      </c>
      <c r="BA283">
        <v>89.128299999999996</v>
      </c>
      <c r="BB283">
        <v>18.333300000000001</v>
      </c>
      <c r="BC283">
        <v>4.2435</v>
      </c>
      <c r="BD283" s="19">
        <v>1.4730000000000001</v>
      </c>
      <c r="BE283" s="19">
        <v>62.381</v>
      </c>
      <c r="BF283">
        <v>25.111799999999999</v>
      </c>
      <c r="BG283">
        <v>16.399999999999999</v>
      </c>
      <c r="BH283" s="20">
        <v>1.1523000000000001</v>
      </c>
      <c r="BI283" s="20">
        <v>3250.6152000000002</v>
      </c>
      <c r="BJ283" s="19">
        <v>55.714300000000001</v>
      </c>
      <c r="BK283">
        <v>1.0003</v>
      </c>
      <c r="BL283">
        <v>0.97099999999999997</v>
      </c>
      <c r="BM283">
        <v>0.94299999999999995</v>
      </c>
      <c r="BN283">
        <v>6</v>
      </c>
      <c r="BO283">
        <v>15.885</v>
      </c>
      <c r="BP283">
        <v>5</v>
      </c>
      <c r="BQ283" s="19">
        <v>99.807500000000005</v>
      </c>
      <c r="BR283">
        <v>38.9589</v>
      </c>
      <c r="BS283" s="20">
        <v>21.413</v>
      </c>
      <c r="BT283" s="20">
        <v>21.414000000000001</v>
      </c>
      <c r="BU283" s="20">
        <v>43.392000000000003</v>
      </c>
      <c r="BV283" s="20">
        <v>43.529000000000003</v>
      </c>
      <c r="BW283" s="19">
        <v>69.458100000000002</v>
      </c>
      <c r="BX283">
        <v>45.69</v>
      </c>
      <c r="BY283" s="5">
        <v>27211268</v>
      </c>
      <c r="BZ283" s="6">
        <v>119009014</v>
      </c>
      <c r="CA283" s="7">
        <f t="shared" si="20"/>
        <v>4.3735196022471277</v>
      </c>
      <c r="CB283">
        <v>10754679</v>
      </c>
      <c r="CC283" s="8">
        <f t="shared" si="21"/>
        <v>11.065789504270652</v>
      </c>
      <c r="CD283" s="8">
        <f t="shared" si="22"/>
        <v>2.5301794688618786</v>
      </c>
      <c r="CE283">
        <v>131694</v>
      </c>
      <c r="CF283" s="8">
        <f t="shared" si="23"/>
        <v>206.62496393153828</v>
      </c>
      <c r="CG283" s="8">
        <f t="shared" si="24"/>
        <v>903.67833006818842</v>
      </c>
      <c r="CH283" s="28">
        <v>99.64676</v>
      </c>
    </row>
    <row r="284" spans="1:86" ht="15.5" x14ac:dyDescent="0.35">
      <c r="A284" t="s">
        <v>97</v>
      </c>
      <c r="B284">
        <v>2018</v>
      </c>
      <c r="C284" s="2">
        <v>56.900100000000002</v>
      </c>
      <c r="D284">
        <v>143622.29999999999</v>
      </c>
      <c r="E284">
        <v>0.18959999999999999</v>
      </c>
      <c r="F284">
        <v>6.2035999999999998</v>
      </c>
      <c r="G284">
        <v>93500</v>
      </c>
      <c r="H284">
        <v>10</v>
      </c>
      <c r="I284" s="19">
        <v>120.851</v>
      </c>
      <c r="J284" s="19">
        <v>118.52</v>
      </c>
      <c r="K284" s="19">
        <v>3.5790000000000002</v>
      </c>
      <c r="L284" s="19">
        <v>54.761899999999997</v>
      </c>
      <c r="M284" s="19">
        <v>-7589000000</v>
      </c>
      <c r="N284" s="19">
        <v>138.3432</v>
      </c>
      <c r="O284">
        <v>30.402000000000001</v>
      </c>
      <c r="P284">
        <v>36.920299999999997</v>
      </c>
      <c r="Q284" s="19">
        <v>19867.085999999999</v>
      </c>
      <c r="R284" s="19">
        <v>18769.039000000001</v>
      </c>
      <c r="S284" s="19">
        <v>2.2719999999999998</v>
      </c>
      <c r="T284" s="19">
        <v>32722.330999999998</v>
      </c>
      <c r="U284" s="19">
        <v>29792.059300000001</v>
      </c>
      <c r="V284">
        <v>32.9</v>
      </c>
      <c r="W284" s="19">
        <v>62.857100000000003</v>
      </c>
      <c r="X284">
        <v>99</v>
      </c>
      <c r="Y284">
        <v>96</v>
      </c>
      <c r="Z284">
        <v>97</v>
      </c>
      <c r="AA284">
        <v>3.6</v>
      </c>
      <c r="AB284">
        <v>72.2</v>
      </c>
      <c r="AC284">
        <v>81.787800000000004</v>
      </c>
      <c r="AD284">
        <v>93.334900000000005</v>
      </c>
      <c r="AE284">
        <v>5</v>
      </c>
      <c r="AF284">
        <v>93.931100000000001</v>
      </c>
      <c r="AG284">
        <v>8.3000000000000007</v>
      </c>
      <c r="AH284">
        <v>0.11</v>
      </c>
      <c r="AI284">
        <v>4.2</v>
      </c>
      <c r="AJ284">
        <v>3.9</v>
      </c>
      <c r="AK284">
        <v>4.5</v>
      </c>
      <c r="AL284">
        <v>58.417999999999999</v>
      </c>
      <c r="AM284">
        <v>2.5</v>
      </c>
      <c r="AN284">
        <v>17938</v>
      </c>
      <c r="AO284">
        <v>0</v>
      </c>
      <c r="AP284">
        <v>100</v>
      </c>
      <c r="AQ284">
        <v>98.986699999999999</v>
      </c>
      <c r="AR284">
        <v>99.031999999999996</v>
      </c>
      <c r="AT284">
        <v>95.5471</v>
      </c>
      <c r="AU284">
        <v>15.584</v>
      </c>
      <c r="AV284" s="19">
        <v>53.301900000000003</v>
      </c>
      <c r="AW284">
        <v>0.1</v>
      </c>
      <c r="AX284">
        <v>17.899999999999999</v>
      </c>
      <c r="AY284">
        <v>6</v>
      </c>
      <c r="AZ284">
        <v>6</v>
      </c>
      <c r="BA284">
        <v>89.869</v>
      </c>
      <c r="BB284">
        <v>18.666699999999999</v>
      </c>
      <c r="BC284">
        <v>4.2359</v>
      </c>
      <c r="BD284" s="19">
        <v>2.0649999999999999</v>
      </c>
      <c r="BE284" s="19">
        <v>66.1905</v>
      </c>
      <c r="BF284">
        <v>30.349699999999999</v>
      </c>
      <c r="BG284">
        <v>17.899999999999999</v>
      </c>
      <c r="BH284" s="20">
        <v>1.2137</v>
      </c>
      <c r="BI284" s="20">
        <v>3416.0808000000002</v>
      </c>
      <c r="BJ284" s="19">
        <v>57.142899999999997</v>
      </c>
      <c r="BK284">
        <v>1.0034000000000001</v>
      </c>
      <c r="BL284">
        <v>0.97540000000000004</v>
      </c>
      <c r="BM284">
        <v>0.9486</v>
      </c>
      <c r="BN284">
        <v>6</v>
      </c>
      <c r="BO284">
        <v>14.688000000000001</v>
      </c>
      <c r="BP284">
        <v>5.39</v>
      </c>
      <c r="BQ284" s="19">
        <v>99.389300000000006</v>
      </c>
      <c r="BR284">
        <v>44.67</v>
      </c>
      <c r="BS284" s="20">
        <v>19.178999999999998</v>
      </c>
      <c r="BT284" s="20">
        <v>19.178999999999998</v>
      </c>
      <c r="BU284" s="20">
        <v>40.011000000000003</v>
      </c>
      <c r="BV284" s="20">
        <v>40.142000000000003</v>
      </c>
      <c r="BW284" s="19">
        <v>71.844700000000003</v>
      </c>
      <c r="BX284">
        <v>47.22</v>
      </c>
      <c r="BY284" s="5">
        <v>33585639</v>
      </c>
      <c r="BZ284" s="6">
        <v>142940411</v>
      </c>
      <c r="CA284" s="7">
        <f t="shared" si="20"/>
        <v>4.2559979579367244</v>
      </c>
      <c r="CB284">
        <v>10732882</v>
      </c>
      <c r="CC284" s="8">
        <f t="shared" si="21"/>
        <v>13.317989613600522</v>
      </c>
      <c r="CD284" s="8">
        <f t="shared" si="22"/>
        <v>3.1292283843239868</v>
      </c>
      <c r="CE284">
        <v>131694</v>
      </c>
      <c r="CF284" s="8">
        <f t="shared" si="23"/>
        <v>255.02786003918175</v>
      </c>
      <c r="CG284" s="8">
        <f t="shared" si="24"/>
        <v>1085.3980515437302</v>
      </c>
      <c r="CH284" s="28">
        <v>98.852519999999998</v>
      </c>
    </row>
    <row r="285" spans="1:86" ht="15.5" x14ac:dyDescent="0.35">
      <c r="A285" t="s">
        <v>97</v>
      </c>
      <c r="B285">
        <v>2019</v>
      </c>
      <c r="C285" s="2">
        <v>57.289700000000003</v>
      </c>
      <c r="D285">
        <v>144176.6</v>
      </c>
      <c r="E285">
        <v>0.17150000000000001</v>
      </c>
      <c r="F285">
        <v>5.7472000000000003</v>
      </c>
      <c r="G285">
        <v>93500</v>
      </c>
      <c r="H285">
        <v>10</v>
      </c>
      <c r="I285" s="19">
        <v>121.476</v>
      </c>
      <c r="J285" s="19">
        <v>119.765</v>
      </c>
      <c r="K285" s="19">
        <v>3.831</v>
      </c>
      <c r="L285" s="19">
        <v>56.666699999999999</v>
      </c>
      <c r="M285" s="19">
        <v>-4584000000</v>
      </c>
      <c r="N285" s="19">
        <v>132.7578</v>
      </c>
      <c r="O285">
        <v>30.54</v>
      </c>
      <c r="P285">
        <v>38.3566</v>
      </c>
      <c r="Q285" s="19">
        <v>19332.053</v>
      </c>
      <c r="R285" s="19">
        <v>19216.675999999999</v>
      </c>
      <c r="S285" s="19">
        <v>2.3849999999999998</v>
      </c>
      <c r="T285" s="19">
        <v>33502.750599999999</v>
      </c>
      <c r="U285" s="19">
        <v>31927.379199999999</v>
      </c>
      <c r="V285">
        <v>33.1</v>
      </c>
      <c r="W285" s="19">
        <v>64.761899999999997</v>
      </c>
      <c r="X285">
        <v>99</v>
      </c>
      <c r="Y285">
        <v>96</v>
      </c>
      <c r="Z285">
        <v>97</v>
      </c>
      <c r="AA285">
        <v>3.5</v>
      </c>
      <c r="AB285">
        <v>75.7</v>
      </c>
      <c r="AC285">
        <v>81.638999999999996</v>
      </c>
      <c r="AD285">
        <v>93.947299999999998</v>
      </c>
      <c r="AE285">
        <v>5</v>
      </c>
      <c r="AF285">
        <v>93.931100000000001</v>
      </c>
      <c r="AG285">
        <v>8.3000000000000007</v>
      </c>
      <c r="AH285">
        <v>0.23</v>
      </c>
      <c r="AI285">
        <v>4.0999999999999996</v>
      </c>
      <c r="AJ285">
        <v>3.8</v>
      </c>
      <c r="AK285">
        <v>4.4000000000000004</v>
      </c>
      <c r="AL285">
        <v>58.709200000000003</v>
      </c>
      <c r="AM285">
        <v>2.5</v>
      </c>
      <c r="AN285">
        <v>36762</v>
      </c>
      <c r="AO285">
        <v>0</v>
      </c>
      <c r="AP285">
        <v>100</v>
      </c>
      <c r="AQ285">
        <v>98.990300000000005</v>
      </c>
      <c r="AR285">
        <v>98.981200000000001</v>
      </c>
      <c r="AT285">
        <v>96.148399999999995</v>
      </c>
      <c r="AU285">
        <v>14.9419</v>
      </c>
      <c r="AV285" s="19">
        <v>54.2453</v>
      </c>
      <c r="AW285">
        <v>0.7</v>
      </c>
      <c r="AX285">
        <v>17.7</v>
      </c>
      <c r="AY285">
        <v>6</v>
      </c>
      <c r="AZ285">
        <v>6</v>
      </c>
      <c r="BA285">
        <v>90.607200000000006</v>
      </c>
      <c r="BB285">
        <v>20.666699999999999</v>
      </c>
      <c r="BC285">
        <v>3.9975000000000001</v>
      </c>
      <c r="BD285" s="19">
        <v>2.2770000000000001</v>
      </c>
      <c r="BE285" s="19">
        <v>70</v>
      </c>
      <c r="BF285">
        <v>33.208500000000001</v>
      </c>
      <c r="BG285">
        <v>18.5</v>
      </c>
      <c r="BH285" s="20">
        <v>1.2749999999999999</v>
      </c>
      <c r="BI285" s="20">
        <v>3644.6008000000002</v>
      </c>
      <c r="BJ285" s="19">
        <v>57.619</v>
      </c>
      <c r="BK285">
        <v>1.0051000000000001</v>
      </c>
      <c r="BL285">
        <v>0.97609999999999997</v>
      </c>
      <c r="BM285">
        <v>0.94950000000000001</v>
      </c>
      <c r="BN285">
        <v>6</v>
      </c>
      <c r="BO285">
        <v>12.977</v>
      </c>
      <c r="BP285">
        <v>5.08</v>
      </c>
      <c r="BQ285" s="19">
        <v>98.004499999999993</v>
      </c>
      <c r="BR285">
        <v>50.8705</v>
      </c>
      <c r="BS285" s="20">
        <v>17.045000000000002</v>
      </c>
      <c r="BT285" s="20">
        <v>17.045000000000002</v>
      </c>
      <c r="BU285" s="20">
        <v>34.753999999999998</v>
      </c>
      <c r="BV285" s="20">
        <v>34.893999999999998</v>
      </c>
      <c r="BW285" s="19">
        <v>72.463800000000006</v>
      </c>
      <c r="BX285">
        <v>46.5</v>
      </c>
      <c r="BY285" s="5">
        <v>34202053</v>
      </c>
      <c r="BZ285" s="6">
        <v>143594467</v>
      </c>
      <c r="CA285" s="7">
        <f t="shared" si="20"/>
        <v>4.1984165979743961</v>
      </c>
      <c r="CB285">
        <v>10721582</v>
      </c>
      <c r="CC285" s="8">
        <f t="shared" si="21"/>
        <v>13.393029778627819</v>
      </c>
      <c r="CD285" s="8">
        <f t="shared" si="22"/>
        <v>3.1900192527557967</v>
      </c>
      <c r="CE285">
        <v>131694</v>
      </c>
      <c r="CF285" s="8">
        <f t="shared" si="23"/>
        <v>259.708513675642</v>
      </c>
      <c r="CG285" s="8">
        <f t="shared" si="24"/>
        <v>1090.364534451076</v>
      </c>
      <c r="CH285" s="28">
        <v>98.141469999999998</v>
      </c>
    </row>
    <row r="286" spans="1:86" ht="15.5" x14ac:dyDescent="0.35">
      <c r="A286" t="s">
        <v>97</v>
      </c>
      <c r="B286">
        <v>2020</v>
      </c>
      <c r="C286" s="2">
        <v>57.638500000000001</v>
      </c>
      <c r="D286">
        <v>144859.6</v>
      </c>
      <c r="E286">
        <v>0.16059999999999999</v>
      </c>
      <c r="F286">
        <v>4.8952999999999998</v>
      </c>
      <c r="G286">
        <v>93500</v>
      </c>
      <c r="H286">
        <v>10</v>
      </c>
      <c r="I286" s="19">
        <v>119.943</v>
      </c>
      <c r="J286" s="19">
        <v>116.90300000000001</v>
      </c>
      <c r="K286" s="19">
        <v>2.9140000000000001</v>
      </c>
      <c r="L286" s="19">
        <v>57.142899999999997</v>
      </c>
      <c r="M286" s="19">
        <v>-13840000000</v>
      </c>
      <c r="N286" s="19">
        <v>123.26649999999999</v>
      </c>
      <c r="O286">
        <v>28.440999999999999</v>
      </c>
      <c r="P286">
        <v>39.787599999999998</v>
      </c>
      <c r="Q286" s="19">
        <v>17839.121999999999</v>
      </c>
      <c r="R286" s="19">
        <v>17486.951400000002</v>
      </c>
      <c r="S286" s="19">
        <v>-9.0012000000000008</v>
      </c>
      <c r="T286" s="19">
        <v>30487.1129</v>
      </c>
      <c r="U286" s="19">
        <v>29533.0877</v>
      </c>
      <c r="V286">
        <v>33.6</v>
      </c>
      <c r="W286" s="19">
        <v>67.142899999999997</v>
      </c>
      <c r="X286">
        <v>99</v>
      </c>
      <c r="Y286">
        <v>96</v>
      </c>
      <c r="Z286">
        <v>97</v>
      </c>
      <c r="AA286">
        <v>3.4</v>
      </c>
      <c r="AB286">
        <v>78.099999999999994</v>
      </c>
      <c r="AC286">
        <v>81.287800000000004</v>
      </c>
      <c r="AD286">
        <v>93.222800000000007</v>
      </c>
      <c r="AE286">
        <v>7</v>
      </c>
      <c r="AF286">
        <v>93.931100000000001</v>
      </c>
      <c r="AH286">
        <v>0.3</v>
      </c>
      <c r="AI286">
        <v>4</v>
      </c>
      <c r="AJ286">
        <v>3.7</v>
      </c>
      <c r="AK286">
        <v>4.3</v>
      </c>
      <c r="AL286">
        <v>59.193300000000001</v>
      </c>
      <c r="AM286">
        <v>2.4</v>
      </c>
      <c r="AN286">
        <v>6353</v>
      </c>
      <c r="AO286">
        <v>0</v>
      </c>
      <c r="AP286">
        <v>100</v>
      </c>
      <c r="AQ286">
        <v>98.993700000000004</v>
      </c>
      <c r="AR286">
        <v>98.930400000000006</v>
      </c>
      <c r="AT286">
        <v>96.749600000000001</v>
      </c>
      <c r="AU286">
        <v>14.408899999999999</v>
      </c>
      <c r="AV286" s="19">
        <v>51.415100000000002</v>
      </c>
      <c r="AW286">
        <v>0.8</v>
      </c>
      <c r="AX286">
        <v>19.600000000000001</v>
      </c>
      <c r="AY286">
        <v>6</v>
      </c>
      <c r="AZ286">
        <v>6</v>
      </c>
      <c r="BA286">
        <v>91.343000000000004</v>
      </c>
      <c r="BB286">
        <v>21.666699999999999</v>
      </c>
      <c r="BC286">
        <v>5.14</v>
      </c>
      <c r="BD286" s="19">
        <v>-9.1959999999999997</v>
      </c>
      <c r="BE286" s="19">
        <v>71.428600000000003</v>
      </c>
      <c r="BF286">
        <v>36.581200000000003</v>
      </c>
      <c r="BG286">
        <v>20.100000000000001</v>
      </c>
      <c r="BH286" s="20">
        <v>1.5115000000000001</v>
      </c>
      <c r="BI286" s="20">
        <v>4008.1846</v>
      </c>
      <c r="BJ286" s="19">
        <v>60</v>
      </c>
      <c r="BK286">
        <v>1.0076000000000001</v>
      </c>
      <c r="BL286">
        <v>0.98</v>
      </c>
      <c r="BM286">
        <v>0.95489999999999997</v>
      </c>
      <c r="BN286">
        <v>6</v>
      </c>
      <c r="BO286">
        <v>13.53</v>
      </c>
      <c r="BP286">
        <v>4.42</v>
      </c>
      <c r="BQ286" s="19">
        <v>96.067999999999998</v>
      </c>
      <c r="BR286">
        <v>50.8705</v>
      </c>
      <c r="BS286" s="20">
        <v>15.898999999999999</v>
      </c>
      <c r="BT286" s="20">
        <v>15.898999999999999</v>
      </c>
      <c r="BU286" s="20">
        <v>33.74</v>
      </c>
      <c r="BV286" s="20">
        <v>33.871000000000002</v>
      </c>
      <c r="BW286" s="19">
        <v>77.777799999999999</v>
      </c>
      <c r="BX286">
        <v>50.04</v>
      </c>
      <c r="BY286" s="5">
        <v>10104236</v>
      </c>
      <c r="BZ286" s="6">
        <v>38475016</v>
      </c>
      <c r="CA286" s="7">
        <f t="shared" si="20"/>
        <v>3.8078105064054322</v>
      </c>
      <c r="CB286">
        <v>10698599</v>
      </c>
      <c r="CC286" s="8">
        <f t="shared" si="21"/>
        <v>3.5962667635267009</v>
      </c>
      <c r="CD286" s="8">
        <f t="shared" si="22"/>
        <v>0.94444478197565873</v>
      </c>
      <c r="CE286">
        <v>131694</v>
      </c>
      <c r="CF286" s="8">
        <f t="shared" si="23"/>
        <v>76.725105168041068</v>
      </c>
      <c r="CG286" s="8">
        <f t="shared" si="24"/>
        <v>292.15466156392853</v>
      </c>
      <c r="CH286" s="28">
        <v>96.662490000000005</v>
      </c>
    </row>
    <row r="287" spans="1:86" ht="15.5" x14ac:dyDescent="0.35">
      <c r="A287" t="s">
        <v>97</v>
      </c>
      <c r="B287">
        <v>2021</v>
      </c>
      <c r="C287" s="2">
        <v>58.382300000000001</v>
      </c>
      <c r="D287">
        <v>145151.20000000001</v>
      </c>
      <c r="E287">
        <v>0.15290000000000001</v>
      </c>
      <c r="F287">
        <v>5.1280000000000001</v>
      </c>
      <c r="G287">
        <v>93500</v>
      </c>
      <c r="H287">
        <v>10</v>
      </c>
      <c r="I287" s="19">
        <v>120.63200000000001</v>
      </c>
      <c r="J287" s="19">
        <v>121.999</v>
      </c>
      <c r="K287" s="19">
        <v>6.2510000000000003</v>
      </c>
      <c r="L287" s="19">
        <v>59.523800000000001</v>
      </c>
      <c r="M287" s="19">
        <v>-15258000000</v>
      </c>
      <c r="N287" s="19">
        <v>165.19579999999999</v>
      </c>
      <c r="O287">
        <v>29.440999999999999</v>
      </c>
      <c r="P287">
        <v>41.921300000000002</v>
      </c>
      <c r="Q287" s="19">
        <v>20456.642</v>
      </c>
      <c r="R287" s="19">
        <v>19232.968400000002</v>
      </c>
      <c r="S287" s="19">
        <v>9.9847000000000001</v>
      </c>
      <c r="T287" s="19">
        <v>33531.155100000004</v>
      </c>
      <c r="U287" s="19">
        <v>33531.155100000004</v>
      </c>
      <c r="V287">
        <v>32.9</v>
      </c>
      <c r="W287" s="19">
        <v>66.666700000000006</v>
      </c>
      <c r="X287">
        <v>99</v>
      </c>
      <c r="Y287">
        <v>96</v>
      </c>
      <c r="Z287">
        <v>97</v>
      </c>
      <c r="AA287">
        <v>3.3</v>
      </c>
      <c r="AB287">
        <v>78.5</v>
      </c>
      <c r="AC287">
        <v>80.082899999999995</v>
      </c>
      <c r="AD287">
        <v>94.0471</v>
      </c>
      <c r="AE287">
        <v>9</v>
      </c>
      <c r="AH287">
        <v>0.19</v>
      </c>
      <c r="AI287">
        <v>3.9</v>
      </c>
      <c r="AJ287">
        <v>3.6</v>
      </c>
      <c r="AK287">
        <v>4.2</v>
      </c>
      <c r="AL287">
        <v>59.674999999999997</v>
      </c>
      <c r="AM287">
        <v>2.4</v>
      </c>
      <c r="AN287">
        <v>-160277</v>
      </c>
      <c r="AO287">
        <v>0</v>
      </c>
      <c r="AP287">
        <v>100</v>
      </c>
      <c r="AQ287">
        <v>98.997200000000007</v>
      </c>
      <c r="AR287">
        <v>98.879599999999996</v>
      </c>
      <c r="AT287">
        <v>97.350899999999996</v>
      </c>
      <c r="AV287" s="19">
        <v>50.943399999999997</v>
      </c>
      <c r="AW287">
        <v>0.6</v>
      </c>
      <c r="AX287">
        <v>18.8</v>
      </c>
      <c r="AY287">
        <v>6</v>
      </c>
      <c r="AZ287">
        <v>6</v>
      </c>
      <c r="BA287">
        <v>92.0762</v>
      </c>
      <c r="BB287">
        <v>21.666699999999999</v>
      </c>
      <c r="BC287">
        <v>5.4394</v>
      </c>
      <c r="BD287" s="19">
        <v>8.6539999999999999</v>
      </c>
      <c r="BE287" s="19">
        <v>66.1905</v>
      </c>
      <c r="BF287">
        <v>40.542499999999997</v>
      </c>
      <c r="BG287">
        <v>21.5</v>
      </c>
      <c r="BH287" s="20">
        <v>1.4578</v>
      </c>
      <c r="BI287" s="20">
        <v>4244.3681999999999</v>
      </c>
      <c r="BJ287" s="19">
        <v>60.476199999999999</v>
      </c>
      <c r="BN287">
        <v>6</v>
      </c>
      <c r="BO287">
        <v>12.048</v>
      </c>
      <c r="BP287">
        <v>4.68</v>
      </c>
      <c r="BQ287" s="19">
        <v>95.606899999999996</v>
      </c>
      <c r="BS287" s="20">
        <v>14.656000000000001</v>
      </c>
      <c r="BT287" s="20">
        <v>14.657</v>
      </c>
      <c r="BU287" s="20">
        <v>35.39</v>
      </c>
      <c r="BV287" s="20">
        <v>35.524999999999999</v>
      </c>
      <c r="BW287" s="19">
        <v>77.777799999999999</v>
      </c>
      <c r="BX287">
        <v>50.64</v>
      </c>
      <c r="BY287" s="5">
        <v>18015347</v>
      </c>
      <c r="BZ287" s="6">
        <v>73886813</v>
      </c>
      <c r="CA287" s="7">
        <f t="shared" si="20"/>
        <v>4.1013261082342742</v>
      </c>
      <c r="CB287">
        <v>10569207</v>
      </c>
      <c r="CC287" s="8">
        <f t="shared" si="21"/>
        <v>6.9907622208553581</v>
      </c>
      <c r="CD287" s="8">
        <f t="shared" si="22"/>
        <v>1.7045126469753122</v>
      </c>
      <c r="CE287">
        <v>131694</v>
      </c>
      <c r="CF287" s="8">
        <f t="shared" si="23"/>
        <v>136.79702188406458</v>
      </c>
      <c r="CG287" s="8">
        <f t="shared" si="24"/>
        <v>561.04919738180934</v>
      </c>
      <c r="CH287" s="28">
        <v>94.604029999999995</v>
      </c>
    </row>
    <row r="288" spans="1:86" ht="15.5" x14ac:dyDescent="0.35">
      <c r="A288" t="s">
        <v>97</v>
      </c>
      <c r="B288">
        <v>2022</v>
      </c>
      <c r="C288" s="2">
        <v>58.922899999999998</v>
      </c>
      <c r="E288">
        <v>0.14660000000000001</v>
      </c>
      <c r="F288">
        <v>5.2633000000000001</v>
      </c>
      <c r="H288">
        <v>10</v>
      </c>
      <c r="I288" s="19">
        <v>131.85</v>
      </c>
      <c r="J288" s="19">
        <v>131.23500000000001</v>
      </c>
      <c r="K288" s="19">
        <v>8.7970000000000006</v>
      </c>
      <c r="L288" s="19">
        <v>56.6038</v>
      </c>
      <c r="M288" s="19">
        <v>-23390000000</v>
      </c>
      <c r="N288" s="19"/>
      <c r="O288">
        <v>33.734999999999999</v>
      </c>
      <c r="P288">
        <v>42.923000000000002</v>
      </c>
      <c r="Q288" s="19">
        <v>20942.383999999998</v>
      </c>
      <c r="R288" s="19">
        <v>20595.495299999999</v>
      </c>
      <c r="S288" s="19">
        <v>7.0842999999999998</v>
      </c>
      <c r="T288" s="19">
        <v>35906.612800000003</v>
      </c>
      <c r="U288" s="19">
        <v>38969.022199999999</v>
      </c>
      <c r="W288" s="19">
        <v>66.981099999999998</v>
      </c>
      <c r="X288">
        <v>99</v>
      </c>
      <c r="Y288">
        <v>96</v>
      </c>
      <c r="Z288">
        <v>97</v>
      </c>
      <c r="AA288">
        <v>3.3</v>
      </c>
      <c r="AB288">
        <v>83.2</v>
      </c>
      <c r="AC288">
        <v>80.787800000000004</v>
      </c>
      <c r="AD288">
        <v>95.233900000000006</v>
      </c>
      <c r="AE288">
        <v>10</v>
      </c>
      <c r="AI288">
        <v>3.8</v>
      </c>
      <c r="AJ288">
        <v>3.5</v>
      </c>
      <c r="AK288">
        <v>4.0999999999999996</v>
      </c>
      <c r="AL288">
        <v>59.532600000000002</v>
      </c>
      <c r="AM288">
        <v>2.2999999999999998</v>
      </c>
      <c r="AN288">
        <v>-53997</v>
      </c>
      <c r="AO288">
        <v>0</v>
      </c>
      <c r="AP288">
        <v>100</v>
      </c>
      <c r="AQ288">
        <v>99.000600000000006</v>
      </c>
      <c r="AR288">
        <v>98.879599999999996</v>
      </c>
      <c r="AT288">
        <v>97.350899999999996</v>
      </c>
      <c r="AV288" s="19">
        <v>50</v>
      </c>
      <c r="AY288">
        <v>6</v>
      </c>
      <c r="AZ288">
        <v>6</v>
      </c>
      <c r="BA288">
        <v>92.160399999999996</v>
      </c>
      <c r="BB288">
        <v>21</v>
      </c>
      <c r="BC288">
        <v>4.5972</v>
      </c>
      <c r="BD288" s="19">
        <v>5.7439999999999998</v>
      </c>
      <c r="BE288" s="19">
        <v>67.452799999999996</v>
      </c>
      <c r="BG288" s="23">
        <v>22.670999999999999</v>
      </c>
      <c r="BH288" s="20">
        <v>1.486</v>
      </c>
      <c r="BI288" s="20">
        <v>4926.7808000000005</v>
      </c>
      <c r="BJ288" s="19">
        <v>59.433999999999997</v>
      </c>
      <c r="BN288">
        <v>6</v>
      </c>
      <c r="BO288">
        <v>11.352</v>
      </c>
      <c r="BQ288" s="19"/>
      <c r="BS288" s="20">
        <v>12.426</v>
      </c>
      <c r="BT288" s="20">
        <v>12.426</v>
      </c>
      <c r="BU288" s="20">
        <v>31.29</v>
      </c>
      <c r="BV288" s="20">
        <v>31.369</v>
      </c>
      <c r="BW288" s="19">
        <v>77.777799999999999</v>
      </c>
      <c r="BX288">
        <v>49.85</v>
      </c>
      <c r="BY288" s="5">
        <v>31413356</v>
      </c>
      <c r="BZ288" s="6">
        <v>132745904</v>
      </c>
      <c r="CA288" s="7">
        <f t="shared" si="20"/>
        <v>4.2257791240133651</v>
      </c>
      <c r="CB288">
        <v>10436882</v>
      </c>
      <c r="CC288" s="8">
        <f t="shared" si="21"/>
        <v>12.718923525244417</v>
      </c>
      <c r="CD288" s="8">
        <f t="shared" si="22"/>
        <v>3.0098410617270561</v>
      </c>
      <c r="CE288">
        <v>131694</v>
      </c>
      <c r="CF288" s="8">
        <f t="shared" si="23"/>
        <v>238.53293240390602</v>
      </c>
      <c r="CG288" s="8">
        <f t="shared" si="24"/>
        <v>1007.9874861421173</v>
      </c>
      <c r="CH288" s="28">
        <v>94.772940000000006</v>
      </c>
    </row>
    <row r="289" spans="1:86" ht="15.5" x14ac:dyDescent="0.35">
      <c r="A289" t="s">
        <v>97</v>
      </c>
      <c r="B289">
        <v>2023</v>
      </c>
      <c r="C289" s="26">
        <v>58.906199999999998</v>
      </c>
      <c r="E289">
        <v>0.13469999999999999</v>
      </c>
      <c r="F289">
        <v>4.9660000000000002</v>
      </c>
      <c r="H289">
        <v>10</v>
      </c>
      <c r="I289" s="19">
        <v>137.328</v>
      </c>
      <c r="J289" s="19">
        <v>136.07499999999999</v>
      </c>
      <c r="K289" s="19">
        <v>6.0270000000000001</v>
      </c>
      <c r="L289" s="19">
        <v>58.018900000000002</v>
      </c>
      <c r="M289" s="19">
        <v>-16322000000</v>
      </c>
      <c r="N289" s="19"/>
      <c r="O289">
        <v>31.359000000000002</v>
      </c>
      <c r="P289">
        <v>43.709499999999998</v>
      </c>
      <c r="Q289" s="19">
        <v>23388.611000000001</v>
      </c>
      <c r="R289" s="19">
        <v>21139.191699999999</v>
      </c>
      <c r="S289" s="19">
        <v>2.6398999999999999</v>
      </c>
      <c r="T289" s="19">
        <v>36854.504200000003</v>
      </c>
      <c r="U289" s="19">
        <v>41181.991199999997</v>
      </c>
      <c r="W289" s="19">
        <v>57.547199999999997</v>
      </c>
      <c r="X289">
        <v>99</v>
      </c>
      <c r="Y289">
        <v>96</v>
      </c>
      <c r="Z289">
        <v>97</v>
      </c>
      <c r="AA289">
        <v>3.2</v>
      </c>
      <c r="AB289">
        <v>85</v>
      </c>
      <c r="AC289">
        <v>81.536600000000007</v>
      </c>
      <c r="AE289">
        <v>5</v>
      </c>
      <c r="AI289">
        <v>3.7</v>
      </c>
      <c r="AJ289">
        <v>3.4</v>
      </c>
      <c r="AK289">
        <v>4</v>
      </c>
      <c r="AL289" s="24">
        <v>59.532600000000002</v>
      </c>
      <c r="AM289">
        <v>2.2999999999999998</v>
      </c>
      <c r="AN289">
        <v>-159430</v>
      </c>
      <c r="AV289" s="19">
        <v>54.028399999999998</v>
      </c>
      <c r="AY289" s="25">
        <v>6</v>
      </c>
      <c r="AZ289">
        <v>6</v>
      </c>
      <c r="BB289">
        <v>23</v>
      </c>
      <c r="BD289" s="19">
        <v>2.3319999999999999</v>
      </c>
      <c r="BE289" s="19">
        <v>70.7547</v>
      </c>
      <c r="BG289" s="23">
        <v>25.268999999999998</v>
      </c>
      <c r="BH289" s="20"/>
      <c r="BI289" s="20"/>
      <c r="BJ289" s="19">
        <v>57.075499999999998</v>
      </c>
      <c r="BN289">
        <v>6</v>
      </c>
      <c r="BO289">
        <v>12.505000000000001</v>
      </c>
      <c r="BQ289" s="19"/>
      <c r="BS289" s="20">
        <v>11.066000000000001</v>
      </c>
      <c r="BT289" s="20">
        <v>11.023</v>
      </c>
      <c r="BU289" s="20">
        <v>26.641999999999999</v>
      </c>
      <c r="BV289" s="20">
        <v>26.617999999999999</v>
      </c>
      <c r="BW289" s="19">
        <v>79.411799999999999</v>
      </c>
      <c r="BX289">
        <v>48.15</v>
      </c>
      <c r="BY289" s="5">
        <v>35782424</v>
      </c>
      <c r="BZ289" s="6">
        <v>147209821</v>
      </c>
      <c r="CA289" s="7">
        <f t="shared" si="20"/>
        <v>4.114025953076851</v>
      </c>
      <c r="CB289">
        <v>10405588</v>
      </c>
      <c r="CC289" s="8">
        <f t="shared" si="21"/>
        <v>14.147189087248121</v>
      </c>
      <c r="CD289" s="8">
        <f t="shared" si="22"/>
        <v>3.4387700147267024</v>
      </c>
      <c r="CE289">
        <v>131694</v>
      </c>
      <c r="CF289" s="8">
        <f t="shared" si="23"/>
        <v>271.70884019013772</v>
      </c>
      <c r="CG289" s="8">
        <f t="shared" si="24"/>
        <v>1117.8172202226374</v>
      </c>
      <c r="CH289" s="28">
        <v>93.072460000000007</v>
      </c>
    </row>
    <row r="290" spans="1:86" ht="15.5" x14ac:dyDescent="0.35">
      <c r="A290" t="s">
        <v>98</v>
      </c>
      <c r="B290">
        <v>2000</v>
      </c>
      <c r="C290" s="2">
        <v>46.513500000000001</v>
      </c>
      <c r="D290">
        <v>64598.52</v>
      </c>
      <c r="E290">
        <v>0.2631</v>
      </c>
      <c r="F290">
        <v>5.8249000000000004</v>
      </c>
      <c r="G290">
        <v>72700</v>
      </c>
      <c r="H290">
        <v>13</v>
      </c>
      <c r="I290" s="19">
        <v>57.863999999999997</v>
      </c>
      <c r="J290" s="19">
        <v>60.000999999999998</v>
      </c>
      <c r="K290" s="19">
        <v>4.9669999999999996</v>
      </c>
      <c r="L290" s="19">
        <v>75.531899999999993</v>
      </c>
      <c r="M290" s="19">
        <v>-4015000000</v>
      </c>
      <c r="N290" s="19">
        <v>28.614699999999999</v>
      </c>
      <c r="O290">
        <v>34.192999999999998</v>
      </c>
      <c r="P290">
        <v>3.3399999999999999E-2</v>
      </c>
      <c r="Q290" s="19">
        <v>4624.9229999999998</v>
      </c>
      <c r="R290" s="19">
        <v>8967.6962999999996</v>
      </c>
      <c r="S290" s="19">
        <v>4.7508999999999997</v>
      </c>
      <c r="T290" s="19">
        <v>22142.334299999999</v>
      </c>
      <c r="U290" s="19">
        <v>11854.6834</v>
      </c>
      <c r="W290" s="19">
        <v>81.967200000000005</v>
      </c>
      <c r="X290">
        <v>99</v>
      </c>
      <c r="Z290">
        <v>99</v>
      </c>
      <c r="AA290">
        <v>8.6999999999999993</v>
      </c>
      <c r="AB290">
        <v>7</v>
      </c>
      <c r="AC290">
        <v>71.246300000000005</v>
      </c>
      <c r="AE290">
        <v>14</v>
      </c>
      <c r="AF290">
        <v>76.543300000000002</v>
      </c>
      <c r="AG290">
        <v>12.7</v>
      </c>
      <c r="AH290">
        <v>0.57999999999999996</v>
      </c>
      <c r="AI290">
        <v>10.1</v>
      </c>
      <c r="AJ290">
        <v>9.1</v>
      </c>
      <c r="AK290">
        <v>11</v>
      </c>
      <c r="AL290">
        <v>56.5747</v>
      </c>
      <c r="AM290">
        <v>5.7</v>
      </c>
      <c r="AN290">
        <v>13414</v>
      </c>
      <c r="AO290">
        <v>0</v>
      </c>
      <c r="AP290">
        <v>99.964600000000004</v>
      </c>
      <c r="AQ290">
        <v>98.043700000000001</v>
      </c>
      <c r="AR290">
        <v>86.631299999999996</v>
      </c>
      <c r="AS290">
        <v>63.7774</v>
      </c>
      <c r="AT290">
        <v>66.760900000000007</v>
      </c>
      <c r="AU290">
        <v>20.655799999999999</v>
      </c>
      <c r="AV290" s="19">
        <v>78.835999999999999</v>
      </c>
      <c r="AZ290">
        <v>4</v>
      </c>
      <c r="BA290">
        <v>65.703999999999994</v>
      </c>
      <c r="BB290">
        <v>8.2902000000000005</v>
      </c>
      <c r="BC290">
        <v>4.6664000000000003</v>
      </c>
      <c r="BD290" s="19">
        <v>4.4089999999999998</v>
      </c>
      <c r="BE290" s="19">
        <v>82.065200000000004</v>
      </c>
      <c r="BF290">
        <v>0.6905</v>
      </c>
      <c r="BG290">
        <v>5.2</v>
      </c>
      <c r="BH290" s="20">
        <v>0.79100000000000004</v>
      </c>
      <c r="BI290" s="20">
        <v>1411.9982</v>
      </c>
      <c r="BJ290" s="19">
        <v>73.134299999999996</v>
      </c>
      <c r="BK290">
        <v>0.98109999999999997</v>
      </c>
      <c r="BL290">
        <v>0.99890000000000001</v>
      </c>
      <c r="BM290">
        <v>1.0079</v>
      </c>
      <c r="BN290">
        <v>8</v>
      </c>
      <c r="BO290">
        <v>15.388</v>
      </c>
      <c r="BP290">
        <v>33.26</v>
      </c>
      <c r="BQ290" s="19">
        <v>97.512200000000007</v>
      </c>
      <c r="BR290">
        <v>82.395700000000005</v>
      </c>
      <c r="BS290" s="20">
        <v>6.5629999999999997</v>
      </c>
      <c r="BT290" s="20">
        <v>6.5629999999999997</v>
      </c>
      <c r="BU290" s="20">
        <v>12.848000000000001</v>
      </c>
      <c r="BV290" s="20">
        <v>12.260999999999999</v>
      </c>
      <c r="BW290" s="19">
        <v>85.074600000000004</v>
      </c>
      <c r="BX290">
        <v>40.24</v>
      </c>
      <c r="BY290" s="6">
        <v>6731870</v>
      </c>
      <c r="BZ290" s="5">
        <v>20429967</v>
      </c>
      <c r="CA290" s="7">
        <f t="shared" si="20"/>
        <v>3.0348130608582755</v>
      </c>
      <c r="CB290">
        <v>10210971</v>
      </c>
      <c r="CC290" s="8">
        <f t="shared" si="21"/>
        <v>2.0007859193802431</v>
      </c>
      <c r="CD290" s="8">
        <f t="shared" si="22"/>
        <v>0.65927814308746935</v>
      </c>
      <c r="CE290">
        <v>93012</v>
      </c>
      <c r="CF290" s="8">
        <f t="shared" si="23"/>
        <v>72.376360039564787</v>
      </c>
      <c r="CG290" s="8">
        <f t="shared" si="24"/>
        <v>219.6487227454522</v>
      </c>
      <c r="CH290">
        <v>82.498239999999996</v>
      </c>
    </row>
    <row r="291" spans="1:86" ht="15.5" x14ac:dyDescent="0.35">
      <c r="A291" t="s">
        <v>98</v>
      </c>
      <c r="B291">
        <v>2001</v>
      </c>
      <c r="C291" s="2">
        <v>46.079700000000003</v>
      </c>
      <c r="D291">
        <v>68268.95</v>
      </c>
      <c r="E291">
        <v>0.25919999999999999</v>
      </c>
      <c r="F291">
        <v>5.9878</v>
      </c>
      <c r="G291">
        <v>74800</v>
      </c>
      <c r="H291">
        <v>13</v>
      </c>
      <c r="I291" s="19">
        <v>63.16</v>
      </c>
      <c r="J291" s="19">
        <v>64.090999999999994</v>
      </c>
      <c r="K291" s="19">
        <v>3.9790000000000001</v>
      </c>
      <c r="L291" s="19"/>
      <c r="M291" s="19">
        <v>-3131000000</v>
      </c>
      <c r="N291" s="19">
        <v>30.891400000000001</v>
      </c>
      <c r="O291">
        <v>37.646999999999998</v>
      </c>
      <c r="P291">
        <v>0.30869999999999997</v>
      </c>
      <c r="Q291" s="19">
        <v>5274.5159999999996</v>
      </c>
      <c r="R291" s="19">
        <v>9354.4807999999994</v>
      </c>
      <c r="S291" s="19">
        <v>4.3131000000000004</v>
      </c>
      <c r="T291" s="19">
        <v>23097.352299999999</v>
      </c>
      <c r="U291" s="19">
        <v>13211.8271</v>
      </c>
      <c r="W291" s="19"/>
      <c r="X291">
        <v>99</v>
      </c>
      <c r="Z291">
        <v>99</v>
      </c>
      <c r="AA291">
        <v>8.1</v>
      </c>
      <c r="AB291">
        <v>14.5</v>
      </c>
      <c r="AC291">
        <v>72.248800000000003</v>
      </c>
      <c r="AE291">
        <v>13</v>
      </c>
      <c r="AF291">
        <v>76.909000000000006</v>
      </c>
      <c r="AG291">
        <v>13.5</v>
      </c>
      <c r="AH291">
        <v>0.95</v>
      </c>
      <c r="AI291">
        <v>9.5</v>
      </c>
      <c r="AJ291">
        <v>8.6</v>
      </c>
      <c r="AK291">
        <v>10.4</v>
      </c>
      <c r="AL291">
        <v>57.260399999999997</v>
      </c>
      <c r="AM291">
        <v>5.4</v>
      </c>
      <c r="AN291">
        <v>10386</v>
      </c>
      <c r="AO291">
        <v>0</v>
      </c>
      <c r="AP291">
        <v>99.964699999999993</v>
      </c>
      <c r="AQ291">
        <v>98.043000000000006</v>
      </c>
      <c r="AR291">
        <v>86.639600000000002</v>
      </c>
      <c r="AS291">
        <v>63.3919</v>
      </c>
      <c r="AT291">
        <v>66.5381</v>
      </c>
      <c r="AU291">
        <v>20.8202</v>
      </c>
      <c r="AV291" s="19"/>
      <c r="AZ291">
        <v>4</v>
      </c>
      <c r="BA291">
        <v>65.426500000000004</v>
      </c>
      <c r="BB291">
        <v>8.2902000000000005</v>
      </c>
      <c r="BC291">
        <v>4.5667999999999997</v>
      </c>
      <c r="BD291" s="19">
        <v>4.0620000000000003</v>
      </c>
      <c r="BE291" s="19"/>
      <c r="BF291">
        <v>0.70579999999999998</v>
      </c>
      <c r="BG291">
        <v>5.0999999999999996</v>
      </c>
      <c r="BH291" s="20">
        <v>0.91310000000000002</v>
      </c>
      <c r="BI291" s="20">
        <v>1440.8611000000001</v>
      </c>
      <c r="BJ291" s="19"/>
      <c r="BK291">
        <v>0.98150000000000004</v>
      </c>
      <c r="BL291">
        <v>0.99880000000000002</v>
      </c>
      <c r="BM291">
        <v>1.0073000000000001</v>
      </c>
      <c r="BN291">
        <v>8</v>
      </c>
      <c r="BO291">
        <v>13.766</v>
      </c>
      <c r="BP291">
        <v>29.7</v>
      </c>
      <c r="BQ291" s="19">
        <v>97.232100000000003</v>
      </c>
      <c r="BR291">
        <v>84.799400000000006</v>
      </c>
      <c r="BS291" s="20">
        <v>5.6710000000000003</v>
      </c>
      <c r="BT291" s="20">
        <v>5.6710000000000003</v>
      </c>
      <c r="BU291" s="20">
        <v>11.026</v>
      </c>
      <c r="BV291" s="20">
        <v>10.707000000000001</v>
      </c>
      <c r="BW291" s="19"/>
      <c r="BX291">
        <v>36.840000000000003</v>
      </c>
      <c r="BY291" s="6">
        <v>6072820</v>
      </c>
      <c r="BZ291" s="5">
        <v>18648371</v>
      </c>
      <c r="CA291" s="7">
        <f t="shared" si="20"/>
        <v>3.0707926465793487</v>
      </c>
      <c r="CB291">
        <v>10187576</v>
      </c>
      <c r="CC291" s="8">
        <f t="shared" si="21"/>
        <v>1.8305012890210586</v>
      </c>
      <c r="CD291" s="8">
        <f t="shared" si="22"/>
        <v>0.5961005836913511</v>
      </c>
      <c r="CE291">
        <v>93012</v>
      </c>
      <c r="CF291" s="8">
        <f t="shared" si="23"/>
        <v>65.290715176536366</v>
      </c>
      <c r="CG291" s="8">
        <f t="shared" si="24"/>
        <v>200.49424805401455</v>
      </c>
      <c r="CH291">
        <v>88.863789999999995</v>
      </c>
    </row>
    <row r="292" spans="1:86" ht="15.5" x14ac:dyDescent="0.35">
      <c r="A292" t="s">
        <v>98</v>
      </c>
      <c r="B292">
        <v>2002</v>
      </c>
      <c r="C292" s="2">
        <v>45.748399999999997</v>
      </c>
      <c r="D292">
        <v>71081.259999999995</v>
      </c>
      <c r="E292">
        <v>0.24329999999999999</v>
      </c>
      <c r="F292">
        <v>5.9036999999999997</v>
      </c>
      <c r="G292">
        <v>73100</v>
      </c>
      <c r="H292">
        <v>13</v>
      </c>
      <c r="I292" s="19">
        <v>66.483000000000004</v>
      </c>
      <c r="J292" s="19">
        <v>67.179000000000002</v>
      </c>
      <c r="K292" s="19">
        <v>4.1139999999999999</v>
      </c>
      <c r="L292" s="19">
        <v>73.015900000000002</v>
      </c>
      <c r="M292" s="19">
        <v>-4289000000</v>
      </c>
      <c r="N292" s="19">
        <v>35.034300000000002</v>
      </c>
      <c r="O292">
        <v>37.86</v>
      </c>
      <c r="P292">
        <v>1.0993999999999999</v>
      </c>
      <c r="Q292" s="19">
        <v>6647.3180000000002</v>
      </c>
      <c r="R292" s="19">
        <v>9825.9431999999997</v>
      </c>
      <c r="S292" s="19">
        <v>5.04</v>
      </c>
      <c r="T292" s="19">
        <v>24261.450499999999</v>
      </c>
      <c r="U292" s="19">
        <v>14526.388300000001</v>
      </c>
      <c r="W292" s="19">
        <v>81.621600000000001</v>
      </c>
      <c r="X292">
        <v>99</v>
      </c>
      <c r="Z292">
        <v>99</v>
      </c>
      <c r="AA292">
        <v>7.6</v>
      </c>
      <c r="AB292">
        <v>16.7</v>
      </c>
      <c r="AC292">
        <v>72.348799999999997</v>
      </c>
      <c r="AE292">
        <v>13</v>
      </c>
      <c r="AF292">
        <v>77.042900000000003</v>
      </c>
      <c r="AG292">
        <v>16.100000000000001</v>
      </c>
      <c r="AH292">
        <v>0.71</v>
      </c>
      <c r="AI292">
        <v>9</v>
      </c>
      <c r="AJ292">
        <v>8.1</v>
      </c>
      <c r="AK292">
        <v>9.8000000000000007</v>
      </c>
      <c r="AL292">
        <v>57.546199999999999</v>
      </c>
      <c r="AM292">
        <v>5.0999999999999996</v>
      </c>
      <c r="AN292">
        <v>2822</v>
      </c>
      <c r="AO292">
        <v>0</v>
      </c>
      <c r="AP292">
        <v>99.965100000000007</v>
      </c>
      <c r="AQ292">
        <v>98.039599999999993</v>
      </c>
      <c r="AR292">
        <v>86.675600000000003</v>
      </c>
      <c r="AS292">
        <v>63.006399999999999</v>
      </c>
      <c r="AT292">
        <v>66.315200000000004</v>
      </c>
      <c r="AU292">
        <v>21.152200000000001</v>
      </c>
      <c r="AV292" s="19">
        <v>91.005300000000005</v>
      </c>
      <c r="AZ292">
        <v>4</v>
      </c>
      <c r="BA292">
        <v>65.159800000000004</v>
      </c>
      <c r="BB292">
        <v>9.0673999999999992</v>
      </c>
      <c r="BC292">
        <v>4.9306000000000001</v>
      </c>
      <c r="BD292" s="19">
        <v>4.7300000000000004</v>
      </c>
      <c r="BE292" s="19">
        <v>86.486500000000007</v>
      </c>
      <c r="BF292">
        <v>0.65549999999999997</v>
      </c>
      <c r="BG292">
        <v>5.2</v>
      </c>
      <c r="BH292" s="20">
        <v>0.98360000000000003</v>
      </c>
      <c r="BI292" s="20">
        <v>1473.6954000000001</v>
      </c>
      <c r="BJ292" s="19">
        <v>79.104500000000002</v>
      </c>
      <c r="BK292">
        <v>0.98219999999999996</v>
      </c>
      <c r="BL292">
        <v>0.99880000000000002</v>
      </c>
      <c r="BM292">
        <v>1.0066999999999999</v>
      </c>
      <c r="BN292">
        <v>8</v>
      </c>
      <c r="BO292">
        <v>13.744999999999999</v>
      </c>
      <c r="BP292">
        <v>28.52</v>
      </c>
      <c r="BQ292" s="19">
        <v>97.1584</v>
      </c>
      <c r="BR292">
        <v>84.336600000000004</v>
      </c>
      <c r="BS292" s="20">
        <v>5.6079999999999997</v>
      </c>
      <c r="BT292" s="20">
        <v>5.6079999999999997</v>
      </c>
      <c r="BU292" s="20">
        <v>11.744</v>
      </c>
      <c r="BV292" s="20">
        <v>11.419</v>
      </c>
      <c r="BW292" s="19">
        <v>86.069599999999994</v>
      </c>
      <c r="BX292">
        <v>36.26</v>
      </c>
      <c r="BY292" s="6">
        <v>6175880</v>
      </c>
      <c r="BZ292" s="5">
        <v>18449935</v>
      </c>
      <c r="CA292" s="7">
        <f t="shared" si="20"/>
        <v>2.9874179873961282</v>
      </c>
      <c r="CB292">
        <v>10158608</v>
      </c>
      <c r="CC292" s="8">
        <f t="shared" si="21"/>
        <v>1.8161873162149775</v>
      </c>
      <c r="CD292" s="8">
        <f t="shared" si="22"/>
        <v>0.60794549804461395</v>
      </c>
      <c r="CE292">
        <v>93012</v>
      </c>
      <c r="CF292" s="8">
        <f t="shared" si="23"/>
        <v>66.398744248054015</v>
      </c>
      <c r="CG292" s="8">
        <f t="shared" si="24"/>
        <v>198.36080290715176</v>
      </c>
      <c r="CH292">
        <v>96.6815</v>
      </c>
    </row>
    <row r="293" spans="1:86" ht="15.5" x14ac:dyDescent="0.35">
      <c r="A293" t="s">
        <v>98</v>
      </c>
      <c r="B293">
        <v>2003</v>
      </c>
      <c r="C293" s="2">
        <v>45.5261</v>
      </c>
      <c r="D293">
        <v>77104.639999999999</v>
      </c>
      <c r="E293">
        <v>0.24429999999999999</v>
      </c>
      <c r="F293">
        <v>6.1870000000000003</v>
      </c>
      <c r="G293">
        <v>76100</v>
      </c>
      <c r="H293">
        <v>13</v>
      </c>
      <c r="I293" s="19">
        <v>69.584000000000003</v>
      </c>
      <c r="J293" s="19">
        <v>71.028000000000006</v>
      </c>
      <c r="K293" s="19">
        <v>3.5779999999999998</v>
      </c>
      <c r="L293" s="19">
        <v>74.074100000000001</v>
      </c>
      <c r="M293" s="19">
        <v>-6811000000</v>
      </c>
      <c r="N293" s="19">
        <v>43.739699999999999</v>
      </c>
      <c r="O293">
        <v>37.191000000000003</v>
      </c>
      <c r="P293">
        <v>2.6145999999999998</v>
      </c>
      <c r="Q293" s="19">
        <v>8399.7710000000006</v>
      </c>
      <c r="R293" s="19">
        <v>10255.6101</v>
      </c>
      <c r="S293" s="19">
        <v>4.3727999999999998</v>
      </c>
      <c r="T293" s="19">
        <v>25322.350399999999</v>
      </c>
      <c r="U293" s="19">
        <v>15479.1011</v>
      </c>
      <c r="W293" s="19">
        <v>76.756799999999998</v>
      </c>
      <c r="X293">
        <v>99</v>
      </c>
      <c r="Z293">
        <v>99</v>
      </c>
      <c r="AA293">
        <v>7.2</v>
      </c>
      <c r="AB293">
        <v>21.6</v>
      </c>
      <c r="AC293">
        <v>72.3</v>
      </c>
      <c r="AE293">
        <v>13</v>
      </c>
      <c r="AF293">
        <v>77.200599999999994</v>
      </c>
      <c r="AG293">
        <v>15.1</v>
      </c>
      <c r="AH293">
        <v>1.23</v>
      </c>
      <c r="AI293">
        <v>8.4</v>
      </c>
      <c r="AJ293">
        <v>7.7</v>
      </c>
      <c r="AK293">
        <v>9.1999999999999993</v>
      </c>
      <c r="AL293">
        <v>56.9955</v>
      </c>
      <c r="AM293">
        <v>4.8</v>
      </c>
      <c r="AN293">
        <v>13879</v>
      </c>
      <c r="AO293">
        <v>0</v>
      </c>
      <c r="AP293">
        <v>99.965500000000006</v>
      </c>
      <c r="AQ293">
        <v>98.036299999999997</v>
      </c>
      <c r="AR293">
        <v>86.711299999999994</v>
      </c>
      <c r="AS293">
        <v>62.620800000000003</v>
      </c>
      <c r="AT293">
        <v>66.092399999999998</v>
      </c>
      <c r="AU293">
        <v>21.534500000000001</v>
      </c>
      <c r="AV293" s="19">
        <v>86.432199999999995</v>
      </c>
      <c r="AZ293">
        <v>4</v>
      </c>
      <c r="BA293">
        <v>64.894300000000001</v>
      </c>
      <c r="BB293">
        <v>9.8445999999999998</v>
      </c>
      <c r="BC293">
        <v>5.6830999999999996</v>
      </c>
      <c r="BD293" s="19">
        <v>3.9390000000000001</v>
      </c>
      <c r="BE293" s="19">
        <v>81.081100000000006</v>
      </c>
      <c r="BF293">
        <v>0.98399999999999999</v>
      </c>
      <c r="BG293">
        <v>5</v>
      </c>
      <c r="BH293" s="20">
        <v>0.91879999999999995</v>
      </c>
      <c r="BI293" s="20">
        <v>1499.6759</v>
      </c>
      <c r="BJ293" s="19">
        <v>73.134299999999996</v>
      </c>
      <c r="BK293">
        <v>0.98450000000000004</v>
      </c>
      <c r="BL293">
        <v>0.99570000000000003</v>
      </c>
      <c r="BM293">
        <v>1.0006999999999999</v>
      </c>
      <c r="BN293">
        <v>8</v>
      </c>
      <c r="BO293">
        <v>12.153</v>
      </c>
      <c r="BP293">
        <v>27.99</v>
      </c>
      <c r="BQ293" s="19">
        <v>98.311899999999994</v>
      </c>
      <c r="BR293">
        <v>82.993799999999993</v>
      </c>
      <c r="BS293" s="20">
        <v>5.79</v>
      </c>
      <c r="BT293" s="20">
        <v>5.79</v>
      </c>
      <c r="BU293" s="20">
        <v>13.162000000000001</v>
      </c>
      <c r="BV293" s="20">
        <v>12.855</v>
      </c>
      <c r="BW293" s="19">
        <v>87.064700000000002</v>
      </c>
      <c r="BX293">
        <v>36.54</v>
      </c>
      <c r="BY293" s="6">
        <v>6315494</v>
      </c>
      <c r="BZ293" s="5">
        <v>18611114</v>
      </c>
      <c r="CA293" s="7">
        <f t="shared" si="20"/>
        <v>2.9468975823585613</v>
      </c>
      <c r="CB293">
        <v>10129552</v>
      </c>
      <c r="CC293" s="8">
        <f t="shared" si="21"/>
        <v>1.8373086983511215</v>
      </c>
      <c r="CD293" s="8">
        <f t="shared" si="22"/>
        <v>0.62347219304466772</v>
      </c>
      <c r="CE293">
        <v>93012</v>
      </c>
      <c r="CF293" s="8">
        <f t="shared" si="23"/>
        <v>67.899776372941119</v>
      </c>
      <c r="CG293" s="8">
        <f t="shared" si="24"/>
        <v>200.09368683610717</v>
      </c>
      <c r="CH293">
        <v>95.729709999999997</v>
      </c>
    </row>
    <row r="294" spans="1:86" ht="15.5" x14ac:dyDescent="0.35">
      <c r="A294" t="s">
        <v>98</v>
      </c>
      <c r="B294">
        <v>2004</v>
      </c>
      <c r="C294" s="2">
        <v>45.2883</v>
      </c>
      <c r="D294">
        <v>77663.22</v>
      </c>
      <c r="E294">
        <v>0.2258</v>
      </c>
      <c r="F294">
        <v>6.0164</v>
      </c>
      <c r="G294">
        <v>75200</v>
      </c>
      <c r="H294">
        <v>13</v>
      </c>
      <c r="I294" s="19">
        <v>74.281999999999996</v>
      </c>
      <c r="J294" s="19">
        <v>74.900000000000006</v>
      </c>
      <c r="K294" s="19">
        <v>4.0730000000000004</v>
      </c>
      <c r="L294" s="19">
        <v>73.891599999999997</v>
      </c>
      <c r="M294" s="19">
        <v>-8880000000</v>
      </c>
      <c r="N294" s="19">
        <v>56.399000000000001</v>
      </c>
      <c r="O294">
        <v>36.649000000000001</v>
      </c>
      <c r="P294">
        <v>4.0761000000000003</v>
      </c>
      <c r="Q294" s="19">
        <v>10281.244000000001</v>
      </c>
      <c r="R294" s="19">
        <v>10792.7374</v>
      </c>
      <c r="S294" s="19">
        <v>5.2374000000000001</v>
      </c>
      <c r="T294" s="19">
        <v>26648.583200000001</v>
      </c>
      <c r="U294" s="19">
        <v>16269.308800000001</v>
      </c>
      <c r="V294">
        <v>29.9</v>
      </c>
      <c r="W294" s="19">
        <v>77.114400000000003</v>
      </c>
      <c r="X294">
        <v>99</v>
      </c>
      <c r="Z294">
        <v>99</v>
      </c>
      <c r="AA294">
        <v>6.8</v>
      </c>
      <c r="AB294">
        <v>27.7</v>
      </c>
      <c r="AC294">
        <v>72.648799999999994</v>
      </c>
      <c r="AE294">
        <v>12</v>
      </c>
      <c r="AF294">
        <v>77.397599999999997</v>
      </c>
      <c r="AG294">
        <v>15.2</v>
      </c>
      <c r="AH294">
        <v>1.05</v>
      </c>
      <c r="AI294">
        <v>8</v>
      </c>
      <c r="AJ294">
        <v>7.2</v>
      </c>
      <c r="AK294">
        <v>8.6999999999999993</v>
      </c>
      <c r="AL294">
        <v>57.225499999999997</v>
      </c>
      <c r="AM294">
        <v>4.4000000000000004</v>
      </c>
      <c r="AN294">
        <v>16637</v>
      </c>
      <c r="AO294">
        <v>0</v>
      </c>
      <c r="AP294">
        <v>99.965900000000005</v>
      </c>
      <c r="AQ294">
        <v>98.033000000000001</v>
      </c>
      <c r="AR294">
        <v>86.746899999999997</v>
      </c>
      <c r="AS294">
        <v>63.386299999999999</v>
      </c>
      <c r="AT294">
        <v>67.612200000000001</v>
      </c>
      <c r="AU294">
        <v>21.849799999999998</v>
      </c>
      <c r="AV294" s="19">
        <v>75.242699999999999</v>
      </c>
      <c r="AW294">
        <v>0.1</v>
      </c>
      <c r="AX294">
        <v>13.5</v>
      </c>
      <c r="AZ294">
        <v>4</v>
      </c>
      <c r="BA294">
        <v>66.171000000000006</v>
      </c>
      <c r="BB294">
        <v>9.0908999999999995</v>
      </c>
      <c r="BC294">
        <v>5.4015000000000004</v>
      </c>
      <c r="BD294" s="19">
        <v>4.9630000000000001</v>
      </c>
      <c r="BE294" s="19">
        <v>83.582099999999997</v>
      </c>
      <c r="BF294">
        <v>2.7745000000000002</v>
      </c>
      <c r="BG294">
        <v>4.5999999999999996</v>
      </c>
      <c r="BH294" s="20">
        <v>0.8599</v>
      </c>
      <c r="BI294" s="20">
        <v>1476.2664</v>
      </c>
      <c r="BJ294" s="19">
        <v>75</v>
      </c>
      <c r="BK294">
        <v>0.98419999999999996</v>
      </c>
      <c r="BL294">
        <v>0.98829999999999996</v>
      </c>
      <c r="BM294">
        <v>0.99029999999999996</v>
      </c>
      <c r="BN294">
        <v>8</v>
      </c>
      <c r="BO294">
        <v>12.378</v>
      </c>
      <c r="BP294">
        <v>27.46</v>
      </c>
      <c r="BQ294" s="19">
        <v>97.610500000000002</v>
      </c>
      <c r="BR294">
        <v>81.747299999999996</v>
      </c>
      <c r="BS294" s="20">
        <v>5.8319999999999999</v>
      </c>
      <c r="BT294" s="20">
        <v>5.8319999999999999</v>
      </c>
      <c r="BU294" s="20">
        <v>14.599</v>
      </c>
      <c r="BV294" s="20">
        <v>14.4</v>
      </c>
      <c r="BW294" s="19">
        <v>85.576899999999995</v>
      </c>
      <c r="BX294">
        <v>37.19</v>
      </c>
      <c r="BY294" s="6">
        <v>6616443</v>
      </c>
      <c r="BZ294" s="5">
        <v>18899483</v>
      </c>
      <c r="CA294" s="7">
        <f t="shared" si="20"/>
        <v>2.8564415955823996</v>
      </c>
      <c r="CB294">
        <v>10107146</v>
      </c>
      <c r="CC294" s="8">
        <f t="shared" si="21"/>
        <v>1.8699129309104667</v>
      </c>
      <c r="CD294" s="8">
        <f t="shared" si="22"/>
        <v>0.65463019926693455</v>
      </c>
      <c r="CE294">
        <v>93012</v>
      </c>
      <c r="CF294" s="8">
        <f t="shared" si="23"/>
        <v>71.13536962972519</v>
      </c>
      <c r="CG294" s="8">
        <f t="shared" si="24"/>
        <v>203.19402872747602</v>
      </c>
      <c r="CH294">
        <v>100.94539</v>
      </c>
    </row>
    <row r="295" spans="1:86" ht="15.5" x14ac:dyDescent="0.35">
      <c r="A295" t="s">
        <v>98</v>
      </c>
      <c r="B295">
        <v>2005</v>
      </c>
      <c r="C295" s="2">
        <v>45.115000000000002</v>
      </c>
      <c r="D295">
        <v>77466.100000000006</v>
      </c>
      <c r="E295">
        <v>0.21790000000000001</v>
      </c>
      <c r="F295">
        <v>6.0675999999999997</v>
      </c>
      <c r="G295">
        <v>75100</v>
      </c>
      <c r="H295">
        <v>13</v>
      </c>
      <c r="I295" s="19">
        <v>76.927999999999997</v>
      </c>
      <c r="J295" s="19">
        <v>77.396000000000001</v>
      </c>
      <c r="K295" s="19">
        <v>3.875</v>
      </c>
      <c r="L295" s="19">
        <v>72.195099999999996</v>
      </c>
      <c r="M295" s="19">
        <v>-8138000000</v>
      </c>
      <c r="N295" s="19">
        <v>63.878999999999998</v>
      </c>
      <c r="O295">
        <v>39.4</v>
      </c>
      <c r="P295">
        <v>6.4744000000000002</v>
      </c>
      <c r="Q295" s="19">
        <v>11200.063</v>
      </c>
      <c r="R295" s="19">
        <v>11278.616</v>
      </c>
      <c r="S295" s="19">
        <v>4.5019</v>
      </c>
      <c r="T295" s="19">
        <v>27848.276600000001</v>
      </c>
      <c r="U295" s="19">
        <v>17108.3406</v>
      </c>
      <c r="V295">
        <v>34.700000000000003</v>
      </c>
      <c r="W295" s="19">
        <v>73.529399999999995</v>
      </c>
      <c r="X295">
        <v>99</v>
      </c>
      <c r="Z295">
        <v>99</v>
      </c>
      <c r="AA295">
        <v>6.4</v>
      </c>
      <c r="AB295">
        <v>39</v>
      </c>
      <c r="AC295">
        <v>72.648799999999994</v>
      </c>
      <c r="AE295">
        <v>13</v>
      </c>
      <c r="AF295">
        <v>79.6935</v>
      </c>
      <c r="AG295">
        <v>14.8</v>
      </c>
      <c r="AH295">
        <v>1</v>
      </c>
      <c r="AI295">
        <v>7.5</v>
      </c>
      <c r="AJ295">
        <v>6.9</v>
      </c>
      <c r="AK295">
        <v>8.1999999999999993</v>
      </c>
      <c r="AL295">
        <v>57.1875</v>
      </c>
      <c r="AM295">
        <v>4.0999999999999996</v>
      </c>
      <c r="AN295">
        <v>16925</v>
      </c>
      <c r="AO295">
        <v>0</v>
      </c>
      <c r="AP295">
        <v>99.966399999999993</v>
      </c>
      <c r="AQ295">
        <v>98.0291</v>
      </c>
      <c r="AR295">
        <v>86.787999999999997</v>
      </c>
      <c r="AS295">
        <v>64.207700000000003</v>
      </c>
      <c r="AT295">
        <v>69.157899999999998</v>
      </c>
      <c r="AU295">
        <v>21.981000000000002</v>
      </c>
      <c r="AV295" s="19">
        <v>80.097099999999998</v>
      </c>
      <c r="AW295">
        <v>0.7</v>
      </c>
      <c r="AX295">
        <v>15.9</v>
      </c>
      <c r="AZ295">
        <v>4</v>
      </c>
      <c r="BA295">
        <v>67.492900000000006</v>
      </c>
      <c r="BB295">
        <v>9.0908999999999995</v>
      </c>
      <c r="BC295">
        <v>5.6017999999999999</v>
      </c>
      <c r="BD295" s="19">
        <v>4.3</v>
      </c>
      <c r="BE295" s="19">
        <v>78.921599999999998</v>
      </c>
      <c r="BF295">
        <v>5.2305999999999999</v>
      </c>
      <c r="BG295">
        <v>7.3</v>
      </c>
      <c r="BH295" s="20">
        <v>0.91949999999999998</v>
      </c>
      <c r="BI295" s="20">
        <v>1575.8483000000001</v>
      </c>
      <c r="BJ295" s="19">
        <v>75.119600000000005</v>
      </c>
      <c r="BK295">
        <v>0.97960000000000003</v>
      </c>
      <c r="BL295">
        <v>0.98660000000000003</v>
      </c>
      <c r="BM295">
        <v>0.98980000000000001</v>
      </c>
      <c r="BN295">
        <v>8</v>
      </c>
      <c r="BO295">
        <v>18.792000000000002</v>
      </c>
      <c r="BP295">
        <v>26.35</v>
      </c>
      <c r="BQ295" s="19">
        <v>96.249099999999999</v>
      </c>
      <c r="BR295">
        <v>76.153000000000006</v>
      </c>
      <c r="BS295" s="20">
        <v>7.1890000000000001</v>
      </c>
      <c r="BT295" s="20">
        <v>7.1890000000000001</v>
      </c>
      <c r="BU295" s="20">
        <v>19.655999999999999</v>
      </c>
      <c r="BV295" s="20">
        <v>19.376999999999999</v>
      </c>
      <c r="BW295" s="19">
        <v>86.538499999999999</v>
      </c>
      <c r="BX295">
        <v>35.44</v>
      </c>
      <c r="BY295" s="6">
        <v>7064007</v>
      </c>
      <c r="BZ295" s="5">
        <v>19737358</v>
      </c>
      <c r="CA295" s="7">
        <f t="shared" si="20"/>
        <v>2.7940739583072327</v>
      </c>
      <c r="CB295">
        <v>10087065</v>
      </c>
      <c r="CC295" s="8">
        <f t="shared" si="21"/>
        <v>1.9566997932500683</v>
      </c>
      <c r="CD295" s="8">
        <f t="shared" si="22"/>
        <v>0.70030350751184811</v>
      </c>
      <c r="CE295">
        <v>93012</v>
      </c>
      <c r="CF295" s="8">
        <f t="shared" si="23"/>
        <v>75.94726486904915</v>
      </c>
      <c r="CG295" s="8">
        <f t="shared" si="24"/>
        <v>212.20227497527202</v>
      </c>
      <c r="CH295">
        <v>102.84032000000001</v>
      </c>
    </row>
    <row r="296" spans="1:86" ht="15.5" x14ac:dyDescent="0.35">
      <c r="A296" t="s">
        <v>98</v>
      </c>
      <c r="B296">
        <v>2006</v>
      </c>
      <c r="C296" s="2">
        <v>44.980499999999999</v>
      </c>
      <c r="D296">
        <v>74217.929999999993</v>
      </c>
      <c r="E296">
        <v>0.20780000000000001</v>
      </c>
      <c r="F296">
        <v>6.0236999999999998</v>
      </c>
      <c r="G296">
        <v>73900</v>
      </c>
      <c r="H296">
        <v>13</v>
      </c>
      <c r="I296" s="19">
        <v>79.932000000000002</v>
      </c>
      <c r="J296" s="19">
        <v>82.444000000000003</v>
      </c>
      <c r="K296" s="19">
        <v>3.7789999999999999</v>
      </c>
      <c r="L296" s="19">
        <v>73.170699999999997</v>
      </c>
      <c r="M296" s="19">
        <v>-8624000000</v>
      </c>
      <c r="N296" s="19">
        <v>76.382499999999993</v>
      </c>
      <c r="O296">
        <v>40.939</v>
      </c>
      <c r="P296">
        <v>11.9323</v>
      </c>
      <c r="Q296" s="19">
        <v>11472.075999999999</v>
      </c>
      <c r="R296" s="19">
        <v>11741.947700000001</v>
      </c>
      <c r="S296" s="19">
        <v>4.1081000000000003</v>
      </c>
      <c r="T296" s="19">
        <v>28992.298900000002</v>
      </c>
      <c r="U296" s="19">
        <v>18383.6322</v>
      </c>
      <c r="V296">
        <v>28.3</v>
      </c>
      <c r="W296" s="19">
        <v>77.561000000000007</v>
      </c>
      <c r="X296">
        <v>99</v>
      </c>
      <c r="Z296">
        <v>99</v>
      </c>
      <c r="AA296">
        <v>6.1</v>
      </c>
      <c r="AB296">
        <v>47.1</v>
      </c>
      <c r="AC296">
        <v>73.0976</v>
      </c>
      <c r="AE296">
        <v>12</v>
      </c>
      <c r="AF296">
        <v>79.9221</v>
      </c>
      <c r="AG296">
        <v>15.3</v>
      </c>
      <c r="AH296">
        <v>1.1200000000000001</v>
      </c>
      <c r="AI296">
        <v>7.2</v>
      </c>
      <c r="AJ296">
        <v>6.5</v>
      </c>
      <c r="AK296">
        <v>7.8</v>
      </c>
      <c r="AL296">
        <v>58.257100000000001</v>
      </c>
      <c r="AM296">
        <v>3.9</v>
      </c>
      <c r="AN296">
        <v>19890</v>
      </c>
      <c r="AO296">
        <v>0</v>
      </c>
      <c r="AP296">
        <v>99.966899999999995</v>
      </c>
      <c r="AQ296">
        <v>98.024799999999999</v>
      </c>
      <c r="AR296">
        <v>86.834400000000002</v>
      </c>
      <c r="AS296">
        <v>65.084999999999994</v>
      </c>
      <c r="AT296">
        <v>70.729399999999998</v>
      </c>
      <c r="AU296">
        <v>21.823399999999999</v>
      </c>
      <c r="AV296" s="19">
        <v>80.676299999999998</v>
      </c>
      <c r="AW296">
        <v>0.1</v>
      </c>
      <c r="AX296">
        <v>12.3</v>
      </c>
      <c r="AZ296">
        <v>4</v>
      </c>
      <c r="BA296">
        <v>68.860799999999998</v>
      </c>
      <c r="BB296">
        <v>10.3627</v>
      </c>
      <c r="BC296">
        <v>5.4722</v>
      </c>
      <c r="BD296" s="19">
        <v>3.9340000000000002</v>
      </c>
      <c r="BE296" s="19">
        <v>85.2941</v>
      </c>
      <c r="BF296">
        <v>4.1638000000000002</v>
      </c>
      <c r="BG296">
        <v>7.9</v>
      </c>
      <c r="BH296" s="20">
        <v>0.97740000000000005</v>
      </c>
      <c r="BI296" s="20">
        <v>1745.0032000000001</v>
      </c>
      <c r="BJ296" s="19">
        <v>79.904300000000006</v>
      </c>
      <c r="BK296">
        <v>0.98229999999999995</v>
      </c>
      <c r="BL296">
        <v>0.9879</v>
      </c>
      <c r="BM296">
        <v>0.99039999999999995</v>
      </c>
      <c r="BN296">
        <v>8</v>
      </c>
      <c r="BO296">
        <v>12.435</v>
      </c>
      <c r="BP296">
        <v>24.93</v>
      </c>
      <c r="BQ296" s="19">
        <v>92.942099999999996</v>
      </c>
      <c r="BR296">
        <v>75.91</v>
      </c>
      <c r="BS296" s="20">
        <v>7.4939999999999998</v>
      </c>
      <c r="BT296" s="20">
        <v>7.4939999999999998</v>
      </c>
      <c r="BU296" s="20">
        <v>19.376999999999999</v>
      </c>
      <c r="BV296" s="20">
        <v>19.146999999999998</v>
      </c>
      <c r="BW296" s="19">
        <v>78.846199999999996</v>
      </c>
      <c r="BX296">
        <v>36.619999999999997</v>
      </c>
      <c r="BY296" s="6">
        <v>7182550</v>
      </c>
      <c r="BZ296" s="5">
        <v>19652026</v>
      </c>
      <c r="CA296" s="7">
        <f t="shared" si="20"/>
        <v>2.7360792476209701</v>
      </c>
      <c r="CB296">
        <v>10071370</v>
      </c>
      <c r="CC296" s="8">
        <f t="shared" si="21"/>
        <v>1.9512763407560243</v>
      </c>
      <c r="CD296" s="8">
        <f t="shared" si="22"/>
        <v>0.71316514039301504</v>
      </c>
      <c r="CE296">
        <v>93012</v>
      </c>
      <c r="CF296" s="8">
        <f t="shared" si="23"/>
        <v>77.221756332516236</v>
      </c>
      <c r="CG296" s="8">
        <f t="shared" si="24"/>
        <v>211.28484496624091</v>
      </c>
      <c r="CH296">
        <v>97.858990000000006</v>
      </c>
    </row>
    <row r="297" spans="1:86" ht="15.5" x14ac:dyDescent="0.35">
      <c r="A297" t="s">
        <v>98</v>
      </c>
      <c r="B297">
        <v>2007</v>
      </c>
      <c r="C297" s="2">
        <v>44.957900000000002</v>
      </c>
      <c r="D297">
        <v>74049.06</v>
      </c>
      <c r="E297">
        <v>0.20200000000000001</v>
      </c>
      <c r="F297">
        <v>5.8804999999999996</v>
      </c>
      <c r="G297">
        <v>72100</v>
      </c>
      <c r="H297">
        <v>13</v>
      </c>
      <c r="I297" s="19">
        <v>86.287999999999997</v>
      </c>
      <c r="J297" s="19">
        <v>88.528000000000006</v>
      </c>
      <c r="K297" s="19">
        <v>5.1950000000000003</v>
      </c>
      <c r="L297" s="19">
        <v>73.301000000000002</v>
      </c>
      <c r="M297" s="19">
        <v>-10334000000</v>
      </c>
      <c r="N297" s="19">
        <v>96.828699999999998</v>
      </c>
      <c r="O297">
        <v>39.04</v>
      </c>
      <c r="P297">
        <v>14.495699999999999</v>
      </c>
      <c r="Q297" s="19">
        <v>13920.455</v>
      </c>
      <c r="R297" s="19">
        <v>11792.7713</v>
      </c>
      <c r="S297" s="19">
        <v>0.43280000000000002</v>
      </c>
      <c r="T297" s="19">
        <v>29117.7886</v>
      </c>
      <c r="U297" s="19">
        <v>19098.6263</v>
      </c>
      <c r="V297">
        <v>27.9</v>
      </c>
      <c r="W297" s="19">
        <v>73.7864</v>
      </c>
      <c r="X297">
        <v>99</v>
      </c>
      <c r="Z297">
        <v>99</v>
      </c>
      <c r="AA297">
        <v>5.8</v>
      </c>
      <c r="AB297">
        <v>53.3</v>
      </c>
      <c r="AC297">
        <v>73.151200000000003</v>
      </c>
      <c r="AE297">
        <v>13</v>
      </c>
      <c r="AF297">
        <v>79.941100000000006</v>
      </c>
      <c r="AG297">
        <v>14.7</v>
      </c>
      <c r="AH297">
        <v>0.94</v>
      </c>
      <c r="AI297">
        <v>6.8</v>
      </c>
      <c r="AJ297">
        <v>6.2</v>
      </c>
      <c r="AK297">
        <v>7.4</v>
      </c>
      <c r="AL297">
        <v>58.181699999999999</v>
      </c>
      <c r="AM297">
        <v>3.8</v>
      </c>
      <c r="AN297">
        <v>13697</v>
      </c>
      <c r="AO297">
        <v>0</v>
      </c>
      <c r="AP297">
        <v>99.967399999999998</v>
      </c>
      <c r="AQ297">
        <v>98.020499999999998</v>
      </c>
      <c r="AR297">
        <v>86.880499999999998</v>
      </c>
      <c r="AS297">
        <v>66.018100000000004</v>
      </c>
      <c r="AT297">
        <v>72.326700000000002</v>
      </c>
      <c r="AU297">
        <v>21.447600000000001</v>
      </c>
      <c r="AV297" s="19">
        <v>71.980699999999999</v>
      </c>
      <c r="AW297">
        <v>0.1</v>
      </c>
      <c r="AX297">
        <v>12.4</v>
      </c>
      <c r="AZ297">
        <v>4</v>
      </c>
      <c r="BA297">
        <v>70.271500000000003</v>
      </c>
      <c r="BB297">
        <v>11.139900000000001</v>
      </c>
      <c r="BC297">
        <v>4.8834</v>
      </c>
      <c r="BD297" s="19">
        <v>0.33200000000000002</v>
      </c>
      <c r="BE297" s="19">
        <v>85.922300000000007</v>
      </c>
      <c r="BF297">
        <v>4.7129000000000003</v>
      </c>
      <c r="BG297">
        <v>9</v>
      </c>
      <c r="BH297" s="20">
        <v>0.95450000000000002</v>
      </c>
      <c r="BI297" s="20">
        <v>1731.4268999999999</v>
      </c>
      <c r="BJ297" s="19">
        <v>80.382800000000003</v>
      </c>
      <c r="BK297">
        <v>0.98219999999999996</v>
      </c>
      <c r="BL297">
        <v>0.99080000000000001</v>
      </c>
      <c r="BM297">
        <v>0.99450000000000005</v>
      </c>
      <c r="BN297">
        <v>8</v>
      </c>
      <c r="BO297">
        <v>11.458</v>
      </c>
      <c r="BP297">
        <v>24.95</v>
      </c>
      <c r="BQ297" s="19">
        <v>92.689800000000005</v>
      </c>
      <c r="BR297">
        <v>76.873400000000004</v>
      </c>
      <c r="BS297" s="20">
        <v>7.4059999999999997</v>
      </c>
      <c r="BT297" s="20">
        <v>7.4059999999999997</v>
      </c>
      <c r="BU297" s="20">
        <v>18.158000000000001</v>
      </c>
      <c r="BV297" s="20">
        <v>18.026</v>
      </c>
      <c r="BW297" s="19">
        <v>80.769199999999998</v>
      </c>
      <c r="BX297">
        <v>38.020000000000003</v>
      </c>
      <c r="BY297" s="6">
        <v>7474329</v>
      </c>
      <c r="BZ297" s="5">
        <v>20128534</v>
      </c>
      <c r="CA297" s="7">
        <f t="shared" si="20"/>
        <v>2.6930222097528755</v>
      </c>
      <c r="CB297">
        <v>10055780</v>
      </c>
      <c r="CC297" s="8">
        <f t="shared" si="21"/>
        <v>2.001687984422889</v>
      </c>
      <c r="CD297" s="8">
        <f t="shared" si="22"/>
        <v>0.74328684597316175</v>
      </c>
      <c r="CE297">
        <v>93012</v>
      </c>
      <c r="CF297" s="8">
        <f t="shared" si="23"/>
        <v>80.358760159979354</v>
      </c>
      <c r="CG297" s="8">
        <f t="shared" si="24"/>
        <v>216.40792585902895</v>
      </c>
      <c r="CH297">
        <v>107.92397</v>
      </c>
    </row>
    <row r="298" spans="1:86" ht="15.5" x14ac:dyDescent="0.35">
      <c r="A298" t="s">
        <v>98</v>
      </c>
      <c r="B298">
        <v>2008</v>
      </c>
      <c r="C298" s="2">
        <v>45.054900000000004</v>
      </c>
      <c r="D298">
        <v>72907.990000000005</v>
      </c>
      <c r="E298">
        <v>0.19550000000000001</v>
      </c>
      <c r="F298">
        <v>5.7605000000000004</v>
      </c>
      <c r="G298">
        <v>70300</v>
      </c>
      <c r="H298">
        <v>13</v>
      </c>
      <c r="I298" s="19">
        <v>91.513000000000005</v>
      </c>
      <c r="J298" s="19">
        <v>91.626999999999995</v>
      </c>
      <c r="K298" s="19">
        <v>4.5810000000000004</v>
      </c>
      <c r="L298" s="19">
        <v>69.902900000000002</v>
      </c>
      <c r="M298" s="19">
        <v>-11838000000</v>
      </c>
      <c r="N298" s="19">
        <v>110.1292</v>
      </c>
      <c r="O298">
        <v>40.777999999999999</v>
      </c>
      <c r="P298">
        <v>17.676300000000001</v>
      </c>
      <c r="Q298" s="19">
        <v>15751.94</v>
      </c>
      <c r="R298" s="19">
        <v>11932.038399999999</v>
      </c>
      <c r="S298" s="19">
        <v>1.181</v>
      </c>
      <c r="T298" s="19">
        <v>29461.655999999999</v>
      </c>
      <c r="U298" s="19">
        <v>20721.502400000001</v>
      </c>
      <c r="V298">
        <v>27.5</v>
      </c>
      <c r="W298" s="19">
        <v>73.301000000000002</v>
      </c>
      <c r="X298">
        <v>99</v>
      </c>
      <c r="Z298">
        <v>99</v>
      </c>
      <c r="AA298">
        <v>5.5</v>
      </c>
      <c r="AB298">
        <v>61</v>
      </c>
      <c r="AC298">
        <v>73.702399999999997</v>
      </c>
      <c r="AE298">
        <v>13</v>
      </c>
      <c r="AF298">
        <v>80.1708</v>
      </c>
      <c r="AG298">
        <v>12.3</v>
      </c>
      <c r="AH298">
        <v>0.72</v>
      </c>
      <c r="AI298">
        <v>6.5</v>
      </c>
      <c r="AJ298">
        <v>5.9</v>
      </c>
      <c r="AK298">
        <v>7.1</v>
      </c>
      <c r="AL298">
        <v>58.262700000000002</v>
      </c>
      <c r="AM298">
        <v>3.6</v>
      </c>
      <c r="AN298">
        <v>16166</v>
      </c>
      <c r="AO298">
        <v>0</v>
      </c>
      <c r="AP298">
        <v>99.968000000000004</v>
      </c>
      <c r="AQ298">
        <v>98.016300000000001</v>
      </c>
      <c r="AR298">
        <v>86.926199999999994</v>
      </c>
      <c r="AS298">
        <v>67.007199999999997</v>
      </c>
      <c r="AT298">
        <v>73.95</v>
      </c>
      <c r="AU298">
        <v>20.999099999999999</v>
      </c>
      <c r="AV298" s="19">
        <v>71.634600000000006</v>
      </c>
      <c r="AW298">
        <v>0</v>
      </c>
      <c r="AX298">
        <v>12.4</v>
      </c>
      <c r="AZ298">
        <v>4</v>
      </c>
      <c r="BA298">
        <v>71.724299999999999</v>
      </c>
      <c r="BB298">
        <v>11.139900000000001</v>
      </c>
      <c r="BC298">
        <v>4.8022</v>
      </c>
      <c r="BD298" s="19">
        <v>0.99299999999999999</v>
      </c>
      <c r="BE298" s="19">
        <v>85.436899999999994</v>
      </c>
      <c r="BF298">
        <v>5.8871000000000002</v>
      </c>
      <c r="BG298">
        <v>9</v>
      </c>
      <c r="BH298" s="20">
        <v>0.97760000000000002</v>
      </c>
      <c r="BI298" s="20">
        <v>1845.998</v>
      </c>
      <c r="BJ298" s="19">
        <v>80.288499999999999</v>
      </c>
      <c r="BK298">
        <v>0.9869</v>
      </c>
      <c r="BL298">
        <v>0.98609999999999998</v>
      </c>
      <c r="BM298">
        <v>0.98580000000000001</v>
      </c>
      <c r="BN298">
        <v>8</v>
      </c>
      <c r="BO298">
        <v>11.462999999999999</v>
      </c>
      <c r="BP298">
        <v>25.34</v>
      </c>
      <c r="BQ298" s="19">
        <v>91.849500000000006</v>
      </c>
      <c r="BR298">
        <v>75.196899999999999</v>
      </c>
      <c r="BS298" s="20">
        <v>7.8170000000000002</v>
      </c>
      <c r="BT298" s="20">
        <v>7.8170000000000002</v>
      </c>
      <c r="BU298" s="20">
        <v>19.617000000000001</v>
      </c>
      <c r="BV298" s="20">
        <v>19.506</v>
      </c>
      <c r="BW298" s="19">
        <v>76.442300000000003</v>
      </c>
      <c r="BX298">
        <v>37.06</v>
      </c>
      <c r="BY298" s="6">
        <v>7651250</v>
      </c>
      <c r="BZ298" s="5">
        <v>19974414</v>
      </c>
      <c r="CA298" s="7">
        <f t="shared" si="20"/>
        <v>2.6106079398791047</v>
      </c>
      <c r="CB298">
        <v>10038188</v>
      </c>
      <c r="CC298" s="8">
        <f t="shared" si="21"/>
        <v>1.9898425891206659</v>
      </c>
      <c r="CD298" s="8">
        <f t="shared" si="22"/>
        <v>0.76221425619842942</v>
      </c>
      <c r="CE298">
        <v>93012</v>
      </c>
      <c r="CF298" s="8">
        <f t="shared" si="23"/>
        <v>82.260891067819202</v>
      </c>
      <c r="CG298" s="8">
        <f t="shared" si="24"/>
        <v>214.75093536317894</v>
      </c>
      <c r="CH298">
        <v>109.88561</v>
      </c>
    </row>
    <row r="299" spans="1:86" ht="15.5" x14ac:dyDescent="0.35">
      <c r="A299" t="s">
        <v>98</v>
      </c>
      <c r="B299">
        <v>2009</v>
      </c>
      <c r="C299" s="2">
        <v>45.2408</v>
      </c>
      <c r="D299">
        <v>66094.59</v>
      </c>
      <c r="E299">
        <v>0.18709999999999999</v>
      </c>
      <c r="F299">
        <v>5.1571999999999996</v>
      </c>
      <c r="G299">
        <v>64200</v>
      </c>
      <c r="H299">
        <v>13</v>
      </c>
      <c r="I299" s="19">
        <v>95.355000000000004</v>
      </c>
      <c r="J299" s="19">
        <v>96.72</v>
      </c>
      <c r="K299" s="19">
        <v>3.16</v>
      </c>
      <c r="L299" s="19">
        <v>69.378</v>
      </c>
      <c r="M299" s="19">
        <v>-1724000000</v>
      </c>
      <c r="N299" s="19">
        <v>84.251400000000004</v>
      </c>
      <c r="O299">
        <v>39.904000000000003</v>
      </c>
      <c r="P299">
        <v>19.764500000000002</v>
      </c>
      <c r="Q299" s="19">
        <v>13040.321</v>
      </c>
      <c r="R299" s="19">
        <v>11162.056</v>
      </c>
      <c r="S299" s="19">
        <v>-6.4531000000000001</v>
      </c>
      <c r="T299" s="19">
        <v>27560.475600000002</v>
      </c>
      <c r="U299" s="19">
        <v>20722.065299999998</v>
      </c>
      <c r="V299">
        <v>27</v>
      </c>
      <c r="W299" s="19">
        <v>72.248800000000003</v>
      </c>
      <c r="X299">
        <v>99</v>
      </c>
      <c r="Z299">
        <v>99</v>
      </c>
      <c r="AA299">
        <v>5.3</v>
      </c>
      <c r="AB299">
        <v>62</v>
      </c>
      <c r="AC299">
        <v>73.904899999999998</v>
      </c>
      <c r="AE299">
        <v>13</v>
      </c>
      <c r="AF299">
        <v>80.398200000000003</v>
      </c>
      <c r="AG299">
        <v>10.4</v>
      </c>
      <c r="AH299">
        <v>0.74</v>
      </c>
      <c r="AI299">
        <v>6.2</v>
      </c>
      <c r="AJ299">
        <v>5.7</v>
      </c>
      <c r="AK299">
        <v>6.7</v>
      </c>
      <c r="AL299">
        <v>58.483600000000003</v>
      </c>
      <c r="AM299">
        <v>3.5</v>
      </c>
      <c r="AN299">
        <v>17281</v>
      </c>
      <c r="AO299">
        <v>0</v>
      </c>
      <c r="AP299">
        <v>99.968500000000006</v>
      </c>
      <c r="AQ299">
        <v>98.012100000000004</v>
      </c>
      <c r="AR299">
        <v>86.971500000000006</v>
      </c>
      <c r="AS299">
        <v>68.052099999999996</v>
      </c>
      <c r="AT299">
        <v>75.599100000000007</v>
      </c>
      <c r="AU299">
        <v>20.6234</v>
      </c>
      <c r="AV299" s="19">
        <v>63.981000000000002</v>
      </c>
      <c r="AW299">
        <v>0.1</v>
      </c>
      <c r="AX299">
        <v>12.3</v>
      </c>
      <c r="AZ299">
        <v>4</v>
      </c>
      <c r="BA299">
        <v>73.218699999999998</v>
      </c>
      <c r="BB299">
        <v>11.139900000000001</v>
      </c>
      <c r="BC299">
        <v>4.9097999999999997</v>
      </c>
      <c r="BD299" s="19">
        <v>-6.74</v>
      </c>
      <c r="BE299" s="19">
        <v>81.339699999999993</v>
      </c>
      <c r="BF299">
        <v>8.0618999999999996</v>
      </c>
      <c r="BG299">
        <v>12.3</v>
      </c>
      <c r="BH299" s="20">
        <v>1.1279999999999999</v>
      </c>
      <c r="BI299" s="20">
        <v>2004.5021999999999</v>
      </c>
      <c r="BJ299" s="19">
        <v>71.563999999999993</v>
      </c>
      <c r="BK299">
        <v>0.99150000000000005</v>
      </c>
      <c r="BL299">
        <v>0.99</v>
      </c>
      <c r="BM299">
        <v>0.98950000000000005</v>
      </c>
      <c r="BN299">
        <v>8</v>
      </c>
      <c r="BO299">
        <v>13.605</v>
      </c>
      <c r="BP299">
        <v>25.3</v>
      </c>
      <c r="BQ299" s="19">
        <v>94.515699999999995</v>
      </c>
      <c r="BR299">
        <v>66.993200000000002</v>
      </c>
      <c r="BS299" s="20">
        <v>10.029999999999999</v>
      </c>
      <c r="BT299" s="20">
        <v>10.029999999999999</v>
      </c>
      <c r="BU299" s="20">
        <v>26.395</v>
      </c>
      <c r="BV299" s="20">
        <v>26.423999999999999</v>
      </c>
      <c r="BW299" s="19">
        <v>74.881500000000003</v>
      </c>
      <c r="BX299">
        <v>33.159999999999997</v>
      </c>
      <c r="BY299" s="6">
        <v>7150612</v>
      </c>
      <c r="BZ299" s="5">
        <v>18709746</v>
      </c>
      <c r="CA299" s="7">
        <f t="shared" si="20"/>
        <v>2.616523732514084</v>
      </c>
      <c r="CB299">
        <v>10022650</v>
      </c>
      <c r="CC299" s="8">
        <f t="shared" si="21"/>
        <v>1.8667464193601493</v>
      </c>
      <c r="CD299" s="8">
        <f t="shared" si="22"/>
        <v>0.71344524651663976</v>
      </c>
      <c r="CE299">
        <v>93012</v>
      </c>
      <c r="CF299" s="8">
        <f t="shared" si="23"/>
        <v>76.878381284135386</v>
      </c>
      <c r="CG299" s="8">
        <f t="shared" si="24"/>
        <v>201.15410914720681</v>
      </c>
      <c r="CH299">
        <v>103.77086</v>
      </c>
    </row>
    <row r="300" spans="1:86" ht="15.5" x14ac:dyDescent="0.35">
      <c r="A300" t="s">
        <v>98</v>
      </c>
      <c r="B300">
        <v>2010</v>
      </c>
      <c r="C300" s="2">
        <v>45.3474</v>
      </c>
      <c r="D300">
        <v>64818.12</v>
      </c>
      <c r="E300">
        <v>0.18740000000000001</v>
      </c>
      <c r="F300">
        <v>5.2335000000000003</v>
      </c>
      <c r="G300">
        <v>64500</v>
      </c>
      <c r="H300">
        <v>13</v>
      </c>
      <c r="I300" s="19">
        <v>100</v>
      </c>
      <c r="J300" s="19">
        <v>101.24</v>
      </c>
      <c r="K300" s="19">
        <v>4.1509999999999998</v>
      </c>
      <c r="L300" s="19">
        <v>65.714299999999994</v>
      </c>
      <c r="M300" s="19">
        <v>-346000000</v>
      </c>
      <c r="N300" s="19">
        <v>96.912700000000001</v>
      </c>
      <c r="O300">
        <v>39.963000000000001</v>
      </c>
      <c r="P300">
        <v>21.639399999999998</v>
      </c>
      <c r="Q300" s="19">
        <v>13171.433000000001</v>
      </c>
      <c r="R300" s="19">
        <v>11307.716200000001</v>
      </c>
      <c r="S300" s="19">
        <v>1.3049999999999999</v>
      </c>
      <c r="T300" s="19">
        <v>27920.128499999999</v>
      </c>
      <c r="U300" s="19">
        <v>21738.8966</v>
      </c>
      <c r="V300">
        <v>29.4</v>
      </c>
      <c r="W300" s="19">
        <v>71.770300000000006</v>
      </c>
      <c r="X300">
        <v>99</v>
      </c>
      <c r="Z300">
        <v>99</v>
      </c>
      <c r="AA300">
        <v>5.0999999999999996</v>
      </c>
      <c r="AB300">
        <v>65</v>
      </c>
      <c r="AC300">
        <v>74.207300000000004</v>
      </c>
      <c r="AE300">
        <v>13</v>
      </c>
      <c r="AF300">
        <v>82.680099999999996</v>
      </c>
      <c r="AG300">
        <v>9.1999999999999993</v>
      </c>
      <c r="AH300">
        <v>0.91</v>
      </c>
      <c r="AI300">
        <v>6</v>
      </c>
      <c r="AJ300">
        <v>5.5</v>
      </c>
      <c r="AK300">
        <v>6.5</v>
      </c>
      <c r="AL300">
        <v>58.118400000000001</v>
      </c>
      <c r="AM300">
        <v>3.4</v>
      </c>
      <c r="AN300">
        <v>10592</v>
      </c>
      <c r="AO300">
        <v>0</v>
      </c>
      <c r="AP300">
        <v>99.968900000000005</v>
      </c>
      <c r="AQ300">
        <v>98.008399999999995</v>
      </c>
      <c r="AR300">
        <v>87.010999999999996</v>
      </c>
      <c r="AS300">
        <v>69.152900000000002</v>
      </c>
      <c r="AT300">
        <v>77.274000000000001</v>
      </c>
      <c r="AU300">
        <v>20.465800000000002</v>
      </c>
      <c r="AV300" s="19">
        <v>69.194299999999998</v>
      </c>
      <c r="AW300">
        <v>0.1</v>
      </c>
      <c r="AX300">
        <v>14.1</v>
      </c>
      <c r="AY300">
        <v>7</v>
      </c>
      <c r="AZ300">
        <v>4</v>
      </c>
      <c r="BA300">
        <v>74.749200000000002</v>
      </c>
      <c r="BB300">
        <v>9.0673999999999992</v>
      </c>
      <c r="BC300">
        <v>4.9626999999999999</v>
      </c>
      <c r="BD300" s="19">
        <v>1.0680000000000001</v>
      </c>
      <c r="BE300" s="19">
        <v>80.382800000000003</v>
      </c>
      <c r="BF300">
        <v>8.0812000000000008</v>
      </c>
      <c r="BG300">
        <v>13.5</v>
      </c>
      <c r="BH300" s="20">
        <v>1.1286</v>
      </c>
      <c r="BI300" s="20">
        <v>2135.6334999999999</v>
      </c>
      <c r="BJ300" s="19">
        <v>72.037899999999993</v>
      </c>
      <c r="BK300">
        <v>0.99350000000000005</v>
      </c>
      <c r="BL300">
        <v>0.9889</v>
      </c>
      <c r="BM300">
        <v>0.98699999999999999</v>
      </c>
      <c r="BN300">
        <v>8</v>
      </c>
      <c r="BO300">
        <v>12.555</v>
      </c>
      <c r="BP300">
        <v>25.56</v>
      </c>
      <c r="BQ300" s="19">
        <v>96.732100000000003</v>
      </c>
      <c r="BR300">
        <v>65.522400000000005</v>
      </c>
      <c r="BS300" s="20">
        <v>11.172000000000001</v>
      </c>
      <c r="BT300" s="20">
        <v>11.172000000000001</v>
      </c>
      <c r="BU300" s="20">
        <v>26.393000000000001</v>
      </c>
      <c r="BV300" s="20">
        <v>26.414999999999999</v>
      </c>
      <c r="BW300" s="19">
        <v>73.459699999999998</v>
      </c>
      <c r="BX300">
        <v>36.17</v>
      </c>
      <c r="BY300" s="6">
        <v>7304010</v>
      </c>
      <c r="BZ300" s="5">
        <v>19030734</v>
      </c>
      <c r="CA300" s="7">
        <f t="shared" si="20"/>
        <v>2.6055186123786798</v>
      </c>
      <c r="CB300">
        <v>10000023</v>
      </c>
      <c r="CC300" s="8">
        <f t="shared" si="21"/>
        <v>1.9030690229412472</v>
      </c>
      <c r="CD300" s="8">
        <f t="shared" si="22"/>
        <v>0.73039932008156383</v>
      </c>
      <c r="CE300">
        <v>93012</v>
      </c>
      <c r="CF300" s="8">
        <f t="shared" si="23"/>
        <v>78.527609340730223</v>
      </c>
      <c r="CG300" s="8">
        <f t="shared" si="24"/>
        <v>204.60514772287448</v>
      </c>
      <c r="CH300">
        <v>107.91567000000001</v>
      </c>
    </row>
    <row r="301" spans="1:86" ht="15.5" x14ac:dyDescent="0.35">
      <c r="A301" t="s">
        <v>98</v>
      </c>
      <c r="B301">
        <v>2011</v>
      </c>
      <c r="C301" s="2">
        <v>45.492100000000001</v>
      </c>
      <c r="D301">
        <v>62850.62</v>
      </c>
      <c r="E301">
        <v>0.18079999999999999</v>
      </c>
      <c r="F301">
        <v>5.1573000000000002</v>
      </c>
      <c r="G301">
        <v>63000</v>
      </c>
      <c r="H301">
        <v>13</v>
      </c>
      <c r="I301" s="19">
        <v>103.929</v>
      </c>
      <c r="J301" s="19">
        <v>105.364</v>
      </c>
      <c r="K301" s="19">
        <v>4.6689999999999996</v>
      </c>
      <c r="L301" s="19">
        <v>67.772499999999994</v>
      </c>
      <c r="M301" s="19">
        <v>454000000</v>
      </c>
      <c r="N301" s="19">
        <v>113.9939</v>
      </c>
      <c r="O301">
        <v>38.222999999999999</v>
      </c>
      <c r="P301">
        <v>23.254899999999999</v>
      </c>
      <c r="Q301" s="19">
        <v>14191.148999999999</v>
      </c>
      <c r="R301" s="19">
        <v>11551.498900000001</v>
      </c>
      <c r="S301" s="19">
        <v>2.1558999999999999</v>
      </c>
      <c r="T301" s="19">
        <v>28522.057700000001</v>
      </c>
      <c r="U301" s="19">
        <v>23029.447199999999</v>
      </c>
      <c r="V301">
        <v>29.2</v>
      </c>
      <c r="W301" s="19">
        <v>70.616100000000003</v>
      </c>
      <c r="X301">
        <v>99</v>
      </c>
      <c r="Z301">
        <v>99</v>
      </c>
      <c r="AA301">
        <v>5</v>
      </c>
      <c r="AB301">
        <v>68</v>
      </c>
      <c r="AC301">
        <v>74.858500000000006</v>
      </c>
      <c r="AE301">
        <v>14</v>
      </c>
      <c r="AF301">
        <v>82.834500000000006</v>
      </c>
      <c r="AG301">
        <v>8.5</v>
      </c>
      <c r="AH301">
        <v>0.56000000000000005</v>
      </c>
      <c r="AI301">
        <v>5.9</v>
      </c>
      <c r="AJ301">
        <v>5.4</v>
      </c>
      <c r="AK301">
        <v>6.3</v>
      </c>
      <c r="AL301">
        <v>58.644399999999997</v>
      </c>
      <c r="AM301">
        <v>3.3</v>
      </c>
      <c r="AN301">
        <v>1859</v>
      </c>
      <c r="AO301">
        <v>0</v>
      </c>
      <c r="AP301">
        <v>99.969399999999993</v>
      </c>
      <c r="AQ301">
        <v>98.004800000000003</v>
      </c>
      <c r="AR301">
        <v>87.050200000000004</v>
      </c>
      <c r="AS301">
        <v>70.309600000000003</v>
      </c>
      <c r="AT301">
        <v>78.974800000000002</v>
      </c>
      <c r="AU301">
        <v>21.308900000000001</v>
      </c>
      <c r="AV301" s="19">
        <v>70.142200000000003</v>
      </c>
      <c r="AW301">
        <v>0.1</v>
      </c>
      <c r="AX301">
        <v>14.3</v>
      </c>
      <c r="AY301">
        <v>7</v>
      </c>
      <c r="AZ301">
        <v>4</v>
      </c>
      <c r="BA301">
        <v>76.319599999999994</v>
      </c>
      <c r="BB301">
        <v>8.8082999999999991</v>
      </c>
      <c r="BC301">
        <v>4.9539</v>
      </c>
      <c r="BD301" s="19">
        <v>1.917</v>
      </c>
      <c r="BE301" s="19">
        <v>80.094800000000006</v>
      </c>
      <c r="BF301">
        <v>7.5186999999999999</v>
      </c>
      <c r="BG301">
        <v>14.7</v>
      </c>
      <c r="BH301" s="20">
        <v>1.1793</v>
      </c>
      <c r="BI301" s="20">
        <v>2309.9922000000001</v>
      </c>
      <c r="BJ301" s="19">
        <v>71.831000000000003</v>
      </c>
      <c r="BK301">
        <v>0.99529999999999996</v>
      </c>
      <c r="BL301">
        <v>0.98599999999999999</v>
      </c>
      <c r="BM301">
        <v>0.98199999999999998</v>
      </c>
      <c r="BN301">
        <v>8</v>
      </c>
      <c r="BO301">
        <v>13.212999999999999</v>
      </c>
      <c r="BP301">
        <v>25.23</v>
      </c>
      <c r="BQ301" s="19">
        <v>97.1982</v>
      </c>
      <c r="BR301">
        <v>66.064499999999995</v>
      </c>
      <c r="BS301" s="20">
        <v>11.029</v>
      </c>
      <c r="BT301" s="20">
        <v>11.029</v>
      </c>
      <c r="BU301" s="20">
        <v>25.957000000000001</v>
      </c>
      <c r="BV301" s="20">
        <v>25.978000000000002</v>
      </c>
      <c r="BW301" s="19">
        <v>73.239400000000003</v>
      </c>
      <c r="BX301">
        <v>33.380000000000003</v>
      </c>
      <c r="BY301" s="6">
        <v>7586727</v>
      </c>
      <c r="BZ301" s="5">
        <v>19434914</v>
      </c>
      <c r="CA301" s="7">
        <f t="shared" si="20"/>
        <v>2.561699399490716</v>
      </c>
      <c r="CB301">
        <v>9971727</v>
      </c>
      <c r="CC301" s="8">
        <f t="shared" si="21"/>
        <v>1.9490018128254012</v>
      </c>
      <c r="CD301" s="8">
        <f t="shared" si="22"/>
        <v>0.76082377706489557</v>
      </c>
      <c r="CE301">
        <v>93012</v>
      </c>
      <c r="CF301" s="8">
        <f t="shared" si="23"/>
        <v>81.567184879370402</v>
      </c>
      <c r="CG301" s="8">
        <f t="shared" si="24"/>
        <v>208.95060852363136</v>
      </c>
      <c r="CH301">
        <v>107.46420000000001</v>
      </c>
    </row>
    <row r="302" spans="1:86" ht="15.5" x14ac:dyDescent="0.35">
      <c r="A302" s="9" t="s">
        <v>98</v>
      </c>
      <c r="B302" s="9">
        <v>2012</v>
      </c>
      <c r="C302" s="10">
        <v>45.918300000000002</v>
      </c>
      <c r="D302" s="9">
        <v>59097.04</v>
      </c>
      <c r="E302" s="9">
        <v>0.1696</v>
      </c>
      <c r="F302" s="9">
        <v>4.8026</v>
      </c>
      <c r="G302" s="9">
        <v>59200</v>
      </c>
      <c r="H302" s="9">
        <v>13</v>
      </c>
      <c r="I302" s="21">
        <v>109.812</v>
      </c>
      <c r="J302" s="21">
        <v>110.60899999999999</v>
      </c>
      <c r="K302" s="21">
        <v>3.8420000000000001</v>
      </c>
      <c r="L302" s="21">
        <v>65.402799999999999</v>
      </c>
      <c r="M302" s="21">
        <v>1459000000</v>
      </c>
      <c r="N302" s="21">
        <v>105.121</v>
      </c>
      <c r="O302" s="9">
        <v>36.255000000000003</v>
      </c>
      <c r="P302" s="9">
        <v>24.161799999999999</v>
      </c>
      <c r="Q302" s="21">
        <v>12934.984</v>
      </c>
      <c r="R302" s="21">
        <v>11466.141900000001</v>
      </c>
      <c r="S302" s="21">
        <v>-0.7389</v>
      </c>
      <c r="T302" s="21">
        <v>28311.300800000001</v>
      </c>
      <c r="U302" s="21">
        <v>23267.448400000001</v>
      </c>
      <c r="V302" s="9">
        <v>30.8</v>
      </c>
      <c r="W302" s="21">
        <v>69.668199999999999</v>
      </c>
      <c r="X302" s="9">
        <v>99</v>
      </c>
      <c r="Y302" s="9"/>
      <c r="Z302" s="9">
        <v>99</v>
      </c>
      <c r="AA302" s="9">
        <v>4.8</v>
      </c>
      <c r="AB302" s="9">
        <v>70.599999999999994</v>
      </c>
      <c r="AC302" s="9">
        <v>75.063400000000001</v>
      </c>
      <c r="AD302" s="9"/>
      <c r="AE302" s="9">
        <v>13</v>
      </c>
      <c r="AF302" s="9">
        <v>83.019000000000005</v>
      </c>
      <c r="AG302" s="9">
        <v>8.1999999999999993</v>
      </c>
      <c r="AH302" s="9">
        <v>0.76</v>
      </c>
      <c r="AI302" s="9">
        <v>5.7</v>
      </c>
      <c r="AJ302" s="9">
        <v>5.3</v>
      </c>
      <c r="AK302" s="9">
        <v>6.2</v>
      </c>
      <c r="AL302" s="9">
        <v>58.639099999999999</v>
      </c>
      <c r="AM302" s="9">
        <v>3.2</v>
      </c>
      <c r="AN302" s="9">
        <v>15286</v>
      </c>
      <c r="AO302" s="9">
        <v>0</v>
      </c>
      <c r="AP302" s="9">
        <v>99.969700000000003</v>
      </c>
      <c r="AQ302" s="9">
        <v>98.002200000000002</v>
      </c>
      <c r="AR302" s="9">
        <v>87.078199999999995</v>
      </c>
      <c r="AS302" s="9">
        <v>71.522199999999998</v>
      </c>
      <c r="AT302" s="9">
        <v>80.701400000000007</v>
      </c>
      <c r="AU302" s="9">
        <v>18.931999999999999</v>
      </c>
      <c r="AV302" s="21">
        <v>68.720399999999998</v>
      </c>
      <c r="AW302" s="9">
        <v>0.3</v>
      </c>
      <c r="AX302" s="9">
        <v>15</v>
      </c>
      <c r="AY302" s="9">
        <v>7</v>
      </c>
      <c r="AZ302" s="9">
        <v>4</v>
      </c>
      <c r="BA302" s="9">
        <v>77.918099999999995</v>
      </c>
      <c r="BB302" s="9">
        <v>8.8082999999999991</v>
      </c>
      <c r="BC302" s="9">
        <v>4.8051000000000004</v>
      </c>
      <c r="BD302" s="21">
        <v>-1.339</v>
      </c>
      <c r="BE302" s="21">
        <v>78.673000000000002</v>
      </c>
      <c r="BF302" s="9">
        <v>7.6391999999999998</v>
      </c>
      <c r="BG302" s="9">
        <v>16.5</v>
      </c>
      <c r="BH302" s="22">
        <v>1.2542</v>
      </c>
      <c r="BI302" s="22">
        <v>2400.8942999999999</v>
      </c>
      <c r="BJ302" s="21">
        <v>68.075100000000006</v>
      </c>
      <c r="BK302" s="9">
        <v>0.99450000000000005</v>
      </c>
      <c r="BL302" s="9">
        <v>0.98619999999999997</v>
      </c>
      <c r="BM302" s="9">
        <v>0.98260000000000003</v>
      </c>
      <c r="BN302" s="9">
        <v>8</v>
      </c>
      <c r="BO302" s="9">
        <v>14.785</v>
      </c>
      <c r="BP302" s="9">
        <v>25.04</v>
      </c>
      <c r="BQ302" s="21">
        <v>96.795500000000004</v>
      </c>
      <c r="BR302" s="9">
        <v>64.409000000000006</v>
      </c>
      <c r="BS302" s="22">
        <v>11.003</v>
      </c>
      <c r="BT302" s="22">
        <v>11.003</v>
      </c>
      <c r="BU302" s="22">
        <v>28.184999999999999</v>
      </c>
      <c r="BV302" s="22">
        <v>28.199000000000002</v>
      </c>
      <c r="BW302" s="21">
        <v>70.891999999999996</v>
      </c>
      <c r="BX302" s="9">
        <v>32.9</v>
      </c>
      <c r="BY302" s="14">
        <v>8808152</v>
      </c>
      <c r="BZ302" s="5">
        <v>23169533</v>
      </c>
      <c r="CA302" s="7">
        <f t="shared" si="20"/>
        <v>2.6304647104182579</v>
      </c>
      <c r="CB302">
        <v>9920362</v>
      </c>
      <c r="CC302" s="8">
        <f t="shared" si="21"/>
        <v>2.3355531784021593</v>
      </c>
      <c r="CD302" s="8">
        <f t="shared" si="22"/>
        <v>0.88788614770307772</v>
      </c>
      <c r="CE302">
        <v>93012</v>
      </c>
      <c r="CF302" s="8">
        <f t="shared" si="23"/>
        <v>94.699092590203421</v>
      </c>
      <c r="CG302" s="8">
        <f t="shared" si="24"/>
        <v>249.10262116716123</v>
      </c>
      <c r="CH302" s="9">
        <v>107.25293000000001</v>
      </c>
    </row>
    <row r="303" spans="1:86" ht="15.5" x14ac:dyDescent="0.35">
      <c r="A303" t="s">
        <v>98</v>
      </c>
      <c r="B303">
        <v>2013</v>
      </c>
      <c r="C303" s="2">
        <v>46.551900000000003</v>
      </c>
      <c r="D303">
        <v>57080.91</v>
      </c>
      <c r="E303">
        <v>0.15659999999999999</v>
      </c>
      <c r="F303">
        <v>4.5271999999999997</v>
      </c>
      <c r="G303">
        <v>56500</v>
      </c>
      <c r="H303">
        <v>11</v>
      </c>
      <c r="I303" s="19">
        <v>111.693</v>
      </c>
      <c r="J303" s="19">
        <v>111.066</v>
      </c>
      <c r="K303" s="19">
        <v>3.1909999999999998</v>
      </c>
      <c r="L303" s="19">
        <v>64.928899999999999</v>
      </c>
      <c r="M303" s="19">
        <v>4184000000</v>
      </c>
      <c r="N303" s="19">
        <v>109.1134</v>
      </c>
      <c r="O303">
        <v>38.259</v>
      </c>
      <c r="P303">
        <v>26.2622</v>
      </c>
      <c r="Q303" s="19">
        <v>13708.545</v>
      </c>
      <c r="R303" s="19">
        <v>11705.0093</v>
      </c>
      <c r="S303" s="19">
        <v>2.0832000000000002</v>
      </c>
      <c r="T303" s="19">
        <v>28901.093400000002</v>
      </c>
      <c r="U303" s="19">
        <v>24547.980500000001</v>
      </c>
      <c r="V303">
        <v>31.5</v>
      </c>
      <c r="W303" s="19">
        <v>71.563999999999993</v>
      </c>
      <c r="X303">
        <v>99</v>
      </c>
      <c r="Z303">
        <v>99</v>
      </c>
      <c r="AA303">
        <v>4.7</v>
      </c>
      <c r="AB303">
        <v>72.599999999999994</v>
      </c>
      <c r="AC303">
        <v>75.565899999999999</v>
      </c>
      <c r="AD303">
        <v>95.174000000000007</v>
      </c>
      <c r="AE303">
        <v>13</v>
      </c>
      <c r="AF303">
        <v>83.225200000000001</v>
      </c>
      <c r="AG303">
        <v>7.8</v>
      </c>
      <c r="AH303">
        <v>0.55000000000000004</v>
      </c>
      <c r="AI303">
        <v>5.6</v>
      </c>
      <c r="AJ303">
        <v>5.0999999999999996</v>
      </c>
      <c r="AK303">
        <v>6</v>
      </c>
      <c r="AL303">
        <v>58.533499999999997</v>
      </c>
      <c r="AM303">
        <v>3</v>
      </c>
      <c r="AN303">
        <v>5635</v>
      </c>
      <c r="AO303">
        <v>0</v>
      </c>
      <c r="AP303">
        <v>99.97</v>
      </c>
      <c r="AQ303">
        <v>97.999899999999997</v>
      </c>
      <c r="AR303">
        <v>88.599100000000007</v>
      </c>
      <c r="AS303">
        <v>72.790599999999998</v>
      </c>
      <c r="AT303">
        <v>82.453900000000004</v>
      </c>
      <c r="AU303">
        <v>17.853000000000002</v>
      </c>
      <c r="AV303" s="19">
        <v>70.616100000000003</v>
      </c>
      <c r="AW303">
        <v>0.2</v>
      </c>
      <c r="AX303">
        <v>15</v>
      </c>
      <c r="AY303">
        <v>7</v>
      </c>
      <c r="AZ303">
        <v>4</v>
      </c>
      <c r="BA303">
        <v>79.550399999999996</v>
      </c>
      <c r="BB303">
        <v>8.8082999999999991</v>
      </c>
      <c r="BC303">
        <v>4.7899000000000003</v>
      </c>
      <c r="BD303" s="19">
        <v>2.032</v>
      </c>
      <c r="BE303" s="19">
        <v>77.725099999999998</v>
      </c>
      <c r="BF303">
        <v>9.2006999999999994</v>
      </c>
      <c r="BG303">
        <v>17.2</v>
      </c>
      <c r="BH303" s="20">
        <v>1.3841000000000001</v>
      </c>
      <c r="BI303" s="20">
        <v>2527.8494000000001</v>
      </c>
      <c r="BJ303" s="19">
        <v>67.605599999999995</v>
      </c>
      <c r="BK303">
        <v>0.99219999999999997</v>
      </c>
      <c r="BL303">
        <v>1.0015000000000001</v>
      </c>
      <c r="BM303">
        <v>1.0055000000000001</v>
      </c>
      <c r="BN303">
        <v>8</v>
      </c>
      <c r="BO303">
        <v>15.465999999999999</v>
      </c>
      <c r="BP303">
        <v>22.3</v>
      </c>
      <c r="BQ303" s="19">
        <v>98.824200000000005</v>
      </c>
      <c r="BR303">
        <v>66.759600000000006</v>
      </c>
      <c r="BS303" s="20">
        <v>10.177</v>
      </c>
      <c r="BT303" s="20">
        <v>10.177</v>
      </c>
      <c r="BU303" s="20">
        <v>26.545999999999999</v>
      </c>
      <c r="BV303" s="20">
        <v>26.565000000000001</v>
      </c>
      <c r="BW303" s="19">
        <v>70.422499999999999</v>
      </c>
      <c r="BX303">
        <v>29.9</v>
      </c>
      <c r="BY303" s="6">
        <v>9317445</v>
      </c>
      <c r="BZ303" s="5">
        <v>24426148</v>
      </c>
      <c r="CA303" s="7">
        <f t="shared" si="20"/>
        <v>2.6215500064663648</v>
      </c>
      <c r="CB303">
        <v>9893082</v>
      </c>
      <c r="CC303" s="8">
        <f t="shared" si="21"/>
        <v>2.4690129931198386</v>
      </c>
      <c r="CD303" s="8">
        <f t="shared" si="22"/>
        <v>0.94181418894536606</v>
      </c>
      <c r="CE303">
        <v>93012</v>
      </c>
      <c r="CF303" s="8">
        <f t="shared" si="23"/>
        <v>100.17465488324088</v>
      </c>
      <c r="CG303" s="8">
        <f t="shared" si="24"/>
        <v>262.61286715692597</v>
      </c>
      <c r="CH303">
        <v>104.77234</v>
      </c>
    </row>
    <row r="304" spans="1:86" ht="15.5" x14ac:dyDescent="0.35">
      <c r="A304" t="s">
        <v>98</v>
      </c>
      <c r="B304">
        <v>2014</v>
      </c>
      <c r="C304" s="2">
        <v>47.383200000000002</v>
      </c>
      <c r="D304">
        <v>55785.86</v>
      </c>
      <c r="E304">
        <v>0.15040000000000001</v>
      </c>
      <c r="F304">
        <v>4.5429000000000004</v>
      </c>
      <c r="G304">
        <v>57100</v>
      </c>
      <c r="H304">
        <v>11</v>
      </c>
      <c r="I304" s="19">
        <v>111.437</v>
      </c>
      <c r="J304" s="19">
        <v>110.033</v>
      </c>
      <c r="K304" s="19">
        <v>2.8130000000000002</v>
      </c>
      <c r="L304" s="19">
        <v>61.057699999999997</v>
      </c>
      <c r="M304" s="19">
        <v>1243000000</v>
      </c>
      <c r="N304" s="19">
        <v>112.2791</v>
      </c>
      <c r="O304">
        <v>37.587000000000003</v>
      </c>
      <c r="P304">
        <v>26.164200000000001</v>
      </c>
      <c r="Q304" s="19">
        <v>14327.786</v>
      </c>
      <c r="R304" s="19">
        <v>12233.2994</v>
      </c>
      <c r="S304" s="19">
        <v>4.5133999999999999</v>
      </c>
      <c r="T304" s="19">
        <v>30205.506000000001</v>
      </c>
      <c r="U304" s="19">
        <v>25691.527300000002</v>
      </c>
      <c r="V304">
        <v>30.9</v>
      </c>
      <c r="W304" s="19">
        <v>72.115399999999994</v>
      </c>
      <c r="X304">
        <v>99</v>
      </c>
      <c r="Z304">
        <v>99</v>
      </c>
      <c r="AA304">
        <v>4.5</v>
      </c>
      <c r="AB304">
        <v>75.7</v>
      </c>
      <c r="AC304">
        <v>75.763400000000004</v>
      </c>
      <c r="AD304">
        <v>95.298100000000005</v>
      </c>
      <c r="AE304">
        <v>13</v>
      </c>
      <c r="AF304">
        <v>83.316100000000006</v>
      </c>
      <c r="AG304">
        <v>8</v>
      </c>
      <c r="AH304">
        <v>0.51</v>
      </c>
      <c r="AI304">
        <v>5.3</v>
      </c>
      <c r="AJ304">
        <v>4.9000000000000004</v>
      </c>
      <c r="AK304">
        <v>5.8</v>
      </c>
      <c r="AL304">
        <v>58.307499999999997</v>
      </c>
      <c r="AM304">
        <v>2.9</v>
      </c>
      <c r="AN304">
        <v>11581</v>
      </c>
      <c r="AO304">
        <v>0</v>
      </c>
      <c r="AP304">
        <v>99.970299999999995</v>
      </c>
      <c r="AQ304">
        <v>97.997699999999995</v>
      </c>
      <c r="AR304">
        <v>90.114000000000004</v>
      </c>
      <c r="AS304">
        <v>74.114999999999995</v>
      </c>
      <c r="AT304">
        <v>84.232299999999995</v>
      </c>
      <c r="AU304">
        <v>17.939800000000002</v>
      </c>
      <c r="AV304" s="19">
        <v>68.571399999999997</v>
      </c>
      <c r="AW304">
        <v>0.7</v>
      </c>
      <c r="AX304">
        <v>14.9</v>
      </c>
      <c r="AY304">
        <v>7</v>
      </c>
      <c r="AZ304">
        <v>4</v>
      </c>
      <c r="BA304">
        <v>81.220100000000002</v>
      </c>
      <c r="BB304">
        <v>10.0503</v>
      </c>
      <c r="BC304">
        <v>4.7016999999999998</v>
      </c>
      <c r="BD304" s="19">
        <v>4.3339999999999996</v>
      </c>
      <c r="BE304" s="19">
        <v>75</v>
      </c>
      <c r="BF304">
        <v>10.716699999999999</v>
      </c>
      <c r="BG304">
        <v>15.7</v>
      </c>
      <c r="BH304" s="20">
        <v>1.3446</v>
      </c>
      <c r="BI304" s="20">
        <v>2654.7954</v>
      </c>
      <c r="BJ304" s="19">
        <v>70.673100000000005</v>
      </c>
      <c r="BK304">
        <v>0.99309999999999998</v>
      </c>
      <c r="BL304">
        <v>1.0019</v>
      </c>
      <c r="BM304">
        <v>1.0059</v>
      </c>
      <c r="BN304">
        <v>8</v>
      </c>
      <c r="BO304">
        <v>13.619</v>
      </c>
      <c r="BP304">
        <v>20.6</v>
      </c>
      <c r="BQ304" s="19">
        <v>99.336399999999998</v>
      </c>
      <c r="BR304">
        <v>74.695400000000006</v>
      </c>
      <c r="BS304" s="20">
        <v>7.7249999999999996</v>
      </c>
      <c r="BT304" s="20">
        <v>7.7249999999999996</v>
      </c>
      <c r="BU304" s="20">
        <v>20.378</v>
      </c>
      <c r="BV304" s="20">
        <v>20.393000000000001</v>
      </c>
      <c r="BW304" s="19">
        <v>66.502499999999998</v>
      </c>
      <c r="BX304">
        <v>30.38</v>
      </c>
      <c r="BY304" s="6">
        <v>10132916</v>
      </c>
      <c r="BZ304" s="5">
        <v>26053873</v>
      </c>
      <c r="CA304" s="7">
        <f t="shared" si="20"/>
        <v>2.5712117814852111</v>
      </c>
      <c r="CB304">
        <v>9866468</v>
      </c>
      <c r="CC304" s="8">
        <f t="shared" si="21"/>
        <v>2.6406484062989919</v>
      </c>
      <c r="CD304" s="8">
        <f t="shared" si="22"/>
        <v>1.027005408622417</v>
      </c>
      <c r="CE304">
        <v>93012</v>
      </c>
      <c r="CF304" s="8">
        <f t="shared" si="23"/>
        <v>108.94202898550725</v>
      </c>
      <c r="CG304" s="8">
        <f t="shared" si="24"/>
        <v>280.1130284264396</v>
      </c>
      <c r="CH304">
        <v>100.57701</v>
      </c>
    </row>
    <row r="305" spans="1:86" ht="15.5" x14ac:dyDescent="0.35">
      <c r="A305" t="s">
        <v>98</v>
      </c>
      <c r="B305">
        <v>2015</v>
      </c>
      <c r="C305" s="2">
        <v>48.2517</v>
      </c>
      <c r="D305">
        <v>58287.5</v>
      </c>
      <c r="E305">
        <v>0.15379999999999999</v>
      </c>
      <c r="F305">
        <v>4.8292999999999999</v>
      </c>
      <c r="G305">
        <v>60100</v>
      </c>
      <c r="H305">
        <v>13</v>
      </c>
      <c r="I305" s="19">
        <v>111.364</v>
      </c>
      <c r="J305" s="19">
        <v>110.99299999999999</v>
      </c>
      <c r="K305" s="19">
        <v>2.79</v>
      </c>
      <c r="L305" s="19">
        <v>60</v>
      </c>
      <c r="M305" s="19">
        <v>2712000000</v>
      </c>
      <c r="N305" s="19">
        <v>100</v>
      </c>
      <c r="O305">
        <v>39.061999999999998</v>
      </c>
      <c r="P305">
        <v>27.632200000000001</v>
      </c>
      <c r="Q305" s="19">
        <v>12759.182000000001</v>
      </c>
      <c r="R305" s="19">
        <v>12717.0386</v>
      </c>
      <c r="S305" s="19">
        <v>3.9542999999999999</v>
      </c>
      <c r="T305" s="19">
        <v>31399.917099999999</v>
      </c>
      <c r="U305" s="19">
        <v>26806.044600000001</v>
      </c>
      <c r="V305">
        <v>30.4</v>
      </c>
      <c r="W305" s="19">
        <v>70.952399999999997</v>
      </c>
      <c r="X305">
        <v>99</v>
      </c>
      <c r="Z305">
        <v>99</v>
      </c>
      <c r="AA305">
        <v>4.2</v>
      </c>
      <c r="AB305">
        <v>72.8</v>
      </c>
      <c r="AC305">
        <v>75.568299999999994</v>
      </c>
      <c r="AD305">
        <v>93.641300000000001</v>
      </c>
      <c r="AE305">
        <v>13</v>
      </c>
      <c r="AF305">
        <v>84.934799999999996</v>
      </c>
      <c r="AG305">
        <v>7.8</v>
      </c>
      <c r="AH305">
        <v>0.41</v>
      </c>
      <c r="AI305">
        <v>5.0999999999999996</v>
      </c>
      <c r="AJ305">
        <v>4.5999999999999996</v>
      </c>
      <c r="AK305">
        <v>5.5</v>
      </c>
      <c r="AL305">
        <v>58.1586</v>
      </c>
      <c r="AM305">
        <v>2.7</v>
      </c>
      <c r="AN305">
        <v>13856</v>
      </c>
      <c r="AO305">
        <v>0</v>
      </c>
      <c r="AP305">
        <v>99.970500000000001</v>
      </c>
      <c r="AQ305">
        <v>97.995500000000007</v>
      </c>
      <c r="AR305">
        <v>91.623099999999994</v>
      </c>
      <c r="AS305">
        <v>75.495199999999997</v>
      </c>
      <c r="AT305">
        <v>86.036500000000004</v>
      </c>
      <c r="AU305">
        <v>17.9803</v>
      </c>
      <c r="AV305" s="19">
        <v>69.523799999999994</v>
      </c>
      <c r="AW305">
        <v>0.6</v>
      </c>
      <c r="AX305">
        <v>14.5</v>
      </c>
      <c r="AY305">
        <v>7</v>
      </c>
      <c r="AZ305">
        <v>4</v>
      </c>
      <c r="BA305">
        <v>82.9268</v>
      </c>
      <c r="BB305">
        <v>10.101000000000001</v>
      </c>
      <c r="BC305">
        <v>4.6459999999999999</v>
      </c>
      <c r="BD305" s="19">
        <v>3.66</v>
      </c>
      <c r="BE305" s="19">
        <v>74.285700000000006</v>
      </c>
      <c r="BF305">
        <v>10.6358</v>
      </c>
      <c r="BG305">
        <v>15.6</v>
      </c>
      <c r="BH305" s="20">
        <v>1.3395999999999999</v>
      </c>
      <c r="BI305" s="20">
        <v>2569.6689000000001</v>
      </c>
      <c r="BJ305" s="19">
        <v>64.761899999999997</v>
      </c>
      <c r="BK305">
        <v>0.99680000000000002</v>
      </c>
      <c r="BL305">
        <v>1.0029999999999999</v>
      </c>
      <c r="BM305">
        <v>1.0059</v>
      </c>
      <c r="BN305">
        <v>8</v>
      </c>
      <c r="BO305">
        <v>11.581</v>
      </c>
      <c r="BP305">
        <v>20.010000000000002</v>
      </c>
      <c r="BQ305" s="19">
        <v>100</v>
      </c>
      <c r="BR305">
        <v>78.268100000000004</v>
      </c>
      <c r="BS305" s="20">
        <v>6.8129999999999997</v>
      </c>
      <c r="BT305" s="20">
        <v>6.8129999999999997</v>
      </c>
      <c r="BU305" s="20">
        <v>17.271999999999998</v>
      </c>
      <c r="BV305" s="20">
        <v>17.28</v>
      </c>
      <c r="BW305" s="19">
        <v>66.502499999999998</v>
      </c>
      <c r="BX305">
        <v>29.92</v>
      </c>
      <c r="BY305" s="6">
        <v>10913250</v>
      </c>
      <c r="BZ305" s="5">
        <v>27542898</v>
      </c>
      <c r="CA305" s="7">
        <f t="shared" si="20"/>
        <v>2.5238034499347122</v>
      </c>
      <c r="CB305">
        <v>9843028</v>
      </c>
      <c r="CC305" s="8">
        <f t="shared" si="21"/>
        <v>2.7982139236015584</v>
      </c>
      <c r="CD305" s="8">
        <f t="shared" si="22"/>
        <v>1.1087289399156439</v>
      </c>
      <c r="CE305">
        <v>93012</v>
      </c>
      <c r="CF305" s="8">
        <f t="shared" si="23"/>
        <v>117.33163462778997</v>
      </c>
      <c r="CG305" s="8">
        <f t="shared" si="24"/>
        <v>296.12198426009547</v>
      </c>
      <c r="CH305">
        <v>100</v>
      </c>
    </row>
    <row r="306" spans="1:86" ht="15.5" x14ac:dyDescent="0.35">
      <c r="A306" t="s">
        <v>98</v>
      </c>
      <c r="B306">
        <v>2016</v>
      </c>
      <c r="C306" s="2">
        <v>49.142000000000003</v>
      </c>
      <c r="D306">
        <v>67227.66</v>
      </c>
      <c r="E306">
        <v>0.15279999999999999</v>
      </c>
      <c r="F306">
        <v>4.9180999999999999</v>
      </c>
      <c r="G306">
        <v>60100</v>
      </c>
      <c r="H306">
        <v>13</v>
      </c>
      <c r="I306" s="19">
        <v>111.806</v>
      </c>
      <c r="J306" s="19">
        <v>112.95399999999999</v>
      </c>
      <c r="K306" s="19">
        <v>2.9319999999999999</v>
      </c>
      <c r="L306" s="19">
        <v>58.571399999999997</v>
      </c>
      <c r="M306" s="19">
        <v>5639000000</v>
      </c>
      <c r="N306" s="19">
        <v>103.44580000000001</v>
      </c>
      <c r="O306">
        <v>37.725000000000001</v>
      </c>
      <c r="P306">
        <v>28.688800000000001</v>
      </c>
      <c r="Q306" s="19">
        <v>13188.503000000001</v>
      </c>
      <c r="R306" s="19">
        <v>13035.3529</v>
      </c>
      <c r="S306" s="19">
        <v>2.5030999999999999</v>
      </c>
      <c r="T306" s="19">
        <v>32185.873800000001</v>
      </c>
      <c r="U306" s="19">
        <v>27941.926899999999</v>
      </c>
      <c r="V306">
        <v>30.3</v>
      </c>
      <c r="W306" s="19">
        <v>68.571399999999997</v>
      </c>
      <c r="X306">
        <v>99</v>
      </c>
      <c r="Z306">
        <v>99</v>
      </c>
      <c r="AA306">
        <v>4</v>
      </c>
      <c r="AB306">
        <v>79.3</v>
      </c>
      <c r="AC306">
        <v>76.063400000000001</v>
      </c>
      <c r="AD306">
        <v>93.4739</v>
      </c>
      <c r="AE306">
        <v>13</v>
      </c>
      <c r="AF306">
        <v>85.169600000000003</v>
      </c>
      <c r="AG306">
        <v>7.8</v>
      </c>
      <c r="AH306">
        <v>0.59</v>
      </c>
      <c r="AI306">
        <v>4.7</v>
      </c>
      <c r="AJ306">
        <v>4.3</v>
      </c>
      <c r="AK306">
        <v>5.0999999999999996</v>
      </c>
      <c r="AL306">
        <v>57.667099999999998</v>
      </c>
      <c r="AM306">
        <v>2.5</v>
      </c>
      <c r="AN306">
        <v>68</v>
      </c>
      <c r="AO306">
        <v>0</v>
      </c>
      <c r="AP306">
        <v>99.970799999999997</v>
      </c>
      <c r="AQ306">
        <v>97.993200000000002</v>
      </c>
      <c r="AR306">
        <v>93.1267</v>
      </c>
      <c r="AS306">
        <v>76.947299999999998</v>
      </c>
      <c r="AT306">
        <v>87.866600000000005</v>
      </c>
      <c r="AU306">
        <v>16.238900000000001</v>
      </c>
      <c r="AV306" s="19">
        <v>66.1905</v>
      </c>
      <c r="AW306">
        <v>1.3</v>
      </c>
      <c r="AX306">
        <v>13.4</v>
      </c>
      <c r="AY306">
        <v>7</v>
      </c>
      <c r="AZ306">
        <v>4</v>
      </c>
      <c r="BA306">
        <v>84.675799999999995</v>
      </c>
      <c r="BB306">
        <v>10.101000000000001</v>
      </c>
      <c r="BC306">
        <v>4.7314999999999996</v>
      </c>
      <c r="BD306" s="19">
        <v>2.4390000000000001</v>
      </c>
      <c r="BE306" s="19">
        <v>70</v>
      </c>
      <c r="BF306">
        <v>10.2126</v>
      </c>
      <c r="BG306">
        <v>15.3</v>
      </c>
      <c r="BH306" s="20">
        <v>1.1798999999999999</v>
      </c>
      <c r="BI306" s="20">
        <v>2625.9418999999998</v>
      </c>
      <c r="BJ306" s="19">
        <v>65.238100000000003</v>
      </c>
      <c r="BK306">
        <v>0.99750000000000005</v>
      </c>
      <c r="BL306">
        <v>0.99360000000000004</v>
      </c>
      <c r="BM306">
        <v>0.99160000000000004</v>
      </c>
      <c r="BN306">
        <v>8</v>
      </c>
      <c r="BO306">
        <v>11.047000000000001</v>
      </c>
      <c r="BP306">
        <v>18.82</v>
      </c>
      <c r="BQ306" s="19">
        <v>101.16800000000001</v>
      </c>
      <c r="BR306">
        <v>83.819400000000002</v>
      </c>
      <c r="BS306" s="20">
        <v>5.1150000000000002</v>
      </c>
      <c r="BT306" s="20">
        <v>5.1150000000000002</v>
      </c>
      <c r="BU306" s="20">
        <v>12.922000000000001</v>
      </c>
      <c r="BV306" s="20">
        <v>12.926</v>
      </c>
      <c r="BW306" s="19">
        <v>59.113300000000002</v>
      </c>
      <c r="BX306">
        <v>31.56</v>
      </c>
      <c r="BY306" s="6">
        <v>11648144</v>
      </c>
      <c r="BZ306" s="5">
        <v>29291168</v>
      </c>
      <c r="CA306" s="7">
        <f t="shared" si="20"/>
        <v>2.5146639670663413</v>
      </c>
      <c r="CB306">
        <v>9814023</v>
      </c>
      <c r="CC306" s="8">
        <f t="shared" si="21"/>
        <v>2.9846239406612356</v>
      </c>
      <c r="CD306" s="8">
        <f t="shared" si="22"/>
        <v>1.1868877829204192</v>
      </c>
      <c r="CE306">
        <v>93012</v>
      </c>
      <c r="CF306" s="8">
        <f t="shared" si="23"/>
        <v>125.23270115683998</v>
      </c>
      <c r="CG306" s="8">
        <f t="shared" si="24"/>
        <v>314.91816109749277</v>
      </c>
      <c r="CH306">
        <v>99.992990000000006</v>
      </c>
    </row>
    <row r="307" spans="1:86" ht="15.5" x14ac:dyDescent="0.35">
      <c r="A307" t="s">
        <v>98</v>
      </c>
      <c r="B307">
        <v>2017</v>
      </c>
      <c r="C307" s="2">
        <v>49.959499999999998</v>
      </c>
      <c r="D307">
        <v>79677.41</v>
      </c>
      <c r="E307">
        <v>0.15529999999999999</v>
      </c>
      <c r="F307">
        <v>5.2271000000000001</v>
      </c>
      <c r="G307">
        <v>60100</v>
      </c>
      <c r="H307">
        <v>13</v>
      </c>
      <c r="I307" s="19">
        <v>114.438</v>
      </c>
      <c r="J307" s="19">
        <v>115.371</v>
      </c>
      <c r="K307" s="19">
        <v>3.3260000000000001</v>
      </c>
      <c r="L307" s="19">
        <v>57.619</v>
      </c>
      <c r="M307" s="19">
        <v>2559000000</v>
      </c>
      <c r="N307" s="19">
        <v>115.51049999999999</v>
      </c>
      <c r="O307">
        <v>37.636000000000003</v>
      </c>
      <c r="P307">
        <v>30.2136</v>
      </c>
      <c r="Q307" s="19">
        <v>14716.129000000001</v>
      </c>
      <c r="R307" s="19">
        <v>13628.404500000001</v>
      </c>
      <c r="S307" s="19">
        <v>4.5495999999999999</v>
      </c>
      <c r="T307" s="19">
        <v>33650.190499999997</v>
      </c>
      <c r="U307" s="19">
        <v>29496.163700000001</v>
      </c>
      <c r="V307">
        <v>30.6</v>
      </c>
      <c r="W307" s="19">
        <v>68.095200000000006</v>
      </c>
      <c r="X307">
        <v>99</v>
      </c>
      <c r="Z307">
        <v>99</v>
      </c>
      <c r="AA307">
        <v>3.7</v>
      </c>
      <c r="AB307">
        <v>76.8</v>
      </c>
      <c r="AC307">
        <v>75.817099999999996</v>
      </c>
      <c r="AD307">
        <v>93.658500000000004</v>
      </c>
      <c r="AE307">
        <v>14</v>
      </c>
      <c r="AF307">
        <v>85.142600000000002</v>
      </c>
      <c r="AG307">
        <v>8</v>
      </c>
      <c r="AH307">
        <v>0.56999999999999995</v>
      </c>
      <c r="AI307">
        <v>4.5</v>
      </c>
      <c r="AJ307">
        <v>4.0999999999999996</v>
      </c>
      <c r="AK307">
        <v>4.9000000000000004</v>
      </c>
      <c r="AL307">
        <v>57.348300000000002</v>
      </c>
      <c r="AM307">
        <v>2.4</v>
      </c>
      <c r="AN307">
        <v>20200</v>
      </c>
      <c r="AO307">
        <v>0</v>
      </c>
      <c r="AP307">
        <v>99.971100000000007</v>
      </c>
      <c r="AQ307">
        <v>97.990899999999996</v>
      </c>
      <c r="AR307">
        <v>94.624399999999994</v>
      </c>
      <c r="AS307">
        <v>79.409300000000002</v>
      </c>
      <c r="AT307">
        <v>89.956800000000001</v>
      </c>
      <c r="AU307">
        <v>17.023700000000002</v>
      </c>
      <c r="AV307" s="19">
        <v>74.285700000000006</v>
      </c>
      <c r="AW307">
        <v>0.6</v>
      </c>
      <c r="AX307">
        <v>12.8</v>
      </c>
      <c r="AY307">
        <v>7</v>
      </c>
      <c r="AZ307">
        <v>4</v>
      </c>
      <c r="BA307">
        <v>86.904600000000002</v>
      </c>
      <c r="BB307">
        <v>10.0503</v>
      </c>
      <c r="BC307">
        <v>4.6169000000000002</v>
      </c>
      <c r="BD307" s="19">
        <v>4.1239999999999997</v>
      </c>
      <c r="BE307" s="19">
        <v>72.381</v>
      </c>
      <c r="BF307">
        <v>10.572699999999999</v>
      </c>
      <c r="BG307">
        <v>14.6</v>
      </c>
      <c r="BH307" s="20">
        <v>1.3169999999999999</v>
      </c>
      <c r="BI307" s="20">
        <v>2902.2424000000001</v>
      </c>
      <c r="BJ307" s="19">
        <v>69.523799999999994</v>
      </c>
      <c r="BK307">
        <v>0.99419999999999997</v>
      </c>
      <c r="BL307">
        <v>0.99909999999999999</v>
      </c>
      <c r="BM307">
        <v>1.0014000000000001</v>
      </c>
      <c r="BN307">
        <v>8</v>
      </c>
      <c r="BO307">
        <v>11.039</v>
      </c>
      <c r="BP307">
        <v>17.420000000000002</v>
      </c>
      <c r="BQ307" s="19">
        <v>102.0222</v>
      </c>
      <c r="BR307">
        <v>86.766900000000007</v>
      </c>
      <c r="BS307" s="20">
        <v>4.1559999999999997</v>
      </c>
      <c r="BT307" s="20">
        <v>4.1559999999999997</v>
      </c>
      <c r="BU307" s="20">
        <v>10.698</v>
      </c>
      <c r="BV307" s="20">
        <v>10.706</v>
      </c>
      <c r="BW307" s="19">
        <v>65.024600000000007</v>
      </c>
      <c r="BX307">
        <v>29.45</v>
      </c>
      <c r="BY307" s="6">
        <v>12459373</v>
      </c>
      <c r="BZ307" s="5">
        <v>31608719</v>
      </c>
      <c r="CA307" s="7">
        <f t="shared" si="20"/>
        <v>2.5369429906304273</v>
      </c>
      <c r="CB307">
        <v>9787966</v>
      </c>
      <c r="CC307" s="8">
        <f t="shared" si="21"/>
        <v>3.2293449936381062</v>
      </c>
      <c r="CD307" s="8">
        <f t="shared" si="22"/>
        <v>1.2729276950900728</v>
      </c>
      <c r="CE307">
        <v>93012</v>
      </c>
      <c r="CF307" s="8">
        <f t="shared" si="23"/>
        <v>133.95446824065712</v>
      </c>
      <c r="CG307" s="8">
        <f t="shared" si="24"/>
        <v>339.8348492667613</v>
      </c>
      <c r="CH307">
        <v>101.35783000000001</v>
      </c>
    </row>
    <row r="308" spans="1:86" ht="15.5" x14ac:dyDescent="0.35">
      <c r="A308" t="s">
        <v>98</v>
      </c>
      <c r="B308">
        <v>2018</v>
      </c>
      <c r="C308" s="2">
        <v>50.7744</v>
      </c>
      <c r="D308">
        <v>58745.54</v>
      </c>
      <c r="E308">
        <v>0.1467</v>
      </c>
      <c r="F308">
        <v>5.2077</v>
      </c>
      <c r="G308">
        <v>60100</v>
      </c>
      <c r="H308">
        <v>13</v>
      </c>
      <c r="I308" s="19">
        <v>117.687</v>
      </c>
      <c r="J308" s="19">
        <v>118.529</v>
      </c>
      <c r="K308" s="19">
        <v>3.5790000000000002</v>
      </c>
      <c r="L308" s="19">
        <v>58.095199999999998</v>
      </c>
      <c r="M308" s="19">
        <v>391000000</v>
      </c>
      <c r="N308" s="19">
        <v>126.5724</v>
      </c>
      <c r="O308">
        <v>37.051000000000002</v>
      </c>
      <c r="P308">
        <v>31.5063</v>
      </c>
      <c r="Q308" s="19">
        <v>16593.03</v>
      </c>
      <c r="R308" s="19">
        <v>14377.424199999999</v>
      </c>
      <c r="S308" s="19">
        <v>5.4960000000000004</v>
      </c>
      <c r="T308" s="19">
        <v>35499.611299999997</v>
      </c>
      <c r="U308" s="19">
        <v>31908.863499999999</v>
      </c>
      <c r="V308">
        <v>29.6</v>
      </c>
      <c r="W308" s="19">
        <v>68.095200000000006</v>
      </c>
      <c r="X308">
        <v>99</v>
      </c>
      <c r="Z308">
        <v>99</v>
      </c>
      <c r="AA308">
        <v>3.6</v>
      </c>
      <c r="AB308">
        <v>76.099999999999994</v>
      </c>
      <c r="AC308">
        <v>76.065899999999999</v>
      </c>
      <c r="AD308">
        <v>94.870800000000003</v>
      </c>
      <c r="AE308">
        <v>14</v>
      </c>
      <c r="AF308">
        <v>85.3292</v>
      </c>
      <c r="AG308">
        <v>8.1</v>
      </c>
      <c r="AH308">
        <v>0.4</v>
      </c>
      <c r="AI308">
        <v>4.3</v>
      </c>
      <c r="AJ308">
        <v>3.9</v>
      </c>
      <c r="AK308">
        <v>4.7</v>
      </c>
      <c r="AL308">
        <v>57.0533</v>
      </c>
      <c r="AM308">
        <v>2.2999999999999998</v>
      </c>
      <c r="AN308">
        <v>34190</v>
      </c>
      <c r="AO308">
        <v>0</v>
      </c>
      <c r="AP308">
        <v>100</v>
      </c>
      <c r="AQ308">
        <v>97.988500000000002</v>
      </c>
      <c r="AR308">
        <v>96.1434</v>
      </c>
      <c r="AS308">
        <v>80.685900000000004</v>
      </c>
      <c r="AT308">
        <v>90.547499999999999</v>
      </c>
      <c r="AU308">
        <v>17.501899999999999</v>
      </c>
      <c r="AV308" s="19">
        <v>70.7547</v>
      </c>
      <c r="AW308">
        <v>0.2</v>
      </c>
      <c r="AX308">
        <v>12.3</v>
      </c>
      <c r="AY308">
        <v>7</v>
      </c>
      <c r="AZ308">
        <v>4</v>
      </c>
      <c r="BA308">
        <v>87.722200000000001</v>
      </c>
      <c r="BB308">
        <v>12.562799999999999</v>
      </c>
      <c r="BC308">
        <v>4.5547000000000004</v>
      </c>
      <c r="BD308" s="19">
        <v>5.6059999999999999</v>
      </c>
      <c r="BE308" s="19">
        <v>70.952399999999997</v>
      </c>
      <c r="BF308">
        <v>11.744199999999999</v>
      </c>
      <c r="BG308">
        <v>13.6</v>
      </c>
      <c r="BH308" s="20">
        <v>1.5078</v>
      </c>
      <c r="BI308" s="20">
        <v>3846.4866000000002</v>
      </c>
      <c r="BJ308" s="19">
        <v>70.476200000000006</v>
      </c>
      <c r="BK308">
        <v>0.99299999999999999</v>
      </c>
      <c r="BL308">
        <v>0.99460000000000004</v>
      </c>
      <c r="BM308">
        <v>0.99550000000000005</v>
      </c>
      <c r="BN308">
        <v>8</v>
      </c>
      <c r="BO308">
        <v>10.73</v>
      </c>
      <c r="BP308">
        <v>17.75</v>
      </c>
      <c r="BQ308" s="19">
        <v>101.67140000000001</v>
      </c>
      <c r="BR308">
        <v>87.754800000000003</v>
      </c>
      <c r="BS308" s="20">
        <v>3.7080000000000002</v>
      </c>
      <c r="BT308" s="20">
        <v>3.7090000000000001</v>
      </c>
      <c r="BU308" s="20">
        <v>10.148999999999999</v>
      </c>
      <c r="BV308" s="20">
        <v>10.169</v>
      </c>
      <c r="BW308" s="19">
        <v>64.077699999999993</v>
      </c>
      <c r="BX308">
        <v>30.01</v>
      </c>
      <c r="BY308" s="6">
        <v>13116056</v>
      </c>
      <c r="BZ308" s="5">
        <v>32830120</v>
      </c>
      <c r="CA308" s="7">
        <f t="shared" si="20"/>
        <v>2.503048172407925</v>
      </c>
      <c r="CB308">
        <v>9775564</v>
      </c>
      <c r="CC308" s="8">
        <f t="shared" si="21"/>
        <v>3.3583862782750948</v>
      </c>
      <c r="CD308" s="8">
        <f t="shared" si="22"/>
        <v>1.3417185954692743</v>
      </c>
      <c r="CE308">
        <v>93012</v>
      </c>
      <c r="CF308" s="8">
        <f t="shared" si="23"/>
        <v>141.0146647744377</v>
      </c>
      <c r="CG308" s="8">
        <f t="shared" si="24"/>
        <v>352.9664989463725</v>
      </c>
      <c r="CH308">
        <v>99.385059999999996</v>
      </c>
    </row>
    <row r="309" spans="1:86" ht="15.5" x14ac:dyDescent="0.35">
      <c r="A309" t="s">
        <v>98</v>
      </c>
      <c r="B309">
        <v>2019</v>
      </c>
      <c r="C309" s="2">
        <v>51.866199999999999</v>
      </c>
      <c r="D309">
        <v>57860.91</v>
      </c>
      <c r="E309">
        <v>0.13950000000000001</v>
      </c>
      <c r="F309">
        <v>5.1965000000000003</v>
      </c>
      <c r="G309">
        <v>60100</v>
      </c>
      <c r="H309">
        <v>13</v>
      </c>
      <c r="I309" s="19">
        <v>121.65600000000001</v>
      </c>
      <c r="J309" s="19">
        <v>123.264</v>
      </c>
      <c r="K309" s="19">
        <v>3.831</v>
      </c>
      <c r="L309" s="19">
        <v>57.619</v>
      </c>
      <c r="M309" s="19">
        <v>-1055000000</v>
      </c>
      <c r="N309" s="19">
        <v>125.6507</v>
      </c>
      <c r="O309">
        <v>35.904000000000003</v>
      </c>
      <c r="P309">
        <v>32.646599999999999</v>
      </c>
      <c r="Q309" s="19">
        <v>17002.758000000002</v>
      </c>
      <c r="R309" s="19">
        <v>15083.599200000001</v>
      </c>
      <c r="S309" s="19">
        <v>4.9116999999999997</v>
      </c>
      <c r="T309" s="19">
        <v>37243.243399999999</v>
      </c>
      <c r="U309" s="19">
        <v>35152.6037</v>
      </c>
      <c r="V309">
        <v>30</v>
      </c>
      <c r="W309" s="19">
        <v>68.095200000000006</v>
      </c>
      <c r="X309">
        <v>99</v>
      </c>
      <c r="Z309">
        <v>99</v>
      </c>
      <c r="AA309">
        <v>3.5</v>
      </c>
      <c r="AB309">
        <v>80.400000000000006</v>
      </c>
      <c r="AC309">
        <v>76.319500000000005</v>
      </c>
      <c r="AD309">
        <v>95.288499999999999</v>
      </c>
      <c r="AE309">
        <v>13</v>
      </c>
      <c r="AF309">
        <v>85.3292</v>
      </c>
      <c r="AG309">
        <v>7.7</v>
      </c>
      <c r="AH309">
        <v>0.49</v>
      </c>
      <c r="AI309">
        <v>4.0999999999999996</v>
      </c>
      <c r="AJ309">
        <v>3.7</v>
      </c>
      <c r="AK309">
        <v>4.5</v>
      </c>
      <c r="AL309">
        <v>57.095300000000002</v>
      </c>
      <c r="AM309">
        <v>2.2000000000000002</v>
      </c>
      <c r="AN309">
        <v>34339</v>
      </c>
      <c r="AO309">
        <v>0</v>
      </c>
      <c r="AP309">
        <v>100</v>
      </c>
      <c r="AQ309">
        <v>97.986099999999993</v>
      </c>
      <c r="AR309">
        <v>97.629599999999996</v>
      </c>
      <c r="AS309">
        <v>80.685900000000004</v>
      </c>
      <c r="AT309">
        <v>90.547499999999999</v>
      </c>
      <c r="AU309">
        <v>14.6412</v>
      </c>
      <c r="AV309" s="19">
        <v>71.698099999999997</v>
      </c>
      <c r="AW309">
        <v>0.3</v>
      </c>
      <c r="AX309">
        <v>12.3</v>
      </c>
      <c r="AY309">
        <v>7</v>
      </c>
      <c r="AZ309">
        <v>4</v>
      </c>
      <c r="BA309">
        <v>87.751099999999994</v>
      </c>
      <c r="BB309">
        <v>12.562799999999999</v>
      </c>
      <c r="BC309">
        <v>4.2919999999999998</v>
      </c>
      <c r="BD309" s="19">
        <v>5.077</v>
      </c>
      <c r="BE309" s="19">
        <v>72.381</v>
      </c>
      <c r="BF309">
        <v>13.677099999999999</v>
      </c>
      <c r="BG309">
        <v>13.6</v>
      </c>
      <c r="BH309" s="20">
        <v>1.4729000000000001</v>
      </c>
      <c r="BI309" s="20">
        <v>4021.1527999999998</v>
      </c>
      <c r="BJ309" s="19">
        <v>68.571399999999997</v>
      </c>
      <c r="BK309">
        <v>0.98660000000000003</v>
      </c>
      <c r="BL309">
        <v>0.99339999999999995</v>
      </c>
      <c r="BM309">
        <v>0.99660000000000004</v>
      </c>
      <c r="BN309">
        <v>8</v>
      </c>
      <c r="BO309">
        <v>11.002000000000001</v>
      </c>
      <c r="BP309">
        <v>16.649999999999999</v>
      </c>
      <c r="BQ309" s="19">
        <v>102.0454</v>
      </c>
      <c r="BR309">
        <v>87.3125</v>
      </c>
      <c r="BS309" s="20">
        <v>3.419</v>
      </c>
      <c r="BT309" s="20">
        <v>3.419</v>
      </c>
      <c r="BU309" s="20">
        <v>11.4</v>
      </c>
      <c r="BV309" s="20">
        <v>11.404</v>
      </c>
      <c r="BW309" s="19">
        <v>57.970999999999997</v>
      </c>
      <c r="BX309">
        <v>31.56</v>
      </c>
      <c r="BY309" s="6">
        <v>13454090</v>
      </c>
      <c r="BZ309" s="5">
        <v>33199961</v>
      </c>
      <c r="CA309" s="7">
        <f t="shared" si="20"/>
        <v>2.4676482021452211</v>
      </c>
      <c r="CB309">
        <v>9771141</v>
      </c>
      <c r="CC309" s="8">
        <f t="shared" si="21"/>
        <v>3.3977568228725796</v>
      </c>
      <c r="CD309" s="8">
        <f t="shared" si="22"/>
        <v>1.376921078101319</v>
      </c>
      <c r="CE309">
        <v>93012</v>
      </c>
      <c r="CF309" s="8">
        <f t="shared" si="23"/>
        <v>144.64897002537307</v>
      </c>
      <c r="CG309" s="8">
        <f t="shared" si="24"/>
        <v>356.94277082526986</v>
      </c>
      <c r="CH309">
        <v>99.410030000000006</v>
      </c>
    </row>
    <row r="310" spans="1:86" ht="15.5" x14ac:dyDescent="0.35">
      <c r="A310" t="s">
        <v>98</v>
      </c>
      <c r="B310">
        <v>2020</v>
      </c>
      <c r="C310" s="2">
        <v>53.018300000000004</v>
      </c>
      <c r="D310">
        <v>57494.16</v>
      </c>
      <c r="E310">
        <v>0.14099999999999999</v>
      </c>
      <c r="F310">
        <v>5.0259</v>
      </c>
      <c r="G310">
        <v>60100</v>
      </c>
      <c r="H310">
        <v>13</v>
      </c>
      <c r="I310" s="19">
        <v>125.676</v>
      </c>
      <c r="J310" s="19">
        <v>126.642</v>
      </c>
      <c r="K310" s="19">
        <v>2.9140000000000001</v>
      </c>
      <c r="L310" s="19">
        <v>58.571399999999997</v>
      </c>
      <c r="M310" s="19">
        <v>-1498000000</v>
      </c>
      <c r="N310" s="19">
        <v>122.46120000000001</v>
      </c>
      <c r="O310">
        <v>36.777000000000001</v>
      </c>
      <c r="P310">
        <v>33.492199999999997</v>
      </c>
      <c r="Q310" s="19">
        <v>16355.504999999999</v>
      </c>
      <c r="R310" s="19">
        <v>14437.808800000001</v>
      </c>
      <c r="S310" s="19">
        <v>-4.2813999999999997</v>
      </c>
      <c r="T310" s="19">
        <v>35648.708400000003</v>
      </c>
      <c r="U310" s="19">
        <v>35029.913200000003</v>
      </c>
      <c r="V310">
        <v>29.7</v>
      </c>
      <c r="W310" s="19">
        <v>70</v>
      </c>
      <c r="X310">
        <v>99</v>
      </c>
      <c r="Z310">
        <v>99</v>
      </c>
      <c r="AA310">
        <v>3.4</v>
      </c>
      <c r="AB310">
        <v>84.8</v>
      </c>
      <c r="AC310">
        <v>75.419499999999999</v>
      </c>
      <c r="AD310">
        <v>93.764499999999998</v>
      </c>
      <c r="AE310">
        <v>18</v>
      </c>
      <c r="AF310">
        <v>85.3292</v>
      </c>
      <c r="AH310">
        <v>0.47</v>
      </c>
      <c r="AI310">
        <v>4</v>
      </c>
      <c r="AJ310">
        <v>3.6</v>
      </c>
      <c r="AK310">
        <v>4.4000000000000004</v>
      </c>
      <c r="AL310">
        <v>57.255800000000001</v>
      </c>
      <c r="AM310">
        <v>2.2000000000000002</v>
      </c>
      <c r="AN310">
        <v>9147</v>
      </c>
      <c r="AO310">
        <v>0</v>
      </c>
      <c r="AP310">
        <v>100</v>
      </c>
      <c r="AQ310">
        <v>97.983699999999999</v>
      </c>
      <c r="AR310">
        <v>99.109499999999997</v>
      </c>
      <c r="AS310">
        <v>80.685900000000004</v>
      </c>
      <c r="AT310">
        <v>90.547499999999999</v>
      </c>
      <c r="AU310">
        <v>14.1365</v>
      </c>
      <c r="AV310" s="19">
        <v>74.056600000000003</v>
      </c>
      <c r="AW310">
        <v>0.4</v>
      </c>
      <c r="AX310">
        <v>12.6</v>
      </c>
      <c r="AY310">
        <v>7</v>
      </c>
      <c r="AZ310">
        <v>4</v>
      </c>
      <c r="BA310">
        <v>87.780500000000004</v>
      </c>
      <c r="BB310">
        <v>12.0603</v>
      </c>
      <c r="BC310">
        <v>5.1357999999999997</v>
      </c>
      <c r="BD310" s="19">
        <v>-4.3390000000000004</v>
      </c>
      <c r="BE310" s="19">
        <v>66.666700000000006</v>
      </c>
      <c r="BF310">
        <v>15.828799999999999</v>
      </c>
      <c r="BG310">
        <v>14.8</v>
      </c>
      <c r="BH310" s="20">
        <v>1.5925</v>
      </c>
      <c r="BI310" s="20">
        <v>4309.6157000000003</v>
      </c>
      <c r="BJ310" s="19">
        <v>66.1905</v>
      </c>
      <c r="BK310">
        <v>0.97919999999999996</v>
      </c>
      <c r="BL310">
        <v>0.9899</v>
      </c>
      <c r="BM310">
        <v>0.99490000000000001</v>
      </c>
      <c r="BN310">
        <v>8</v>
      </c>
      <c r="BO310">
        <v>11.712999999999999</v>
      </c>
      <c r="BP310">
        <v>18.22</v>
      </c>
      <c r="BQ310" s="19">
        <v>105.76009999999999</v>
      </c>
      <c r="BR310">
        <v>87.3125</v>
      </c>
      <c r="BS310" s="20">
        <v>4.25</v>
      </c>
      <c r="BT310" s="20">
        <v>4.25</v>
      </c>
      <c r="BU310" s="20">
        <v>12.757</v>
      </c>
      <c r="BV310" s="20">
        <v>12.763</v>
      </c>
      <c r="BW310" s="19">
        <v>58.937199999999997</v>
      </c>
      <c r="BX310">
        <v>30.79</v>
      </c>
      <c r="BY310" s="6">
        <v>5630715</v>
      </c>
      <c r="BZ310" s="5">
        <v>14598682</v>
      </c>
      <c r="CA310" s="7">
        <f t="shared" si="20"/>
        <v>2.5926870743768777</v>
      </c>
      <c r="CB310">
        <v>9750149</v>
      </c>
      <c r="CC310" s="8">
        <f t="shared" si="21"/>
        <v>1.4972778364720376</v>
      </c>
      <c r="CD310" s="8">
        <f t="shared" si="22"/>
        <v>0.5775004053784204</v>
      </c>
      <c r="CE310">
        <v>93012</v>
      </c>
      <c r="CF310" s="8">
        <f t="shared" si="23"/>
        <v>60.53751128886595</v>
      </c>
      <c r="CG310" s="8">
        <f t="shared" si="24"/>
        <v>156.95482303358708</v>
      </c>
      <c r="CH310">
        <v>94.787239999999997</v>
      </c>
    </row>
    <row r="311" spans="1:86" ht="15.5" x14ac:dyDescent="0.35">
      <c r="A311" t="s">
        <v>98</v>
      </c>
      <c r="B311">
        <v>2021</v>
      </c>
      <c r="C311" s="2">
        <v>53.7759</v>
      </c>
      <c r="D311">
        <v>57168.42</v>
      </c>
      <c r="E311">
        <v>0.13500000000000001</v>
      </c>
      <c r="F311">
        <v>5.1755000000000004</v>
      </c>
      <c r="G311">
        <v>60100</v>
      </c>
      <c r="H311">
        <v>13</v>
      </c>
      <c r="I311" s="19">
        <v>132.09200000000001</v>
      </c>
      <c r="J311" s="19">
        <v>135.96600000000001</v>
      </c>
      <c r="K311" s="19">
        <v>6.2510000000000003</v>
      </c>
      <c r="L311" s="19">
        <v>55.238100000000003</v>
      </c>
      <c r="M311" s="19">
        <v>-7524000000</v>
      </c>
      <c r="N311" s="19">
        <v>144.0463</v>
      </c>
      <c r="O311">
        <v>36.018000000000001</v>
      </c>
      <c r="P311">
        <v>34.839199999999998</v>
      </c>
      <c r="Q311" s="19">
        <v>18991.056</v>
      </c>
      <c r="R311" s="19">
        <v>15521.381600000001</v>
      </c>
      <c r="S311" s="19">
        <v>7.5050999999999997</v>
      </c>
      <c r="T311" s="19">
        <v>38324.181499999999</v>
      </c>
      <c r="U311" s="19">
        <v>38324.181499999999</v>
      </c>
      <c r="V311">
        <v>29.2</v>
      </c>
      <c r="W311" s="19">
        <v>70.476200000000006</v>
      </c>
      <c r="X311">
        <v>99</v>
      </c>
      <c r="Z311">
        <v>99</v>
      </c>
      <c r="AA311">
        <v>3.3</v>
      </c>
      <c r="AB311">
        <v>88.6</v>
      </c>
      <c r="AC311">
        <v>74.065899999999999</v>
      </c>
      <c r="AD311">
        <v>98.282700000000006</v>
      </c>
      <c r="AE311">
        <v>30</v>
      </c>
      <c r="AH311">
        <v>0.46</v>
      </c>
      <c r="AI311">
        <v>4</v>
      </c>
      <c r="AJ311">
        <v>3.6</v>
      </c>
      <c r="AK311">
        <v>4.3</v>
      </c>
      <c r="AL311">
        <v>57.560499999999998</v>
      </c>
      <c r="AM311">
        <v>2.2000000000000002</v>
      </c>
      <c r="AN311">
        <v>20372</v>
      </c>
      <c r="AO311">
        <v>0</v>
      </c>
      <c r="AP311">
        <v>100</v>
      </c>
      <c r="AQ311">
        <v>97.981200000000001</v>
      </c>
      <c r="AR311">
        <v>100</v>
      </c>
      <c r="AS311">
        <v>80.685900000000004</v>
      </c>
      <c r="AT311">
        <v>90.547499999999999</v>
      </c>
      <c r="AV311" s="19">
        <v>73.113200000000006</v>
      </c>
      <c r="AW311">
        <v>0.4</v>
      </c>
      <c r="AX311">
        <v>12.1</v>
      </c>
      <c r="AY311">
        <v>7</v>
      </c>
      <c r="AZ311">
        <v>4</v>
      </c>
      <c r="BA311">
        <v>87.810400000000001</v>
      </c>
      <c r="BB311">
        <v>13.065300000000001</v>
      </c>
      <c r="BC311">
        <v>5.3322000000000003</v>
      </c>
      <c r="BD311" s="19">
        <v>7.2229999999999999</v>
      </c>
      <c r="BE311" s="19">
        <v>67.619</v>
      </c>
      <c r="BF311">
        <v>19.144500000000001</v>
      </c>
      <c r="BG311">
        <v>15.3</v>
      </c>
      <c r="BH311" s="20">
        <v>1.6437999999999999</v>
      </c>
      <c r="BI311" s="20">
        <v>4452.4867999999997</v>
      </c>
      <c r="BJ311" s="19">
        <v>67.619</v>
      </c>
      <c r="BN311">
        <v>8</v>
      </c>
      <c r="BO311">
        <v>10.608000000000001</v>
      </c>
      <c r="BP311">
        <v>16.45</v>
      </c>
      <c r="BQ311" s="19">
        <v>103.69670000000001</v>
      </c>
      <c r="BS311" s="20">
        <v>4.0449999999999999</v>
      </c>
      <c r="BT311" s="20">
        <v>4.0449999999999999</v>
      </c>
      <c r="BU311" s="20">
        <v>13.459</v>
      </c>
      <c r="BV311" s="20">
        <v>13.481999999999999</v>
      </c>
      <c r="BW311" s="19">
        <v>58.937199999999997</v>
      </c>
      <c r="BX311">
        <v>31.79</v>
      </c>
      <c r="BY311" s="6">
        <v>6565870</v>
      </c>
      <c r="BZ311" s="5">
        <v>17370771</v>
      </c>
      <c r="CA311" s="7">
        <f t="shared" si="20"/>
        <v>2.6456160417431351</v>
      </c>
      <c r="CB311">
        <v>9709891</v>
      </c>
      <c r="CC311" s="8">
        <f t="shared" si="21"/>
        <v>1.788976930842993</v>
      </c>
      <c r="CD311" s="8">
        <f t="shared" si="22"/>
        <v>0.67620429518724767</v>
      </c>
      <c r="CE311">
        <v>93012</v>
      </c>
      <c r="CF311" s="8">
        <f t="shared" si="23"/>
        <v>70.591644088934757</v>
      </c>
      <c r="CG311" s="8">
        <f t="shared" si="24"/>
        <v>186.75838601470778</v>
      </c>
      <c r="CH311">
        <v>94.878870000000006</v>
      </c>
    </row>
    <row r="312" spans="1:86" ht="15.5" x14ac:dyDescent="0.35">
      <c r="A312" t="s">
        <v>98</v>
      </c>
      <c r="B312">
        <v>2022</v>
      </c>
      <c r="C312" s="2">
        <v>54.221400000000003</v>
      </c>
      <c r="E312">
        <v>0.12230000000000001</v>
      </c>
      <c r="F312">
        <v>4.9356</v>
      </c>
      <c r="H312">
        <v>13</v>
      </c>
      <c r="I312" s="19">
        <v>151.404</v>
      </c>
      <c r="J312" s="19">
        <v>169.345</v>
      </c>
      <c r="K312" s="19">
        <v>8.7970000000000006</v>
      </c>
      <c r="L312" s="19">
        <v>51.415100000000002</v>
      </c>
      <c r="M312" s="19">
        <v>-15140000000</v>
      </c>
      <c r="N312" s="19"/>
      <c r="O312">
        <v>37.055999999999997</v>
      </c>
      <c r="P312">
        <v>36.533799999999999</v>
      </c>
      <c r="Q312" s="19">
        <v>18555.740000000002</v>
      </c>
      <c r="R312" s="19">
        <v>16343.0587</v>
      </c>
      <c r="S312" s="19">
        <v>5.2938000000000001</v>
      </c>
      <c r="T312" s="19">
        <v>40353.0023</v>
      </c>
      <c r="U312" s="19">
        <v>43701.912900000003</v>
      </c>
      <c r="W312" s="19">
        <v>68.867900000000006</v>
      </c>
      <c r="X312">
        <v>99</v>
      </c>
      <c r="Z312">
        <v>99</v>
      </c>
      <c r="AA312">
        <v>3.2</v>
      </c>
      <c r="AB312">
        <v>89.1</v>
      </c>
      <c r="AC312">
        <v>75.868300000000005</v>
      </c>
      <c r="AD312">
        <v>95.937399999999997</v>
      </c>
      <c r="AE312">
        <v>14</v>
      </c>
      <c r="AI312">
        <v>3.9</v>
      </c>
      <c r="AJ312">
        <v>3.5</v>
      </c>
      <c r="AK312">
        <v>4.3</v>
      </c>
      <c r="AL312">
        <v>57.064799999999998</v>
      </c>
      <c r="AM312">
        <v>2.2000000000000002</v>
      </c>
      <c r="AN312">
        <v>41871</v>
      </c>
      <c r="AO312">
        <v>0</v>
      </c>
      <c r="AP312">
        <v>100</v>
      </c>
      <c r="AQ312">
        <v>97.978700000000003</v>
      </c>
      <c r="AR312">
        <v>100</v>
      </c>
      <c r="AS312">
        <v>80.685900000000004</v>
      </c>
      <c r="AT312">
        <v>90.547499999999999</v>
      </c>
      <c r="AV312" s="19">
        <v>69.811300000000003</v>
      </c>
      <c r="AY312">
        <v>7</v>
      </c>
      <c r="AZ312">
        <v>4</v>
      </c>
      <c r="BA312">
        <v>87.840599999999995</v>
      </c>
      <c r="BB312">
        <v>14.070399999999999</v>
      </c>
      <c r="BC312">
        <v>4.8391999999999999</v>
      </c>
      <c r="BD312" s="19">
        <v>4.2699999999999996</v>
      </c>
      <c r="BE312" s="19">
        <v>64.622600000000006</v>
      </c>
      <c r="BG312" s="23">
        <v>15.128</v>
      </c>
      <c r="BH312" s="20">
        <v>1.3947000000000001</v>
      </c>
      <c r="BI312" s="20">
        <v>4725.1504000000004</v>
      </c>
      <c r="BJ312" s="19">
        <v>63.207500000000003</v>
      </c>
      <c r="BN312">
        <v>8</v>
      </c>
      <c r="BO312">
        <v>9.8970000000000002</v>
      </c>
      <c r="BQ312" s="19"/>
      <c r="BS312" s="20">
        <v>3.609</v>
      </c>
      <c r="BT312" s="20">
        <v>3.609</v>
      </c>
      <c r="BU312" s="20">
        <v>10.558</v>
      </c>
      <c r="BV312" s="20">
        <v>10.564</v>
      </c>
      <c r="BW312" s="19">
        <v>59.903399999999998</v>
      </c>
      <c r="BX312">
        <v>32.89</v>
      </c>
      <c r="BY312" s="6">
        <v>11287199</v>
      </c>
      <c r="BZ312" s="5">
        <v>29446040</v>
      </c>
      <c r="CA312" s="7">
        <f t="shared" si="20"/>
        <v>2.6087995790629721</v>
      </c>
      <c r="CB312">
        <v>9644377</v>
      </c>
      <c r="CC312" s="8">
        <f t="shared" si="21"/>
        <v>3.0531821806634061</v>
      </c>
      <c r="CD312" s="8">
        <f t="shared" si="22"/>
        <v>1.1703398778376251</v>
      </c>
      <c r="CE312">
        <v>93012</v>
      </c>
      <c r="CF312" s="8">
        <f t="shared" si="23"/>
        <v>121.35207285081495</v>
      </c>
      <c r="CG312" s="8">
        <f t="shared" si="24"/>
        <v>316.58323657162515</v>
      </c>
      <c r="CH312">
        <v>91.537019999999998</v>
      </c>
    </row>
    <row r="313" spans="1:86" ht="15.5" x14ac:dyDescent="0.35">
      <c r="A313" t="s">
        <v>98</v>
      </c>
      <c r="B313">
        <v>2023</v>
      </c>
      <c r="C313" s="26">
        <v>54.570300000000003</v>
      </c>
      <c r="E313">
        <v>0.11360000000000001</v>
      </c>
      <c r="F313">
        <v>4.5688000000000004</v>
      </c>
      <c r="H313">
        <v>13</v>
      </c>
      <c r="I313" s="19">
        <v>177.35499999999999</v>
      </c>
      <c r="J313" s="19">
        <v>178.65899999999999</v>
      </c>
      <c r="K313" s="19">
        <v>6.0270000000000001</v>
      </c>
      <c r="L313" s="19">
        <v>54.716999999999999</v>
      </c>
      <c r="M313" s="19">
        <v>675000000</v>
      </c>
      <c r="N313" s="19"/>
      <c r="P313">
        <v>36.790199999999999</v>
      </c>
      <c r="Q313" s="19">
        <v>22301.861000000001</v>
      </c>
      <c r="R313" s="19">
        <v>16282.8303</v>
      </c>
      <c r="S313" s="19">
        <v>-0.36849999999999999</v>
      </c>
      <c r="T313" s="19">
        <v>40204.2912</v>
      </c>
      <c r="U313" s="19">
        <v>45021.300999999999</v>
      </c>
      <c r="W313" s="19">
        <v>62.735799999999998</v>
      </c>
      <c r="X313">
        <v>99</v>
      </c>
      <c r="Z313">
        <v>99</v>
      </c>
      <c r="AA313">
        <v>3.2</v>
      </c>
      <c r="AB313">
        <v>91.5</v>
      </c>
      <c r="AC313">
        <v>76.770700000000005</v>
      </c>
      <c r="AE313">
        <v>12</v>
      </c>
      <c r="AI313">
        <v>3.8</v>
      </c>
      <c r="AJ313">
        <v>3.4</v>
      </c>
      <c r="AK313">
        <v>4.2</v>
      </c>
      <c r="AL313" s="24">
        <v>57.064799999999998</v>
      </c>
      <c r="AM313">
        <v>2.1</v>
      </c>
      <c r="AN313">
        <v>49213</v>
      </c>
      <c r="AV313" s="19">
        <v>72.037899999999993</v>
      </c>
      <c r="AY313" s="25">
        <v>7</v>
      </c>
      <c r="AZ313">
        <v>4</v>
      </c>
      <c r="BB313">
        <v>14.070399999999999</v>
      </c>
      <c r="BD313" s="19">
        <v>-0.84299999999999997</v>
      </c>
      <c r="BE313" s="19">
        <v>62.735799999999998</v>
      </c>
      <c r="BG313" s="23">
        <v>17.117000000000001</v>
      </c>
      <c r="BH313" s="20"/>
      <c r="BI313" s="20"/>
      <c r="BJ313" s="19">
        <v>63.207500000000003</v>
      </c>
      <c r="BN313">
        <v>8</v>
      </c>
      <c r="BO313">
        <v>9.7799999999999994</v>
      </c>
      <c r="BQ313" s="19"/>
      <c r="BS313" s="20">
        <v>4.1070000000000002</v>
      </c>
      <c r="BT313" s="20">
        <v>4.1070000000000002</v>
      </c>
      <c r="BU313" s="20">
        <v>12.802</v>
      </c>
      <c r="BV313" s="20">
        <v>12.805999999999999</v>
      </c>
      <c r="BW313" s="19">
        <v>59.313699999999997</v>
      </c>
      <c r="BX313">
        <v>30.46</v>
      </c>
      <c r="BY313" s="6">
        <v>12202877</v>
      </c>
      <c r="BZ313" s="5">
        <v>30488308</v>
      </c>
      <c r="CA313" s="7">
        <f t="shared" si="20"/>
        <v>2.4984524551054639</v>
      </c>
      <c r="CB313">
        <v>9592186</v>
      </c>
      <c r="CC313" s="8">
        <f t="shared" si="21"/>
        <v>3.1784525446024503</v>
      </c>
      <c r="CD313" s="8">
        <f t="shared" si="22"/>
        <v>1.2721685129958906</v>
      </c>
      <c r="CE313">
        <v>93012</v>
      </c>
      <c r="CF313" s="8">
        <f t="shared" si="23"/>
        <v>131.19680256311014</v>
      </c>
      <c r="CG313" s="8">
        <f t="shared" si="24"/>
        <v>327.78897346578935</v>
      </c>
      <c r="CH313">
        <v>103.1035</v>
      </c>
    </row>
    <row r="314" spans="1:86" ht="15.5" x14ac:dyDescent="0.35">
      <c r="A314" s="29" t="s">
        <v>99</v>
      </c>
      <c r="B314" s="29">
        <v>2000</v>
      </c>
      <c r="C314" s="30">
        <v>49.185600000000001</v>
      </c>
      <c r="D314" s="29">
        <v>67768.149999999994</v>
      </c>
      <c r="E314" s="29">
        <v>0.21429999999999999</v>
      </c>
      <c r="F314" s="29">
        <v>11.5166</v>
      </c>
      <c r="G314" s="29">
        <v>66700</v>
      </c>
      <c r="H314" s="29">
        <v>10</v>
      </c>
      <c r="I314" s="31">
        <v>77.117000000000004</v>
      </c>
      <c r="J314" s="31">
        <v>78.5</v>
      </c>
      <c r="K314" s="31">
        <v>4.9669999999999996</v>
      </c>
      <c r="L314" s="31">
        <v>89.893600000000006</v>
      </c>
      <c r="M314" s="31">
        <v>615000000</v>
      </c>
      <c r="N314" s="31">
        <v>62.598199999999999</v>
      </c>
      <c r="O314" s="29">
        <v>35.244999999999997</v>
      </c>
      <c r="P314" s="29"/>
      <c r="Q314" s="31">
        <v>26187.425999999999</v>
      </c>
      <c r="R314" s="31">
        <v>42643.634400000003</v>
      </c>
      <c r="S314" s="31">
        <v>7.9547999999999996</v>
      </c>
      <c r="T314" s="31">
        <v>53744.542699999998</v>
      </c>
      <c r="U314" s="31">
        <v>30209.4656</v>
      </c>
      <c r="V314" s="29">
        <v>33</v>
      </c>
      <c r="W314" s="31">
        <v>89.070999999999998</v>
      </c>
      <c r="X314" s="29">
        <v>86</v>
      </c>
      <c r="Y314" s="29"/>
      <c r="Z314" s="29">
        <v>79</v>
      </c>
      <c r="AA314" s="29">
        <v>6</v>
      </c>
      <c r="AB314" s="29">
        <v>17.899999999999999</v>
      </c>
      <c r="AC314" s="29">
        <v>76.536600000000007</v>
      </c>
      <c r="AD314" s="29">
        <v>97.016400000000004</v>
      </c>
      <c r="AE314" s="29">
        <v>8</v>
      </c>
      <c r="AF314" s="29">
        <v>88.616699999999994</v>
      </c>
      <c r="AG314" s="29">
        <v>11.4</v>
      </c>
      <c r="AH314" s="29">
        <v>0.59</v>
      </c>
      <c r="AI314" s="29">
        <v>7.2</v>
      </c>
      <c r="AJ314" s="29">
        <v>6.4</v>
      </c>
      <c r="AK314" s="29">
        <v>7.8</v>
      </c>
      <c r="AL314" s="29">
        <v>60.192500000000003</v>
      </c>
      <c r="AM314" s="29">
        <v>4</v>
      </c>
      <c r="AN314" s="29">
        <v>31298</v>
      </c>
      <c r="AO314" s="29">
        <v>0</v>
      </c>
      <c r="AP314" s="29">
        <v>97.211699999999993</v>
      </c>
      <c r="AQ314" s="29">
        <v>90.545199999999994</v>
      </c>
      <c r="AR314" s="29">
        <v>64.429400000000001</v>
      </c>
      <c r="AS314" s="29">
        <v>64.531899999999993</v>
      </c>
      <c r="AT314" s="29">
        <v>48.027799999999999</v>
      </c>
      <c r="AU314" s="29">
        <v>12.5488</v>
      </c>
      <c r="AV314" s="31">
        <v>97.883600000000001</v>
      </c>
      <c r="AW314" s="29">
        <v>0.2</v>
      </c>
      <c r="AX314" s="29"/>
      <c r="AY314" s="29">
        <v>1</v>
      </c>
      <c r="AZ314" s="29">
        <v>8</v>
      </c>
      <c r="BA314" s="29">
        <v>54.768900000000002</v>
      </c>
      <c r="BB314" s="29">
        <v>12.0482</v>
      </c>
      <c r="BC314" s="29">
        <v>4.5726000000000004</v>
      </c>
      <c r="BD314" s="31">
        <v>9.4030000000000005</v>
      </c>
      <c r="BE314" s="31">
        <v>96.739099999999993</v>
      </c>
      <c r="BF314" s="29">
        <v>6.2140000000000004</v>
      </c>
      <c r="BG314" s="29">
        <v>2</v>
      </c>
      <c r="BH314" s="32">
        <v>1.0838000000000001</v>
      </c>
      <c r="BI314" s="32">
        <v>2255.6968000000002</v>
      </c>
      <c r="BJ314" s="31">
        <v>92.537300000000002</v>
      </c>
      <c r="BK314" s="29">
        <v>0.9869</v>
      </c>
      <c r="BL314" s="29">
        <v>1.028</v>
      </c>
      <c r="BM314" s="29">
        <v>1.0852999999999999</v>
      </c>
      <c r="BN314" s="29">
        <v>5</v>
      </c>
      <c r="BO314" s="29">
        <v>51.926000000000002</v>
      </c>
      <c r="BP314" s="29">
        <v>12.45</v>
      </c>
      <c r="BQ314" s="31">
        <v>110.19329999999999</v>
      </c>
      <c r="BR314" s="29">
        <v>89.8215</v>
      </c>
      <c r="BS314" s="32">
        <v>4.3179999999999996</v>
      </c>
      <c r="BT314" s="32">
        <v>4.3179999999999996</v>
      </c>
      <c r="BU314" s="32">
        <v>6.2530000000000001</v>
      </c>
      <c r="BV314" s="32">
        <v>6.5270000000000001</v>
      </c>
      <c r="BW314" s="31">
        <v>93.034800000000004</v>
      </c>
      <c r="BX314" s="29">
        <v>14.1</v>
      </c>
      <c r="BY314" s="33">
        <v>6646000</v>
      </c>
      <c r="BZ314" s="33">
        <v>29924000</v>
      </c>
      <c r="CA314" s="34">
        <f t="shared" si="20"/>
        <v>4.5025579295817035</v>
      </c>
      <c r="CB314" s="29">
        <v>3805174</v>
      </c>
      <c r="CC314" s="35">
        <f t="shared" si="21"/>
        <v>7.8640293453072054</v>
      </c>
      <c r="CD314" s="35">
        <f t="shared" si="22"/>
        <v>1.7465692764640985</v>
      </c>
      <c r="CE314" s="29">
        <v>69947</v>
      </c>
      <c r="CF314" s="35">
        <f t="shared" si="23"/>
        <v>95.014796917666231</v>
      </c>
      <c r="CG314" s="35">
        <f t="shared" si="24"/>
        <v>427.80962728923328</v>
      </c>
      <c r="CH314" s="29">
        <v>101.13081</v>
      </c>
    </row>
    <row r="315" spans="1:86" ht="15.5" x14ac:dyDescent="0.35">
      <c r="A315" s="29" t="s">
        <v>99</v>
      </c>
      <c r="B315" s="29">
        <v>2001</v>
      </c>
      <c r="C315" s="30">
        <v>48.2896</v>
      </c>
      <c r="D315" s="29">
        <v>70530.73</v>
      </c>
      <c r="E315" s="29">
        <v>0.21379999999999999</v>
      </c>
      <c r="F315" s="29">
        <v>11.909599999999999</v>
      </c>
      <c r="G315" s="29">
        <v>68700</v>
      </c>
      <c r="H315" s="29">
        <v>10</v>
      </c>
      <c r="I315" s="31">
        <v>80.2</v>
      </c>
      <c r="J315" s="31">
        <v>81.900000000000006</v>
      </c>
      <c r="K315" s="31">
        <v>3.9790000000000001</v>
      </c>
      <c r="L315" s="31"/>
      <c r="M315" s="31">
        <v>195000000</v>
      </c>
      <c r="N315" s="31">
        <v>67.148300000000006</v>
      </c>
      <c r="O315" s="29">
        <v>39.893999999999998</v>
      </c>
      <c r="P315" s="29"/>
      <c r="Q315" s="31">
        <v>28120.751</v>
      </c>
      <c r="R315" s="31">
        <v>44196.915999999997</v>
      </c>
      <c r="S315" s="31">
        <v>3.6425000000000001</v>
      </c>
      <c r="T315" s="31">
        <v>55702.171499999997</v>
      </c>
      <c r="U315" s="31">
        <v>32576.924599999998</v>
      </c>
      <c r="V315" s="29"/>
      <c r="W315" s="31"/>
      <c r="X315" s="29">
        <v>84</v>
      </c>
      <c r="Y315" s="29"/>
      <c r="Z315" s="29">
        <v>73</v>
      </c>
      <c r="AA315" s="29">
        <v>5.8</v>
      </c>
      <c r="AB315" s="29">
        <v>23.1</v>
      </c>
      <c r="AC315" s="29">
        <v>77.134100000000004</v>
      </c>
      <c r="AD315" s="29">
        <v>97.003799999999998</v>
      </c>
      <c r="AE315" s="29">
        <v>7</v>
      </c>
      <c r="AF315" s="29">
        <v>88.740499999999997</v>
      </c>
      <c r="AG315" s="29">
        <v>11.1</v>
      </c>
      <c r="AH315" s="29">
        <v>0.61</v>
      </c>
      <c r="AI315" s="29">
        <v>6.9</v>
      </c>
      <c r="AJ315" s="29">
        <v>6.2</v>
      </c>
      <c r="AK315" s="29">
        <v>7.5</v>
      </c>
      <c r="AL315" s="29">
        <v>60.302500000000002</v>
      </c>
      <c r="AM315" s="29">
        <v>3.9</v>
      </c>
      <c r="AN315" s="29">
        <v>39220</v>
      </c>
      <c r="AO315" s="29">
        <v>0</v>
      </c>
      <c r="AP315" s="29">
        <v>97.147300000000001</v>
      </c>
      <c r="AQ315" s="29">
        <v>90.481899999999996</v>
      </c>
      <c r="AR315" s="29">
        <v>64.535899999999998</v>
      </c>
      <c r="AS315" s="29">
        <v>64.875100000000003</v>
      </c>
      <c r="AT315" s="29">
        <v>50.142499999999998</v>
      </c>
      <c r="AU315" s="29">
        <v>12.426500000000001</v>
      </c>
      <c r="AV315" s="31"/>
      <c r="AW315" s="29"/>
      <c r="AX315" s="29"/>
      <c r="AY315" s="29">
        <v>1</v>
      </c>
      <c r="AZ315" s="29">
        <v>8</v>
      </c>
      <c r="BA315" s="29">
        <v>56.124099999999999</v>
      </c>
      <c r="BB315" s="29">
        <v>12.0482</v>
      </c>
      <c r="BC315" s="29">
        <v>5.0141999999999998</v>
      </c>
      <c r="BD315" s="31">
        <v>5.306</v>
      </c>
      <c r="BE315" s="31"/>
      <c r="BF315" s="29">
        <v>5.4135</v>
      </c>
      <c r="BG315" s="29">
        <v>2</v>
      </c>
      <c r="BH315" s="32">
        <v>1.0519000000000001</v>
      </c>
      <c r="BI315" s="32">
        <v>2336.6511</v>
      </c>
      <c r="BJ315" s="31"/>
      <c r="BK315" s="29">
        <v>0.99160000000000004</v>
      </c>
      <c r="BL315" s="29">
        <v>1.0317000000000001</v>
      </c>
      <c r="BM315" s="29">
        <v>1.0886</v>
      </c>
      <c r="BN315" s="29">
        <v>5</v>
      </c>
      <c r="BO315" s="29">
        <v>53.22</v>
      </c>
      <c r="BP315" s="29">
        <v>12.92</v>
      </c>
      <c r="BQ315" s="31">
        <v>109.9345</v>
      </c>
      <c r="BR315" s="29">
        <v>90.932000000000002</v>
      </c>
      <c r="BS315" s="32">
        <v>3.6840000000000002</v>
      </c>
      <c r="BT315" s="32">
        <v>3.6840000000000002</v>
      </c>
      <c r="BU315" s="32">
        <v>5.8550000000000004</v>
      </c>
      <c r="BV315" s="32">
        <v>6.1769999999999996</v>
      </c>
      <c r="BW315" s="31"/>
      <c r="BX315" s="29">
        <v>12.43</v>
      </c>
      <c r="BY315" s="33">
        <v>6353000</v>
      </c>
      <c r="BZ315" s="33">
        <v>31547000</v>
      </c>
      <c r="CA315" s="34">
        <f t="shared" si="20"/>
        <v>4.9656855029120104</v>
      </c>
      <c r="CB315" s="29">
        <v>3866243</v>
      </c>
      <c r="CC315" s="35">
        <f t="shared" si="21"/>
        <v>8.159600935585269</v>
      </c>
      <c r="CD315" s="35">
        <f t="shared" si="22"/>
        <v>1.6431972848059473</v>
      </c>
      <c r="CE315" s="29">
        <v>69947</v>
      </c>
      <c r="CF315" s="35">
        <f t="shared" si="23"/>
        <v>90.825911046935531</v>
      </c>
      <c r="CG315" s="35">
        <f t="shared" si="24"/>
        <v>451.01290977454357</v>
      </c>
      <c r="CH315" s="29">
        <v>102.8284</v>
      </c>
    </row>
    <row r="316" spans="1:86" ht="15.5" x14ac:dyDescent="0.35">
      <c r="A316" s="29" t="s">
        <v>99</v>
      </c>
      <c r="B316" s="29">
        <v>2002</v>
      </c>
      <c r="C316" s="30">
        <v>47.561300000000003</v>
      </c>
      <c r="D316" s="29">
        <v>70909.460000000006</v>
      </c>
      <c r="E316" s="29">
        <v>0.19719999999999999</v>
      </c>
      <c r="F316" s="29">
        <v>11.439299999999999</v>
      </c>
      <c r="G316" s="29">
        <v>66600</v>
      </c>
      <c r="H316" s="29">
        <v>10</v>
      </c>
      <c r="I316" s="31">
        <v>83.957999999999998</v>
      </c>
      <c r="J316" s="31">
        <v>85.6</v>
      </c>
      <c r="K316" s="31">
        <v>4.1139999999999999</v>
      </c>
      <c r="L316" s="31">
        <v>88.888900000000007</v>
      </c>
      <c r="M316" s="31">
        <v>317000000</v>
      </c>
      <c r="N316" s="31">
        <v>71.550299999999993</v>
      </c>
      <c r="O316" s="29">
        <v>38.658999999999999</v>
      </c>
      <c r="P316" s="29">
        <v>0.26979999999999998</v>
      </c>
      <c r="Q316" s="31">
        <v>32482.159</v>
      </c>
      <c r="R316" s="31">
        <v>46022.141100000001</v>
      </c>
      <c r="S316" s="31">
        <v>4.1298000000000004</v>
      </c>
      <c r="T316" s="31">
        <v>58002.5357</v>
      </c>
      <c r="U316" s="31">
        <v>35222.028700000003</v>
      </c>
      <c r="V316" s="29">
        <v>32.299999999999997</v>
      </c>
      <c r="W316" s="31">
        <v>89.1892</v>
      </c>
      <c r="X316" s="29">
        <v>83</v>
      </c>
      <c r="Y316" s="29"/>
      <c r="Z316" s="29">
        <v>73</v>
      </c>
      <c r="AA316" s="29">
        <v>5.5</v>
      </c>
      <c r="AB316" s="29">
        <v>25.9</v>
      </c>
      <c r="AC316" s="29">
        <v>77.634100000000004</v>
      </c>
      <c r="AD316" s="29">
        <v>97.9726</v>
      </c>
      <c r="AE316" s="29">
        <v>7</v>
      </c>
      <c r="AF316" s="29">
        <v>89.009100000000004</v>
      </c>
      <c r="AG316" s="29">
        <v>10</v>
      </c>
      <c r="AH316" s="29">
        <v>0.64</v>
      </c>
      <c r="AI316" s="29">
        <v>6.5</v>
      </c>
      <c r="AJ316" s="29">
        <v>5.9</v>
      </c>
      <c r="AK316" s="29">
        <v>7.1</v>
      </c>
      <c r="AL316" s="29">
        <v>60.490600000000001</v>
      </c>
      <c r="AM316" s="29">
        <v>3.7</v>
      </c>
      <c r="AN316" s="29">
        <v>34286</v>
      </c>
      <c r="AO316" s="29">
        <v>0</v>
      </c>
      <c r="AP316" s="29">
        <v>97.082599999999999</v>
      </c>
      <c r="AQ316" s="29">
        <v>90.417599999999993</v>
      </c>
      <c r="AR316" s="29">
        <v>64.646000000000001</v>
      </c>
      <c r="AS316" s="29">
        <v>65.224299999999999</v>
      </c>
      <c r="AT316" s="29">
        <v>52.259300000000003</v>
      </c>
      <c r="AU316" s="29">
        <v>12.3041</v>
      </c>
      <c r="AV316" s="31">
        <v>96.296300000000002</v>
      </c>
      <c r="AW316" s="29">
        <v>0.2</v>
      </c>
      <c r="AX316" s="29"/>
      <c r="AY316" s="29">
        <v>1</v>
      </c>
      <c r="AZ316" s="29">
        <v>8</v>
      </c>
      <c r="BA316" s="29">
        <v>57.4908</v>
      </c>
      <c r="BB316" s="29">
        <v>13.253</v>
      </c>
      <c r="BC316" s="29">
        <v>5.2708000000000004</v>
      </c>
      <c r="BD316" s="31">
        <v>5.9</v>
      </c>
      <c r="BE316" s="31">
        <v>97.297300000000007</v>
      </c>
      <c r="BF316" s="29">
        <v>6.8822999999999999</v>
      </c>
      <c r="BG316" s="29">
        <v>2.2000000000000002</v>
      </c>
      <c r="BH316" s="32">
        <v>1.0558000000000001</v>
      </c>
      <c r="BI316" s="32">
        <v>2406.4953999999998</v>
      </c>
      <c r="BJ316" s="31">
        <v>93.034800000000004</v>
      </c>
      <c r="BK316" s="29">
        <v>0.99529999999999996</v>
      </c>
      <c r="BL316" s="29">
        <v>1.0358000000000001</v>
      </c>
      <c r="BM316" s="29">
        <v>1.0945</v>
      </c>
      <c r="BN316" s="29">
        <v>5</v>
      </c>
      <c r="BO316" s="29">
        <v>13.077</v>
      </c>
      <c r="BP316" s="29">
        <v>11.97</v>
      </c>
      <c r="BQ316" s="31">
        <v>109.2667</v>
      </c>
      <c r="BR316" s="29">
        <v>89.017700000000005</v>
      </c>
      <c r="BS316" s="32">
        <v>4.2160000000000002</v>
      </c>
      <c r="BT316" s="32">
        <v>4.2160000000000002</v>
      </c>
      <c r="BU316" s="32">
        <v>7.3540000000000001</v>
      </c>
      <c r="BV316" s="32">
        <v>7.8179999999999996</v>
      </c>
      <c r="BW316" s="31">
        <v>89.552199999999999</v>
      </c>
      <c r="BX316" s="29">
        <v>15.76</v>
      </c>
      <c r="BY316" s="33">
        <v>6476000</v>
      </c>
      <c r="BZ316" s="33">
        <v>31609900</v>
      </c>
      <c r="CA316" s="34">
        <f t="shared" si="20"/>
        <v>4.8810840024706605</v>
      </c>
      <c r="CB316" s="29">
        <v>3931947</v>
      </c>
      <c r="CC316" s="35">
        <f t="shared" si="21"/>
        <v>8.0392487487750977</v>
      </c>
      <c r="CD316" s="35">
        <f t="shared" si="22"/>
        <v>1.6470211831441268</v>
      </c>
      <c r="CE316" s="29">
        <v>69947</v>
      </c>
      <c r="CF316" s="35">
        <f t="shared" si="23"/>
        <v>92.584385320313956</v>
      </c>
      <c r="CG316" s="35">
        <f t="shared" si="24"/>
        <v>451.9121620655639</v>
      </c>
      <c r="CH316" s="29">
        <v>105.27603000000001</v>
      </c>
    </row>
    <row r="317" spans="1:86" ht="15.5" x14ac:dyDescent="0.35">
      <c r="A317" s="29" t="s">
        <v>99</v>
      </c>
      <c r="B317" s="29">
        <v>2003</v>
      </c>
      <c r="C317" s="30">
        <v>47.154200000000003</v>
      </c>
      <c r="D317" s="29">
        <v>75488.45</v>
      </c>
      <c r="E317" s="29">
        <v>0.18920000000000001</v>
      </c>
      <c r="F317" s="29">
        <v>11.1228</v>
      </c>
      <c r="G317" s="29">
        <v>66900</v>
      </c>
      <c r="H317" s="29">
        <v>10</v>
      </c>
      <c r="I317" s="31">
        <v>87.316999999999993</v>
      </c>
      <c r="J317" s="31">
        <v>88.2</v>
      </c>
      <c r="K317" s="31">
        <v>3.5779999999999998</v>
      </c>
      <c r="L317" s="31">
        <v>90.476200000000006</v>
      </c>
      <c r="M317" s="31">
        <v>810000000</v>
      </c>
      <c r="N317" s="31">
        <v>75.19</v>
      </c>
      <c r="O317" s="29">
        <v>40.802999999999997</v>
      </c>
      <c r="P317" s="29">
        <v>1.0468999999999999</v>
      </c>
      <c r="Q317" s="31">
        <v>40939.423000000003</v>
      </c>
      <c r="R317" s="31">
        <v>46643.158000000003</v>
      </c>
      <c r="S317" s="31">
        <v>1.3493999999999999</v>
      </c>
      <c r="T317" s="31">
        <v>58785.214500000002</v>
      </c>
      <c r="U317" s="31">
        <v>36285.108699999997</v>
      </c>
      <c r="V317" s="29">
        <v>32.9</v>
      </c>
      <c r="W317" s="31">
        <v>89.1892</v>
      </c>
      <c r="X317" s="29">
        <v>86</v>
      </c>
      <c r="Y317" s="29"/>
      <c r="Z317" s="29">
        <v>78</v>
      </c>
      <c r="AA317" s="29">
        <v>5.0999999999999996</v>
      </c>
      <c r="AB317" s="29">
        <v>34.299999999999997</v>
      </c>
      <c r="AC317" s="29">
        <v>78.138999999999996</v>
      </c>
      <c r="AD317" s="29">
        <v>98.323599999999999</v>
      </c>
      <c r="AE317" s="29">
        <v>6</v>
      </c>
      <c r="AF317" s="29">
        <v>89.2547</v>
      </c>
      <c r="AG317" s="29">
        <v>8.6999999999999993</v>
      </c>
      <c r="AH317" s="29">
        <v>0.51</v>
      </c>
      <c r="AI317" s="29">
        <v>6</v>
      </c>
      <c r="AJ317" s="29">
        <v>5.5</v>
      </c>
      <c r="AK317" s="29">
        <v>6.6</v>
      </c>
      <c r="AL317" s="29">
        <v>60.366700000000002</v>
      </c>
      <c r="AM317" s="29">
        <v>3.5</v>
      </c>
      <c r="AN317" s="29">
        <v>32220</v>
      </c>
      <c r="AO317" s="29">
        <v>0</v>
      </c>
      <c r="AP317" s="29">
        <v>97.017399999999995</v>
      </c>
      <c r="AQ317" s="29">
        <v>90.351399999999998</v>
      </c>
      <c r="AR317" s="29">
        <v>64.7727</v>
      </c>
      <c r="AS317" s="29">
        <v>65.579599999999999</v>
      </c>
      <c r="AT317" s="29">
        <v>54.371699999999997</v>
      </c>
      <c r="AU317" s="29">
        <v>12.172800000000001</v>
      </c>
      <c r="AV317" s="31">
        <v>96.984899999999996</v>
      </c>
      <c r="AW317" s="29">
        <v>0.1</v>
      </c>
      <c r="AX317" s="29"/>
      <c r="AY317" s="29">
        <v>1</v>
      </c>
      <c r="AZ317" s="29">
        <v>8</v>
      </c>
      <c r="BA317" s="29">
        <v>58.863300000000002</v>
      </c>
      <c r="BB317" s="29">
        <v>13.253</v>
      </c>
      <c r="BC317" s="29">
        <v>5.5194000000000001</v>
      </c>
      <c r="BD317" s="31">
        <v>3.0139999999999998</v>
      </c>
      <c r="BE317" s="31">
        <v>93.513499999999993</v>
      </c>
      <c r="BF317" s="29">
        <v>5.9320000000000004</v>
      </c>
      <c r="BG317" s="29">
        <v>2</v>
      </c>
      <c r="BH317" s="32">
        <v>1.1243000000000001</v>
      </c>
      <c r="BI317" s="32">
        <v>2534.6120999999998</v>
      </c>
      <c r="BJ317" s="31">
        <v>90.547300000000007</v>
      </c>
      <c r="BK317" s="29">
        <v>0.99209999999999998</v>
      </c>
      <c r="BL317" s="29">
        <v>1.0307999999999999</v>
      </c>
      <c r="BM317" s="29">
        <v>1.0871999999999999</v>
      </c>
      <c r="BN317" s="29">
        <v>5</v>
      </c>
      <c r="BO317" s="29">
        <v>8.8559999999999999</v>
      </c>
      <c r="BP317" s="29">
        <v>11.96</v>
      </c>
      <c r="BQ317" s="31">
        <v>108.2338</v>
      </c>
      <c r="BR317" s="29">
        <v>88.4221</v>
      </c>
      <c r="BS317" s="32">
        <v>4.4779999999999998</v>
      </c>
      <c r="BT317" s="32">
        <v>4.4779999999999998</v>
      </c>
      <c r="BU317" s="32">
        <v>7.7030000000000003</v>
      </c>
      <c r="BV317" s="32">
        <v>8.1310000000000002</v>
      </c>
      <c r="BW317" s="31">
        <v>90.049800000000005</v>
      </c>
      <c r="BX317" s="29">
        <v>21.91</v>
      </c>
      <c r="BY317" s="33">
        <v>6764000</v>
      </c>
      <c r="BZ317" s="33">
        <v>33036000</v>
      </c>
      <c r="CA317" s="34">
        <f t="shared" si="20"/>
        <v>4.8840922531046722</v>
      </c>
      <c r="CB317" s="29">
        <v>3996521</v>
      </c>
      <c r="CC317" s="35">
        <f t="shared" si="21"/>
        <v>8.2661895183335705</v>
      </c>
      <c r="CD317" s="35">
        <f t="shared" si="22"/>
        <v>1.6924720275459582</v>
      </c>
      <c r="CE317" s="29">
        <v>69947</v>
      </c>
      <c r="CF317" s="35">
        <f t="shared" si="23"/>
        <v>96.70178849700487</v>
      </c>
      <c r="CG317" s="35">
        <f t="shared" si="24"/>
        <v>472.30045605958799</v>
      </c>
      <c r="CH317" s="29">
        <v>107.71778</v>
      </c>
    </row>
    <row r="318" spans="1:86" ht="15.5" x14ac:dyDescent="0.35">
      <c r="A318" s="29" t="s">
        <v>99</v>
      </c>
      <c r="B318" s="29">
        <v>2004</v>
      </c>
      <c r="C318" s="30">
        <v>46.809699999999999</v>
      </c>
      <c r="D318" s="29">
        <v>78192.179999999993</v>
      </c>
      <c r="E318" s="29">
        <v>0.17929999999999999</v>
      </c>
      <c r="F318" s="29">
        <v>11.051399999999999</v>
      </c>
      <c r="G318" s="29">
        <v>67000</v>
      </c>
      <c r="H318" s="29">
        <v>10</v>
      </c>
      <c r="I318" s="31">
        <v>89.332999999999998</v>
      </c>
      <c r="J318" s="31">
        <v>90.3</v>
      </c>
      <c r="K318" s="31">
        <v>4.0730000000000004</v>
      </c>
      <c r="L318" s="31">
        <v>87.192099999999996</v>
      </c>
      <c r="M318" s="31">
        <v>-190000000</v>
      </c>
      <c r="N318" s="31">
        <v>84.944000000000003</v>
      </c>
      <c r="O318" s="29">
        <v>39.72</v>
      </c>
      <c r="P318" s="29">
        <v>3.7406999999999999</v>
      </c>
      <c r="Q318" s="31">
        <v>47387.991000000002</v>
      </c>
      <c r="R318" s="31">
        <v>48906.963199999998</v>
      </c>
      <c r="S318" s="31">
        <v>4.8535000000000004</v>
      </c>
      <c r="T318" s="31">
        <v>61638.329100000003</v>
      </c>
      <c r="U318" s="31">
        <v>38734.443899999998</v>
      </c>
      <c r="V318" s="29">
        <v>33.6</v>
      </c>
      <c r="W318" s="31">
        <v>90.547300000000007</v>
      </c>
      <c r="X318" s="29">
        <v>89</v>
      </c>
      <c r="Y318" s="29"/>
      <c r="Z318" s="29">
        <v>81</v>
      </c>
      <c r="AA318" s="29">
        <v>4.7</v>
      </c>
      <c r="AB318" s="29">
        <v>37</v>
      </c>
      <c r="AC318" s="29">
        <v>78.539000000000001</v>
      </c>
      <c r="AD318" s="29">
        <v>97.860500000000002</v>
      </c>
      <c r="AE318" s="29">
        <v>6</v>
      </c>
      <c r="AF318" s="29">
        <v>89.463499999999996</v>
      </c>
      <c r="AG318" s="29">
        <v>9.6</v>
      </c>
      <c r="AH318" s="29">
        <v>0.48</v>
      </c>
      <c r="AI318" s="29">
        <v>5.6</v>
      </c>
      <c r="AJ318" s="29">
        <v>5.0999999999999996</v>
      </c>
      <c r="AK318" s="29">
        <v>6.1</v>
      </c>
      <c r="AL318" s="29">
        <v>60.226799999999997</v>
      </c>
      <c r="AM318" s="29">
        <v>3.3</v>
      </c>
      <c r="AN318" s="29">
        <v>49102</v>
      </c>
      <c r="AO318" s="29">
        <v>0</v>
      </c>
      <c r="AP318" s="29">
        <v>96.951800000000006</v>
      </c>
      <c r="AQ318" s="29">
        <v>90.284300000000002</v>
      </c>
      <c r="AR318" s="29">
        <v>64.899600000000007</v>
      </c>
      <c r="AS318" s="29">
        <v>65.940899999999999</v>
      </c>
      <c r="AT318" s="29">
        <v>56.479599999999998</v>
      </c>
      <c r="AU318" s="29">
        <v>12.0242</v>
      </c>
      <c r="AV318" s="31">
        <v>91.262100000000004</v>
      </c>
      <c r="AW318" s="29">
        <v>0.1</v>
      </c>
      <c r="AX318" s="29"/>
      <c r="AY318" s="29">
        <v>1</v>
      </c>
      <c r="AZ318" s="29">
        <v>8</v>
      </c>
      <c r="BA318" s="29">
        <v>60.245100000000001</v>
      </c>
      <c r="BB318" s="29">
        <v>13.253</v>
      </c>
      <c r="BC318" s="29">
        <v>5.6976000000000004</v>
      </c>
      <c r="BD318" s="31">
        <v>6.7889999999999997</v>
      </c>
      <c r="BE318" s="31">
        <v>93.034800000000004</v>
      </c>
      <c r="BF318" s="29">
        <v>6.8364000000000003</v>
      </c>
      <c r="BG318" s="29">
        <v>2.2999999999999998</v>
      </c>
      <c r="BH318" s="32">
        <v>1.1778</v>
      </c>
      <c r="BI318" s="32">
        <v>2735.3317999999999</v>
      </c>
      <c r="BJ318" s="31">
        <v>92.307699999999997</v>
      </c>
      <c r="BK318" s="29">
        <v>0.9919</v>
      </c>
      <c r="BL318" s="29">
        <v>1.0273000000000001</v>
      </c>
      <c r="BM318" s="29">
        <v>1.0790999999999999</v>
      </c>
      <c r="BN318" s="29">
        <v>5</v>
      </c>
      <c r="BO318" s="29">
        <v>10.367000000000001</v>
      </c>
      <c r="BP318" s="29">
        <v>11.64</v>
      </c>
      <c r="BQ318" s="31">
        <v>104.7801</v>
      </c>
      <c r="BR318" s="29">
        <v>88.274500000000003</v>
      </c>
      <c r="BS318" s="32">
        <v>4.4909999999999997</v>
      </c>
      <c r="BT318" s="32">
        <v>4.4909999999999997</v>
      </c>
      <c r="BU318" s="32">
        <v>7.87</v>
      </c>
      <c r="BV318" s="32">
        <v>8.2870000000000008</v>
      </c>
      <c r="BW318" s="31">
        <v>93.269199999999998</v>
      </c>
      <c r="BX318" s="29">
        <v>23.91</v>
      </c>
      <c r="BY318" s="33">
        <v>6953000</v>
      </c>
      <c r="BZ318" s="33">
        <v>32436000</v>
      </c>
      <c r="CA318" s="34">
        <f t="shared" si="20"/>
        <v>4.6650366748166263</v>
      </c>
      <c r="CB318" s="29">
        <v>4070262</v>
      </c>
      <c r="CC318" s="35">
        <f t="shared" si="21"/>
        <v>7.9690201760967723</v>
      </c>
      <c r="CD318" s="35">
        <f t="shared" si="22"/>
        <v>1.708243842779654</v>
      </c>
      <c r="CE318" s="29">
        <v>69947</v>
      </c>
      <c r="CF318" s="35">
        <f t="shared" si="23"/>
        <v>99.403834331708296</v>
      </c>
      <c r="CG318" s="35">
        <f t="shared" si="24"/>
        <v>463.72253277481519</v>
      </c>
      <c r="CH318" s="29">
        <v>108.05453</v>
      </c>
    </row>
    <row r="319" spans="1:86" ht="15.5" x14ac:dyDescent="0.35">
      <c r="A319" s="29" t="s">
        <v>99</v>
      </c>
      <c r="B319" s="29">
        <v>2005</v>
      </c>
      <c r="C319" s="30">
        <v>46.240499999999997</v>
      </c>
      <c r="D319" s="29">
        <v>79958.259999999995</v>
      </c>
      <c r="E319" s="29">
        <v>0.1774</v>
      </c>
      <c r="F319" s="29">
        <v>11.3154</v>
      </c>
      <c r="G319" s="29">
        <v>68500</v>
      </c>
      <c r="H319" s="29">
        <v>10</v>
      </c>
      <c r="I319" s="31">
        <v>91.3</v>
      </c>
      <c r="J319" s="31">
        <v>92.1</v>
      </c>
      <c r="K319" s="31">
        <v>3.875</v>
      </c>
      <c r="L319" s="31">
        <v>92.195099999999996</v>
      </c>
      <c r="M319" s="31">
        <v>-7505000000</v>
      </c>
      <c r="N319" s="31">
        <v>88.891199999999998</v>
      </c>
      <c r="O319" s="29">
        <v>42.764000000000003</v>
      </c>
      <c r="P319" s="29">
        <v>7.7611999999999997</v>
      </c>
      <c r="Q319" s="31">
        <v>50475.16</v>
      </c>
      <c r="R319" s="31">
        <v>50599.604500000001</v>
      </c>
      <c r="S319" s="31">
        <v>3.4609000000000001</v>
      </c>
      <c r="T319" s="31">
        <v>63771.595500000003</v>
      </c>
      <c r="U319" s="31">
        <v>40466.234400000001</v>
      </c>
      <c r="V319" s="29">
        <v>33.799999999999997</v>
      </c>
      <c r="W319" s="31">
        <v>93.627399999999994</v>
      </c>
      <c r="X319" s="29">
        <v>90</v>
      </c>
      <c r="Y319" s="29"/>
      <c r="Z319" s="29">
        <v>84</v>
      </c>
      <c r="AA319" s="29">
        <v>4.4000000000000004</v>
      </c>
      <c r="AB319" s="29">
        <v>41.6</v>
      </c>
      <c r="AC319" s="29">
        <v>78.943899999999999</v>
      </c>
      <c r="AD319" s="29">
        <v>99.3232</v>
      </c>
      <c r="AE319" s="29">
        <v>6</v>
      </c>
      <c r="AF319" s="29">
        <v>92.083699999999993</v>
      </c>
      <c r="AG319" s="29">
        <v>9.9</v>
      </c>
      <c r="AH319" s="29">
        <v>0.56999999999999995</v>
      </c>
      <c r="AI319" s="29">
        <v>5.2</v>
      </c>
      <c r="AJ319" s="29">
        <v>4.7</v>
      </c>
      <c r="AK319" s="29">
        <v>5.6</v>
      </c>
      <c r="AL319" s="29">
        <v>60.885100000000001</v>
      </c>
      <c r="AM319" s="29">
        <v>3</v>
      </c>
      <c r="AN319" s="29">
        <v>63983</v>
      </c>
      <c r="AO319" s="29">
        <v>0</v>
      </c>
      <c r="AP319" s="29">
        <v>96.885800000000003</v>
      </c>
      <c r="AQ319" s="29">
        <v>90.2166</v>
      </c>
      <c r="AR319" s="29">
        <v>69.566699999999997</v>
      </c>
      <c r="AS319" s="29">
        <v>66.308300000000003</v>
      </c>
      <c r="AT319" s="29">
        <v>58.583100000000002</v>
      </c>
      <c r="AU319" s="29">
        <v>11.849399999999999</v>
      </c>
      <c r="AV319" s="31">
        <v>94.174800000000005</v>
      </c>
      <c r="AW319" s="29">
        <v>0</v>
      </c>
      <c r="AX319" s="29"/>
      <c r="AY319" s="29">
        <v>1</v>
      </c>
      <c r="AZ319" s="29">
        <v>8</v>
      </c>
      <c r="BA319" s="29">
        <v>61.636299999999999</v>
      </c>
      <c r="BB319" s="29">
        <v>13.253</v>
      </c>
      <c r="BC319" s="29">
        <v>6.0274000000000001</v>
      </c>
      <c r="BD319" s="31">
        <v>5.7389999999999999</v>
      </c>
      <c r="BE319" s="31">
        <v>91.666700000000006</v>
      </c>
      <c r="BF319" s="29">
        <v>8.5381</v>
      </c>
      <c r="BG319" s="29">
        <v>2.9</v>
      </c>
      <c r="BH319" s="32">
        <v>1.1919999999999999</v>
      </c>
      <c r="BI319" s="32">
        <v>2821.2649000000001</v>
      </c>
      <c r="BJ319" s="31">
        <v>92.344499999999996</v>
      </c>
      <c r="BK319" s="29">
        <v>0.99629999999999996</v>
      </c>
      <c r="BL319" s="29">
        <v>1.0335000000000001</v>
      </c>
      <c r="BM319" s="29">
        <v>1.0888</v>
      </c>
      <c r="BN319" s="29">
        <v>5</v>
      </c>
      <c r="BO319" s="29">
        <v>10.526</v>
      </c>
      <c r="BP319" s="29">
        <v>11.89</v>
      </c>
      <c r="BQ319" s="31">
        <v>105.0782</v>
      </c>
      <c r="BR319" s="29">
        <v>88.272499999999994</v>
      </c>
      <c r="BS319" s="32">
        <v>4.2370000000000001</v>
      </c>
      <c r="BT319" s="32">
        <v>4.2370000000000001</v>
      </c>
      <c r="BU319" s="32">
        <v>7.82</v>
      </c>
      <c r="BV319" s="32">
        <v>8.2490000000000006</v>
      </c>
      <c r="BW319" s="31">
        <v>97.596199999999996</v>
      </c>
      <c r="BX319" s="29">
        <v>24.61</v>
      </c>
      <c r="BY319" s="33">
        <v>7333000</v>
      </c>
      <c r="BZ319" s="33">
        <v>32097000</v>
      </c>
      <c r="CA319" s="34">
        <f t="shared" si="20"/>
        <v>4.3770625937542613</v>
      </c>
      <c r="CB319" s="29">
        <v>4159914</v>
      </c>
      <c r="CC319" s="35">
        <f t="shared" si="21"/>
        <v>7.715784509006677</v>
      </c>
      <c r="CD319" s="35">
        <f t="shared" si="22"/>
        <v>1.76277682663632</v>
      </c>
      <c r="CE319" s="29">
        <v>69947</v>
      </c>
      <c r="CF319" s="35">
        <f t="shared" si="23"/>
        <v>104.83651907873104</v>
      </c>
      <c r="CG319" s="35">
        <f t="shared" si="24"/>
        <v>458.87600611891861</v>
      </c>
      <c r="CH319" s="29">
        <v>107.94094</v>
      </c>
    </row>
    <row r="320" spans="1:86" ht="15.5" x14ac:dyDescent="0.35">
      <c r="A320" s="29" t="s">
        <v>99</v>
      </c>
      <c r="B320" s="29">
        <v>2006</v>
      </c>
      <c r="C320" s="30">
        <v>45.47</v>
      </c>
      <c r="D320" s="29">
        <v>83288.11</v>
      </c>
      <c r="E320" s="29">
        <v>0.17119999999999999</v>
      </c>
      <c r="F320" s="29">
        <v>11.158099999999999</v>
      </c>
      <c r="G320" s="29">
        <v>68200</v>
      </c>
      <c r="H320" s="29">
        <v>10</v>
      </c>
      <c r="I320" s="31">
        <v>93.742000000000004</v>
      </c>
      <c r="J320" s="31">
        <v>94.9</v>
      </c>
      <c r="K320" s="31">
        <v>3.7789999999999999</v>
      </c>
      <c r="L320" s="31">
        <v>92.195099999999996</v>
      </c>
      <c r="M320" s="31">
        <v>-12430000000</v>
      </c>
      <c r="N320" s="31">
        <v>88.135900000000007</v>
      </c>
      <c r="O320" s="29">
        <v>41.786999999999999</v>
      </c>
      <c r="P320" s="29">
        <v>13.158300000000001</v>
      </c>
      <c r="Q320" s="31">
        <v>53737.841</v>
      </c>
      <c r="R320" s="31">
        <v>51710.362200000003</v>
      </c>
      <c r="S320" s="31">
        <v>2.1951999999999998</v>
      </c>
      <c r="T320" s="31">
        <v>65171.503499999999</v>
      </c>
      <c r="U320" s="31">
        <v>44232.101699999999</v>
      </c>
      <c r="V320" s="29">
        <v>32.700000000000003</v>
      </c>
      <c r="W320" s="31">
        <v>88.780500000000004</v>
      </c>
      <c r="X320" s="29">
        <v>91</v>
      </c>
      <c r="Y320" s="29"/>
      <c r="Z320" s="29">
        <v>86</v>
      </c>
      <c r="AA320" s="29">
        <v>4.0999999999999996</v>
      </c>
      <c r="AB320" s="29">
        <v>54.8</v>
      </c>
      <c r="AC320" s="29">
        <v>79.241500000000002</v>
      </c>
      <c r="AD320" s="29">
        <v>98.512</v>
      </c>
      <c r="AE320" s="29">
        <v>6</v>
      </c>
      <c r="AF320" s="29">
        <v>92.267799999999994</v>
      </c>
      <c r="AG320" s="29">
        <v>8.9</v>
      </c>
      <c r="AH320" s="29">
        <v>0.47</v>
      </c>
      <c r="AI320" s="29">
        <v>4.9000000000000004</v>
      </c>
      <c r="AJ320" s="29">
        <v>4.4000000000000004</v>
      </c>
      <c r="AK320" s="29">
        <v>5.3</v>
      </c>
      <c r="AL320" s="29">
        <v>63.743000000000002</v>
      </c>
      <c r="AM320" s="29">
        <v>2.8</v>
      </c>
      <c r="AN320" s="29">
        <v>94513</v>
      </c>
      <c r="AO320" s="29">
        <v>0</v>
      </c>
      <c r="AP320" s="29">
        <v>96.819599999999994</v>
      </c>
      <c r="AQ320" s="29">
        <v>90.148700000000005</v>
      </c>
      <c r="AR320" s="29">
        <v>74.172399999999996</v>
      </c>
      <c r="AS320" s="29">
        <v>66.724800000000002</v>
      </c>
      <c r="AT320" s="29">
        <v>60.870100000000001</v>
      </c>
      <c r="AU320" s="29">
        <v>11.571099999999999</v>
      </c>
      <c r="AV320" s="31">
        <v>91.787400000000005</v>
      </c>
      <c r="AW320" s="29">
        <v>0.4</v>
      </c>
      <c r="AX320" s="29"/>
      <c r="AY320" s="29">
        <v>1</v>
      </c>
      <c r="AZ320" s="29">
        <v>8</v>
      </c>
      <c r="BA320" s="29">
        <v>63.168799999999997</v>
      </c>
      <c r="BB320" s="29">
        <v>13.253</v>
      </c>
      <c r="BC320" s="29">
        <v>5.8497000000000003</v>
      </c>
      <c r="BD320" s="31">
        <v>4.9880000000000004</v>
      </c>
      <c r="BE320" s="31">
        <v>99.019599999999997</v>
      </c>
      <c r="BF320" s="29">
        <v>10.3299</v>
      </c>
      <c r="BG320" s="29">
        <v>3.2</v>
      </c>
      <c r="BH320" s="32">
        <v>1.1989000000000001</v>
      </c>
      <c r="BI320" s="32">
        <v>2895.6511</v>
      </c>
      <c r="BJ320" s="31">
        <v>93.779899999999998</v>
      </c>
      <c r="BK320" s="29">
        <v>0.99480000000000002</v>
      </c>
      <c r="BL320" s="29">
        <v>1.0273000000000001</v>
      </c>
      <c r="BM320" s="29">
        <v>1.0769</v>
      </c>
      <c r="BN320" s="29">
        <v>5</v>
      </c>
      <c r="BO320" s="29">
        <v>9.4</v>
      </c>
      <c r="BP320" s="29">
        <v>11.12</v>
      </c>
      <c r="BQ320" s="31">
        <v>104.8147</v>
      </c>
      <c r="BR320" s="29">
        <v>88.150099999999995</v>
      </c>
      <c r="BS320" s="32">
        <v>4.3550000000000004</v>
      </c>
      <c r="BT320" s="32">
        <v>4.3550000000000004</v>
      </c>
      <c r="BU320" s="32">
        <v>7.9080000000000004</v>
      </c>
      <c r="BV320" s="32">
        <v>8.27</v>
      </c>
      <c r="BW320" s="31">
        <v>95.192300000000003</v>
      </c>
      <c r="BX320" s="29">
        <v>27.26</v>
      </c>
      <c r="BY320" s="33">
        <v>8001000</v>
      </c>
      <c r="BZ320" s="33">
        <v>33655000</v>
      </c>
      <c r="CA320" s="34">
        <f t="shared" si="20"/>
        <v>4.2063492063492065</v>
      </c>
      <c r="CB320" s="29">
        <v>4273591</v>
      </c>
      <c r="CC320" s="35">
        <f t="shared" si="21"/>
        <v>7.8751101825139562</v>
      </c>
      <c r="CD320" s="35">
        <f t="shared" si="22"/>
        <v>1.8721960056542613</v>
      </c>
      <c r="CE320" s="29">
        <v>69947</v>
      </c>
      <c r="CF320" s="35">
        <f t="shared" si="23"/>
        <v>114.38660700244471</v>
      </c>
      <c r="CG320" s="35">
        <f t="shared" si="24"/>
        <v>481.15001358171185</v>
      </c>
      <c r="CH320" s="29">
        <v>108.48526</v>
      </c>
    </row>
    <row r="321" spans="1:86" ht="15.5" x14ac:dyDescent="0.35">
      <c r="A321" s="29" t="s">
        <v>99</v>
      </c>
      <c r="B321" s="29">
        <v>2007</v>
      </c>
      <c r="C321" s="30">
        <v>45.0914</v>
      </c>
      <c r="D321" s="29">
        <v>85247.55</v>
      </c>
      <c r="E321" s="29">
        <v>0.16009999999999999</v>
      </c>
      <c r="F321" s="29">
        <v>10.672499999999999</v>
      </c>
      <c r="G321" s="29">
        <v>67100</v>
      </c>
      <c r="H321" s="29">
        <v>10</v>
      </c>
      <c r="I321" s="31">
        <v>96.45</v>
      </c>
      <c r="J321" s="31">
        <v>98</v>
      </c>
      <c r="K321" s="31">
        <v>5.1950000000000003</v>
      </c>
      <c r="L321" s="31">
        <v>93.203900000000004</v>
      </c>
      <c r="M321" s="31">
        <v>-17587000000</v>
      </c>
      <c r="N321" s="31">
        <v>98.526399999999995</v>
      </c>
      <c r="O321" s="29">
        <v>40.26</v>
      </c>
      <c r="P321" s="29">
        <v>17.269100000000002</v>
      </c>
      <c r="Q321" s="31">
        <v>60769.642</v>
      </c>
      <c r="R321" s="31">
        <v>52904.473299999998</v>
      </c>
      <c r="S321" s="31">
        <v>2.3092000000000001</v>
      </c>
      <c r="T321" s="31">
        <v>66676.463300000003</v>
      </c>
      <c r="U321" s="31">
        <v>46784.0861</v>
      </c>
      <c r="V321" s="29">
        <v>31.9</v>
      </c>
      <c r="W321" s="31">
        <v>90.776700000000005</v>
      </c>
      <c r="X321" s="29">
        <v>92</v>
      </c>
      <c r="Y321" s="29"/>
      <c r="Z321" s="29">
        <v>87</v>
      </c>
      <c r="AA321" s="29">
        <v>3.9</v>
      </c>
      <c r="AB321" s="29">
        <v>61.2</v>
      </c>
      <c r="AC321" s="29">
        <v>79.641499999999994</v>
      </c>
      <c r="AD321" s="29">
        <v>98.522199999999998</v>
      </c>
      <c r="AE321" s="29">
        <v>6</v>
      </c>
      <c r="AF321" s="29">
        <v>92.357900000000001</v>
      </c>
      <c r="AG321" s="29">
        <v>8</v>
      </c>
      <c r="AH321" s="29">
        <v>0.36</v>
      </c>
      <c r="AI321" s="29">
        <v>4.5999999999999996</v>
      </c>
      <c r="AJ321" s="29">
        <v>4.2</v>
      </c>
      <c r="AK321" s="29">
        <v>5</v>
      </c>
      <c r="AL321" s="29">
        <v>64.543700000000001</v>
      </c>
      <c r="AM321" s="29">
        <v>2.6</v>
      </c>
      <c r="AN321" s="29">
        <v>76465</v>
      </c>
      <c r="AO321" s="29">
        <v>0</v>
      </c>
      <c r="AP321" s="29">
        <v>96.753500000000003</v>
      </c>
      <c r="AQ321" s="29">
        <v>90.083200000000005</v>
      </c>
      <c r="AR321" s="29">
        <v>78.704099999999997</v>
      </c>
      <c r="AS321" s="29">
        <v>67.150999999999996</v>
      </c>
      <c r="AT321" s="29">
        <v>63.165700000000001</v>
      </c>
      <c r="AU321" s="29">
        <v>11.183400000000001</v>
      </c>
      <c r="AV321" s="31">
        <v>93.236699999999999</v>
      </c>
      <c r="AW321" s="29">
        <v>0.1</v>
      </c>
      <c r="AX321" s="29"/>
      <c r="AY321" s="29">
        <v>1</v>
      </c>
      <c r="AZ321" s="29">
        <v>8</v>
      </c>
      <c r="BA321" s="29">
        <v>64.722300000000004</v>
      </c>
      <c r="BB321" s="29">
        <v>13.253</v>
      </c>
      <c r="BC321" s="29">
        <v>6.1863000000000001</v>
      </c>
      <c r="BD321" s="31">
        <v>5.31</v>
      </c>
      <c r="BE321" s="31">
        <v>98.543700000000001</v>
      </c>
      <c r="BF321" s="29">
        <v>10.9781</v>
      </c>
      <c r="BG321" s="29">
        <v>3.5</v>
      </c>
      <c r="BH321" s="32">
        <v>1.2341</v>
      </c>
      <c r="BI321" s="32">
        <v>2929.0889000000002</v>
      </c>
      <c r="BJ321" s="31">
        <v>93.779899999999998</v>
      </c>
      <c r="BK321" s="29">
        <v>0.99039999999999995</v>
      </c>
      <c r="BL321" s="29">
        <v>1.0209999999999999</v>
      </c>
      <c r="BM321" s="29">
        <v>1.0687</v>
      </c>
      <c r="BN321" s="29">
        <v>5</v>
      </c>
      <c r="BO321" s="29">
        <v>10.07</v>
      </c>
      <c r="BP321" s="29">
        <v>11.37</v>
      </c>
      <c r="BQ321" s="31">
        <v>103.3283</v>
      </c>
      <c r="BR321" s="29">
        <v>86.838300000000004</v>
      </c>
      <c r="BS321" s="32">
        <v>4.9800000000000004</v>
      </c>
      <c r="BT321" s="32">
        <v>4.9800000000000004</v>
      </c>
      <c r="BU321" s="32">
        <v>9.1590000000000007</v>
      </c>
      <c r="BV321" s="32">
        <v>9.157</v>
      </c>
      <c r="BW321" s="31">
        <v>95.673100000000005</v>
      </c>
      <c r="BX321" s="29">
        <v>27.8</v>
      </c>
      <c r="BY321" s="33">
        <v>8332000</v>
      </c>
      <c r="BZ321" s="33">
        <v>35993000</v>
      </c>
      <c r="CA321" s="34">
        <f t="shared" si="20"/>
        <v>4.3198511761881901</v>
      </c>
      <c r="CB321" s="29">
        <v>4398942</v>
      </c>
      <c r="CC321" s="35">
        <f t="shared" si="21"/>
        <v>8.1821947186391633</v>
      </c>
      <c r="CD321" s="35">
        <f t="shared" si="22"/>
        <v>1.8940918066207739</v>
      </c>
      <c r="CE321" s="29">
        <v>69947</v>
      </c>
      <c r="CF321" s="35">
        <f t="shared" si="23"/>
        <v>119.11876134787768</v>
      </c>
      <c r="CG321" s="35">
        <f t="shared" si="24"/>
        <v>514.57532131470975</v>
      </c>
      <c r="CH321" s="29">
        <v>109.05379000000001</v>
      </c>
    </row>
    <row r="322" spans="1:86" ht="15.5" x14ac:dyDescent="0.35">
      <c r="A322" s="29" t="s">
        <v>99</v>
      </c>
      <c r="B322" s="29">
        <v>2008</v>
      </c>
      <c r="C322" s="30">
        <v>45.5578</v>
      </c>
      <c r="D322" s="29">
        <v>83800.039999999994</v>
      </c>
      <c r="E322" s="29">
        <v>0.16520000000000001</v>
      </c>
      <c r="F322" s="29">
        <v>10.309200000000001</v>
      </c>
      <c r="G322" s="29">
        <v>66400</v>
      </c>
      <c r="H322" s="29">
        <v>10</v>
      </c>
      <c r="I322" s="31">
        <v>99.457999999999998</v>
      </c>
      <c r="J322" s="31">
        <v>99.3</v>
      </c>
      <c r="K322" s="31">
        <v>4.5810000000000004</v>
      </c>
      <c r="L322" s="31">
        <v>92.718400000000003</v>
      </c>
      <c r="M322" s="31">
        <v>-17227000000</v>
      </c>
      <c r="N322" s="31">
        <v>101.9114</v>
      </c>
      <c r="O322" s="29">
        <v>42.220999999999997</v>
      </c>
      <c r="P322" s="29">
        <v>19.8672</v>
      </c>
      <c r="Q322" s="31">
        <v>60989.707000000002</v>
      </c>
      <c r="R322" s="31">
        <v>49512.426200000002</v>
      </c>
      <c r="S322" s="31">
        <v>-6.4116</v>
      </c>
      <c r="T322" s="31">
        <v>62401.404999999999</v>
      </c>
      <c r="U322" s="31">
        <v>44169.094299999997</v>
      </c>
      <c r="V322" s="29">
        <v>30.9</v>
      </c>
      <c r="W322" s="31">
        <v>88.834999999999994</v>
      </c>
      <c r="X322" s="29">
        <v>93</v>
      </c>
      <c r="Y322" s="29"/>
      <c r="Z322" s="29">
        <v>89</v>
      </c>
      <c r="AA322" s="29">
        <v>3.8</v>
      </c>
      <c r="AB322" s="29">
        <v>65.3</v>
      </c>
      <c r="AC322" s="29">
        <v>80.095100000000002</v>
      </c>
      <c r="AD322" s="29">
        <v>97.790700000000001</v>
      </c>
      <c r="AE322" s="29">
        <v>6</v>
      </c>
      <c r="AF322" s="29">
        <v>92.511200000000002</v>
      </c>
      <c r="AG322" s="29">
        <v>6.5</v>
      </c>
      <c r="AH322" s="29">
        <v>0.45</v>
      </c>
      <c r="AI322" s="29">
        <v>4.4000000000000004</v>
      </c>
      <c r="AJ322" s="29">
        <v>4</v>
      </c>
      <c r="AK322" s="29">
        <v>4.8</v>
      </c>
      <c r="AL322" s="29">
        <v>64.455600000000004</v>
      </c>
      <c r="AM322" s="29">
        <v>2.5</v>
      </c>
      <c r="AN322" s="29">
        <v>18979</v>
      </c>
      <c r="AO322" s="29">
        <v>0</v>
      </c>
      <c r="AP322" s="29">
        <v>96.687100000000001</v>
      </c>
      <c r="AQ322" s="29">
        <v>90.017099999999999</v>
      </c>
      <c r="AR322" s="29">
        <v>83.194500000000005</v>
      </c>
      <c r="AS322" s="29">
        <v>67.5869</v>
      </c>
      <c r="AT322" s="29">
        <v>65.469800000000006</v>
      </c>
      <c r="AU322" s="29">
        <v>10.784700000000001</v>
      </c>
      <c r="AV322" s="31">
        <v>93.269199999999998</v>
      </c>
      <c r="AW322" s="29">
        <v>0.2</v>
      </c>
      <c r="AX322" s="29"/>
      <c r="AY322" s="29">
        <v>1</v>
      </c>
      <c r="AZ322" s="29">
        <v>8</v>
      </c>
      <c r="BA322" s="29">
        <v>66.292500000000004</v>
      </c>
      <c r="BB322" s="29">
        <v>13.253</v>
      </c>
      <c r="BC322" s="29">
        <v>7.2385999999999999</v>
      </c>
      <c r="BD322" s="31">
        <v>-4.484</v>
      </c>
      <c r="BE322" s="31">
        <v>99.514600000000002</v>
      </c>
      <c r="BF322" s="29">
        <v>12.9818</v>
      </c>
      <c r="BG322" s="29">
        <v>4.2</v>
      </c>
      <c r="BH322" s="32">
        <v>1.3913</v>
      </c>
      <c r="BI322" s="32">
        <v>3256.6691999999998</v>
      </c>
      <c r="BJ322" s="31">
        <v>93.75</v>
      </c>
      <c r="BK322" s="29">
        <v>0.99519999999999997</v>
      </c>
      <c r="BL322" s="29">
        <v>1.0228999999999999</v>
      </c>
      <c r="BM322" s="29">
        <v>1.0669</v>
      </c>
      <c r="BN322" s="29">
        <v>5</v>
      </c>
      <c r="BO322" s="29">
        <v>12.525</v>
      </c>
      <c r="BP322" s="29">
        <v>12.15</v>
      </c>
      <c r="BQ322" s="31">
        <v>101.64060000000001</v>
      </c>
      <c r="BR322" s="29">
        <v>81.1571</v>
      </c>
      <c r="BS322" s="32">
        <v>6.774</v>
      </c>
      <c r="BT322" s="32">
        <v>6.774</v>
      </c>
      <c r="BU322" s="32">
        <v>13.471</v>
      </c>
      <c r="BV322" s="32">
        <v>13.467000000000001</v>
      </c>
      <c r="BW322" s="31">
        <v>95.673100000000005</v>
      </c>
      <c r="BX322" s="29">
        <v>30.22</v>
      </c>
      <c r="BY322" s="33">
        <v>8026000</v>
      </c>
      <c r="BZ322" s="33">
        <v>34873000</v>
      </c>
      <c r="CA322" s="34">
        <f t="shared" si="20"/>
        <v>4.3450037378519815</v>
      </c>
      <c r="CB322" s="29">
        <v>4489544</v>
      </c>
      <c r="CC322" s="35">
        <f t="shared" si="21"/>
        <v>7.7676040150180059</v>
      </c>
      <c r="CD322" s="35">
        <f t="shared" si="22"/>
        <v>1.7877093976582032</v>
      </c>
      <c r="CE322" s="29">
        <v>69947</v>
      </c>
      <c r="CF322" s="35">
        <f t="shared" si="23"/>
        <v>114.74402047264357</v>
      </c>
      <c r="CG322" s="35">
        <f t="shared" si="24"/>
        <v>498.56319784980059</v>
      </c>
      <c r="CH322" s="29">
        <v>108.61161</v>
      </c>
    </row>
    <row r="323" spans="1:86" ht="15.5" x14ac:dyDescent="0.35">
      <c r="A323" s="29" t="s">
        <v>99</v>
      </c>
      <c r="B323" s="29">
        <v>2009</v>
      </c>
      <c r="C323" s="30">
        <v>46.677300000000002</v>
      </c>
      <c r="D323" s="29">
        <v>75031.94</v>
      </c>
      <c r="E323" s="29">
        <v>0.15479999999999999</v>
      </c>
      <c r="F323" s="29">
        <v>9.0771999999999995</v>
      </c>
      <c r="G323" s="29">
        <v>60800</v>
      </c>
      <c r="H323" s="29">
        <v>10</v>
      </c>
      <c r="I323" s="31">
        <v>97.792000000000002</v>
      </c>
      <c r="J323" s="31">
        <v>96.8</v>
      </c>
      <c r="K323" s="31">
        <v>3.16</v>
      </c>
      <c r="L323" s="31">
        <v>93.779899999999998</v>
      </c>
      <c r="M323" s="31">
        <v>-11022000000</v>
      </c>
      <c r="N323" s="31">
        <v>93.974299999999999</v>
      </c>
      <c r="O323" s="29">
        <v>40.972000000000001</v>
      </c>
      <c r="P323" s="29">
        <v>21.535799999999998</v>
      </c>
      <c r="Q323" s="31">
        <v>51943.659</v>
      </c>
      <c r="R323" s="31">
        <v>46514.542600000001</v>
      </c>
      <c r="S323" s="31">
        <v>-6.0548000000000002</v>
      </c>
      <c r="T323" s="31">
        <v>58623.118199999997</v>
      </c>
      <c r="U323" s="31">
        <v>41469.837899999999</v>
      </c>
      <c r="V323" s="29">
        <v>32.700000000000003</v>
      </c>
      <c r="W323" s="31">
        <v>87.081299999999999</v>
      </c>
      <c r="X323" s="29">
        <v>94</v>
      </c>
      <c r="Y323" s="29"/>
      <c r="Z323" s="29">
        <v>90</v>
      </c>
      <c r="AA323" s="29">
        <v>3.7</v>
      </c>
      <c r="AB323" s="29">
        <v>67.400000000000006</v>
      </c>
      <c r="AC323" s="29">
        <v>80.190200000000004</v>
      </c>
      <c r="AD323" s="29">
        <v>98.677199999999999</v>
      </c>
      <c r="AE323" s="29">
        <v>6</v>
      </c>
      <c r="AF323" s="29">
        <v>92.544799999999995</v>
      </c>
      <c r="AG323" s="29">
        <v>6</v>
      </c>
      <c r="AH323" s="29">
        <v>0.57999999999999996</v>
      </c>
      <c r="AI323" s="29">
        <v>4.3</v>
      </c>
      <c r="AJ323" s="29">
        <v>3.9</v>
      </c>
      <c r="AK323" s="29">
        <v>4.7</v>
      </c>
      <c r="AL323" s="29">
        <v>64.203800000000001</v>
      </c>
      <c r="AM323" s="29">
        <v>2.5</v>
      </c>
      <c r="AN323" s="29">
        <v>-18524</v>
      </c>
      <c r="AO323" s="29">
        <v>0</v>
      </c>
      <c r="AP323" s="29">
        <v>96.620500000000007</v>
      </c>
      <c r="AQ323" s="29">
        <v>89.950500000000005</v>
      </c>
      <c r="AR323" s="29">
        <v>87.644099999999995</v>
      </c>
      <c r="AS323" s="29">
        <v>68.032600000000002</v>
      </c>
      <c r="AT323" s="29">
        <v>67.782499999999999</v>
      </c>
      <c r="AU323" s="29">
        <v>10.4733</v>
      </c>
      <c r="AV323" s="31">
        <v>86.255899999999997</v>
      </c>
      <c r="AW323" s="29">
        <v>0.5</v>
      </c>
      <c r="AX323" s="29"/>
      <c r="AY323" s="29">
        <v>1</v>
      </c>
      <c r="AZ323" s="29">
        <v>8</v>
      </c>
      <c r="BA323" s="29">
        <v>67.879199999999997</v>
      </c>
      <c r="BB323" s="29">
        <v>13.939399999999999</v>
      </c>
      <c r="BC323" s="29">
        <v>8.1100999999999992</v>
      </c>
      <c r="BD323" s="31">
        <v>-5.0960000000000001</v>
      </c>
      <c r="BE323" s="31">
        <v>96.172200000000004</v>
      </c>
      <c r="BF323" s="29">
        <v>15.792899999999999</v>
      </c>
      <c r="BG323" s="29">
        <v>5.3</v>
      </c>
      <c r="BH323" s="32">
        <v>1.6136999999999999</v>
      </c>
      <c r="BI323" s="32">
        <v>3139.8656999999998</v>
      </c>
      <c r="BJ323" s="31">
        <v>95.2607</v>
      </c>
      <c r="BK323" s="29">
        <v>0.99729999999999996</v>
      </c>
      <c r="BL323" s="29">
        <v>1.0259</v>
      </c>
      <c r="BM323" s="29">
        <v>1.0725</v>
      </c>
      <c r="BN323" s="29">
        <v>5</v>
      </c>
      <c r="BO323" s="29">
        <v>18.297999999999998</v>
      </c>
      <c r="BP323" s="29">
        <v>14.03</v>
      </c>
      <c r="BQ323" s="31">
        <v>105.776</v>
      </c>
      <c r="BR323" s="29">
        <v>65.056200000000004</v>
      </c>
      <c r="BS323" s="32">
        <v>12.609</v>
      </c>
      <c r="BT323" s="32">
        <v>12.609</v>
      </c>
      <c r="BU323" s="32">
        <v>24.509</v>
      </c>
      <c r="BV323" s="32">
        <v>24.5</v>
      </c>
      <c r="BW323" s="31">
        <v>93.838899999999995</v>
      </c>
      <c r="BX323" s="29">
        <v>30.66</v>
      </c>
      <c r="BY323" s="33">
        <v>7189000</v>
      </c>
      <c r="BZ323" s="33">
        <v>30567544</v>
      </c>
      <c r="CA323" s="34">
        <f t="shared" ref="CA323:CA386" si="25">BZ323/BY323</f>
        <v>4.2519883154819862</v>
      </c>
      <c r="CB323" s="29">
        <v>4535375</v>
      </c>
      <c r="CC323" s="35">
        <f t="shared" ref="CC323:CC386" si="26">BZ323/CB323</f>
        <v>6.739805198026624</v>
      </c>
      <c r="CD323" s="35">
        <f t="shared" ref="CD323:CD386" si="27">BY323/CB323</f>
        <v>1.5850949480472949</v>
      </c>
      <c r="CE323" s="29">
        <v>69947</v>
      </c>
      <c r="CF323" s="35">
        <f t="shared" ref="CF323:CF386" si="28">BY323/CE323</f>
        <v>102.77781749038557</v>
      </c>
      <c r="CG323" s="35">
        <f t="shared" ref="CG323:CG386" si="29">BZ323/CE323</f>
        <v>437.01007905985961</v>
      </c>
      <c r="CH323" s="29">
        <v>107.33240000000001</v>
      </c>
    </row>
    <row r="324" spans="1:86" ht="15.5" x14ac:dyDescent="0.35">
      <c r="A324" s="29" t="s">
        <v>99</v>
      </c>
      <c r="B324" s="29">
        <v>2010</v>
      </c>
      <c r="C324" s="30">
        <v>48.0749</v>
      </c>
      <c r="D324" s="29">
        <v>73036.98</v>
      </c>
      <c r="E324" s="29">
        <v>0.15140000000000001</v>
      </c>
      <c r="F324" s="29">
        <v>8.9740000000000002</v>
      </c>
      <c r="G324" s="29">
        <v>60900</v>
      </c>
      <c r="H324" s="29">
        <v>10</v>
      </c>
      <c r="I324" s="31">
        <v>96.191999999999993</v>
      </c>
      <c r="J324" s="31">
        <v>96.6</v>
      </c>
      <c r="K324" s="31">
        <v>4.1509999999999998</v>
      </c>
      <c r="L324" s="31">
        <v>92.857100000000003</v>
      </c>
      <c r="M324" s="31">
        <v>-2859000000</v>
      </c>
      <c r="N324" s="31">
        <v>94.435199999999995</v>
      </c>
      <c r="O324" s="29">
        <v>40.704999999999998</v>
      </c>
      <c r="P324" s="29">
        <v>22.3721</v>
      </c>
      <c r="Q324" s="31">
        <v>48636.309000000001</v>
      </c>
      <c r="R324" s="31">
        <v>47040.354399999997</v>
      </c>
      <c r="S324" s="31">
        <v>1.1304000000000001</v>
      </c>
      <c r="T324" s="31">
        <v>59285.808299999997</v>
      </c>
      <c r="U324" s="31">
        <v>43216.984700000001</v>
      </c>
      <c r="V324" s="29">
        <v>32.299999999999997</v>
      </c>
      <c r="W324" s="31">
        <v>87.081299999999999</v>
      </c>
      <c r="X324" s="29">
        <v>94</v>
      </c>
      <c r="Y324" s="29">
        <v>46</v>
      </c>
      <c r="Z324" s="29">
        <v>90</v>
      </c>
      <c r="AA324" s="29">
        <v>3.6</v>
      </c>
      <c r="AB324" s="29">
        <v>69.900000000000006</v>
      </c>
      <c r="AC324" s="29">
        <v>80.743899999999996</v>
      </c>
      <c r="AD324" s="29">
        <v>99.908799999999999</v>
      </c>
      <c r="AE324" s="29">
        <v>6</v>
      </c>
      <c r="AF324" s="29">
        <v>94.651399999999995</v>
      </c>
      <c r="AG324" s="29">
        <v>4.8</v>
      </c>
      <c r="AH324" s="29">
        <v>0.32</v>
      </c>
      <c r="AI324" s="29">
        <v>4.2</v>
      </c>
      <c r="AJ324" s="29">
        <v>3.8</v>
      </c>
      <c r="AK324" s="29">
        <v>4.5</v>
      </c>
      <c r="AL324" s="29">
        <v>64.119799999999998</v>
      </c>
      <c r="AM324" s="29">
        <v>2.5</v>
      </c>
      <c r="AN324" s="29">
        <v>-26974</v>
      </c>
      <c r="AO324" s="29">
        <v>0</v>
      </c>
      <c r="AP324" s="29">
        <v>96.553600000000003</v>
      </c>
      <c r="AQ324" s="29">
        <v>89.883300000000006</v>
      </c>
      <c r="AR324" s="29">
        <v>92.052800000000005</v>
      </c>
      <c r="AS324" s="29">
        <v>68.488100000000003</v>
      </c>
      <c r="AT324" s="29">
        <v>70.1036</v>
      </c>
      <c r="AU324" s="29">
        <v>10.3476</v>
      </c>
      <c r="AV324" s="31">
        <v>84.834100000000007</v>
      </c>
      <c r="AW324" s="29">
        <v>0.5</v>
      </c>
      <c r="AX324" s="29"/>
      <c r="AY324" s="29">
        <v>1</v>
      </c>
      <c r="AZ324" s="29">
        <v>8</v>
      </c>
      <c r="BA324" s="29">
        <v>69.482299999999995</v>
      </c>
      <c r="BB324" s="29">
        <v>13.939399999999999</v>
      </c>
      <c r="BC324" s="29">
        <v>8.0169999999999995</v>
      </c>
      <c r="BD324" s="31">
        <v>1.6830000000000001</v>
      </c>
      <c r="BE324" s="31">
        <v>94.258399999999995</v>
      </c>
      <c r="BF324" s="29">
        <v>13.7751</v>
      </c>
      <c r="BG324" s="29">
        <v>5.3</v>
      </c>
      <c r="BH324" s="32">
        <v>1.5948</v>
      </c>
      <c r="BI324" s="32">
        <v>3116.6174000000001</v>
      </c>
      <c r="BJ324" s="31">
        <v>95.2607</v>
      </c>
      <c r="BK324" s="29">
        <v>1.0007999999999999</v>
      </c>
      <c r="BL324" s="29">
        <v>1.0236000000000001</v>
      </c>
      <c r="BM324" s="29">
        <v>1.0602</v>
      </c>
      <c r="BN324" s="29">
        <v>5</v>
      </c>
      <c r="BO324" s="29">
        <v>19.454000000000001</v>
      </c>
      <c r="BP324" s="29">
        <v>12.08</v>
      </c>
      <c r="BQ324" s="31">
        <v>105.6092</v>
      </c>
      <c r="BR324" s="29">
        <v>59.793999999999997</v>
      </c>
      <c r="BS324" s="32">
        <v>14.534000000000001</v>
      </c>
      <c r="BT324" s="32">
        <v>14.534000000000001</v>
      </c>
      <c r="BU324" s="32">
        <v>28.157</v>
      </c>
      <c r="BV324" s="32">
        <v>28.143999999999998</v>
      </c>
      <c r="BW324" s="31">
        <v>93.364900000000006</v>
      </c>
      <c r="BX324" s="29">
        <v>28.21</v>
      </c>
      <c r="BY324" s="33">
        <v>7134000</v>
      </c>
      <c r="BZ324" s="33">
        <v>29282163</v>
      </c>
      <c r="CA324" s="34">
        <f t="shared" si="25"/>
        <v>4.1045925147182505</v>
      </c>
      <c r="CB324" s="29">
        <v>4560155</v>
      </c>
      <c r="CC324" s="35">
        <f t="shared" si="26"/>
        <v>6.421308705515492</v>
      </c>
      <c r="CD324" s="35">
        <f t="shared" si="27"/>
        <v>1.5644205076362536</v>
      </c>
      <c r="CE324" s="29">
        <v>69947</v>
      </c>
      <c r="CF324" s="35">
        <f t="shared" si="28"/>
        <v>101.99150785594807</v>
      </c>
      <c r="CG324" s="35">
        <f t="shared" si="29"/>
        <v>418.63357971035214</v>
      </c>
      <c r="CH324" s="29">
        <v>103.25499000000001</v>
      </c>
    </row>
    <row r="325" spans="1:86" ht="15.5" x14ac:dyDescent="0.35">
      <c r="A325" s="29" t="s">
        <v>99</v>
      </c>
      <c r="B325" s="29">
        <v>2011</v>
      </c>
      <c r="C325" s="30">
        <v>49.417299999999997</v>
      </c>
      <c r="D325" s="29">
        <v>68149.820000000007</v>
      </c>
      <c r="E325" s="29">
        <v>0.13519999999999999</v>
      </c>
      <c r="F325" s="29">
        <v>8.1097999999999999</v>
      </c>
      <c r="G325" s="29">
        <v>56200</v>
      </c>
      <c r="H325" s="29">
        <v>10</v>
      </c>
      <c r="I325" s="31">
        <v>97.358000000000004</v>
      </c>
      <c r="J325" s="31">
        <v>98</v>
      </c>
      <c r="K325" s="31">
        <v>4.6689999999999996</v>
      </c>
      <c r="L325" s="31">
        <v>91.943100000000001</v>
      </c>
      <c r="M325" s="31">
        <v>-4057000000</v>
      </c>
      <c r="N325" s="31">
        <v>101.9281</v>
      </c>
      <c r="O325" s="29">
        <v>30.423999999999999</v>
      </c>
      <c r="P325" s="29">
        <v>23.381399999999999</v>
      </c>
      <c r="Q325" s="31">
        <v>52631.463000000003</v>
      </c>
      <c r="R325" s="31">
        <v>47607.885300000002</v>
      </c>
      <c r="S325" s="31">
        <v>1.2064999999999999</v>
      </c>
      <c r="T325" s="31">
        <v>60001.077700000002</v>
      </c>
      <c r="U325" s="31">
        <v>45525.718099999998</v>
      </c>
      <c r="V325" s="29">
        <v>32.9</v>
      </c>
      <c r="W325" s="31">
        <v>88.625600000000006</v>
      </c>
      <c r="X325" s="29">
        <v>95</v>
      </c>
      <c r="Y325" s="29">
        <v>95</v>
      </c>
      <c r="Z325" s="29">
        <v>92</v>
      </c>
      <c r="AA325" s="29">
        <v>3.5</v>
      </c>
      <c r="AB325" s="29">
        <v>74.900000000000006</v>
      </c>
      <c r="AC325" s="29">
        <v>80.746300000000005</v>
      </c>
      <c r="AD325" s="29">
        <v>100.3378</v>
      </c>
      <c r="AE325" s="29">
        <v>6</v>
      </c>
      <c r="AF325" s="29">
        <v>94.801900000000003</v>
      </c>
      <c r="AG325" s="29">
        <v>4.2</v>
      </c>
      <c r="AH325" s="29">
        <v>1.62</v>
      </c>
      <c r="AI325" s="29">
        <v>4.0999999999999996</v>
      </c>
      <c r="AJ325" s="29">
        <v>3.7</v>
      </c>
      <c r="AK325" s="29">
        <v>4.4000000000000004</v>
      </c>
      <c r="AL325" s="29">
        <v>64.003</v>
      </c>
      <c r="AM325" s="29">
        <v>2.5</v>
      </c>
      <c r="AN325" s="29">
        <v>-26529</v>
      </c>
      <c r="AO325" s="29">
        <v>0</v>
      </c>
      <c r="AP325" s="29">
        <v>96.486400000000003</v>
      </c>
      <c r="AQ325" s="29">
        <v>89.8155</v>
      </c>
      <c r="AR325" s="29">
        <v>94.931200000000004</v>
      </c>
      <c r="AS325" s="29">
        <v>68.953599999999994</v>
      </c>
      <c r="AT325" s="29">
        <v>72.433099999999996</v>
      </c>
      <c r="AU325" s="29">
        <v>10.5404</v>
      </c>
      <c r="AV325" s="31">
        <v>77.725099999999998</v>
      </c>
      <c r="AW325" s="29">
        <v>0.5</v>
      </c>
      <c r="AX325" s="29"/>
      <c r="AY325" s="29">
        <v>1</v>
      </c>
      <c r="AZ325" s="29">
        <v>8</v>
      </c>
      <c r="BA325" s="29">
        <v>71.101900000000001</v>
      </c>
      <c r="BB325" s="29">
        <v>15.0602</v>
      </c>
      <c r="BC325" s="29">
        <v>7.6380999999999997</v>
      </c>
      <c r="BD325" s="31">
        <v>1.65</v>
      </c>
      <c r="BE325" s="31">
        <v>93.364900000000006</v>
      </c>
      <c r="BF325" s="29">
        <v>19.966100000000001</v>
      </c>
      <c r="BG325" s="29">
        <v>7</v>
      </c>
      <c r="BH325" s="32">
        <v>1.5515000000000001</v>
      </c>
      <c r="BI325" s="32">
        <v>3341.4018999999998</v>
      </c>
      <c r="BJ325" s="31">
        <v>96.244100000000003</v>
      </c>
      <c r="BK325" s="29">
        <v>0.99890000000000001</v>
      </c>
      <c r="BL325" s="29">
        <v>1.014</v>
      </c>
      <c r="BM325" s="29">
        <v>1.0383</v>
      </c>
      <c r="BN325" s="29">
        <v>5</v>
      </c>
      <c r="BO325" s="29">
        <v>19.164000000000001</v>
      </c>
      <c r="BP325" s="29">
        <v>12.71</v>
      </c>
      <c r="BQ325" s="31">
        <v>97.711200000000005</v>
      </c>
      <c r="BR325" s="29">
        <v>57.644799999999996</v>
      </c>
      <c r="BS325" s="32">
        <v>15.353999999999999</v>
      </c>
      <c r="BT325" s="32">
        <v>15.353999999999999</v>
      </c>
      <c r="BU325" s="32">
        <v>29.579000000000001</v>
      </c>
      <c r="BV325" s="32">
        <v>29.587</v>
      </c>
      <c r="BW325" s="31">
        <v>92.488299999999995</v>
      </c>
      <c r="BX325" s="29">
        <v>28.44</v>
      </c>
      <c r="BY325" s="33">
        <v>7630000</v>
      </c>
      <c r="BZ325" s="33">
        <v>29417942</v>
      </c>
      <c r="CA325" s="34">
        <f t="shared" si="25"/>
        <v>3.8555625163827001</v>
      </c>
      <c r="CB325" s="29">
        <v>4580084</v>
      </c>
      <c r="CC325" s="35">
        <f t="shared" si="26"/>
        <v>6.4230136390511614</v>
      </c>
      <c r="CD325" s="35">
        <f t="shared" si="27"/>
        <v>1.6659083108519408</v>
      </c>
      <c r="CE325" s="29">
        <v>69947</v>
      </c>
      <c r="CF325" s="35">
        <f t="shared" si="28"/>
        <v>109.08259110469355</v>
      </c>
      <c r="CG325" s="35">
        <f t="shared" si="29"/>
        <v>420.57474945315738</v>
      </c>
      <c r="CH325" s="29">
        <v>101.57478</v>
      </c>
    </row>
    <row r="326" spans="1:86" ht="15.5" x14ac:dyDescent="0.35">
      <c r="A326" s="29" t="s">
        <v>99</v>
      </c>
      <c r="B326" s="29">
        <v>2012</v>
      </c>
      <c r="C326" s="30">
        <v>50.536900000000003</v>
      </c>
      <c r="D326" s="29">
        <v>68030.039999999994</v>
      </c>
      <c r="E326" s="29">
        <v>0.13739999999999999</v>
      </c>
      <c r="F326" s="29">
        <v>8.1738999999999997</v>
      </c>
      <c r="G326" s="29">
        <v>56800</v>
      </c>
      <c r="H326" s="29">
        <v>10</v>
      </c>
      <c r="I326" s="31">
        <v>99.2</v>
      </c>
      <c r="J326" s="31">
        <v>99.7</v>
      </c>
      <c r="K326" s="31">
        <v>3.8420000000000001</v>
      </c>
      <c r="L326" s="31">
        <v>90.047399999999996</v>
      </c>
      <c r="M326" s="31">
        <v>-7629000000</v>
      </c>
      <c r="N326" s="31">
        <v>94.659499999999994</v>
      </c>
      <c r="O326" s="29">
        <v>30.600999999999999</v>
      </c>
      <c r="P326" s="29">
        <v>24.175000000000001</v>
      </c>
      <c r="Q326" s="31">
        <v>49386.472999999998</v>
      </c>
      <c r="R326" s="31">
        <v>47217.443399999996</v>
      </c>
      <c r="S326" s="31">
        <v>-0.82010000000000005</v>
      </c>
      <c r="T326" s="31">
        <v>59508.996800000001</v>
      </c>
      <c r="U326" s="31">
        <v>46726.215799999998</v>
      </c>
      <c r="V326" s="29">
        <v>33.200000000000003</v>
      </c>
      <c r="W326" s="31">
        <v>92.417100000000005</v>
      </c>
      <c r="X326" s="29">
        <v>95</v>
      </c>
      <c r="Y326" s="29">
        <v>95</v>
      </c>
      <c r="Z326" s="29">
        <v>92</v>
      </c>
      <c r="AA326" s="29">
        <v>3.4</v>
      </c>
      <c r="AB326" s="29">
        <v>76.900000000000006</v>
      </c>
      <c r="AC326" s="29">
        <v>80.846299999999999</v>
      </c>
      <c r="AD326" s="29"/>
      <c r="AE326" s="29">
        <v>6</v>
      </c>
      <c r="AF326" s="29">
        <v>94.936700000000002</v>
      </c>
      <c r="AG326" s="29">
        <v>3.6</v>
      </c>
      <c r="AH326" s="29">
        <v>0.48</v>
      </c>
      <c r="AI326" s="29">
        <v>4</v>
      </c>
      <c r="AJ326" s="29">
        <v>3.6</v>
      </c>
      <c r="AK326" s="29">
        <v>4.3</v>
      </c>
      <c r="AL326" s="29">
        <v>63.354999999999997</v>
      </c>
      <c r="AM326" s="29">
        <v>2.5</v>
      </c>
      <c r="AN326" s="29">
        <v>-22411</v>
      </c>
      <c r="AO326" s="29">
        <v>0</v>
      </c>
      <c r="AP326" s="29">
        <v>96.418999999999997</v>
      </c>
      <c r="AQ326" s="29">
        <v>89.747200000000007</v>
      </c>
      <c r="AR326" s="29">
        <v>95.021199999999993</v>
      </c>
      <c r="AS326" s="29">
        <v>69.429000000000002</v>
      </c>
      <c r="AT326" s="29">
        <v>74.771000000000001</v>
      </c>
      <c r="AU326" s="29">
        <v>9.5889000000000006</v>
      </c>
      <c r="AV326" s="31">
        <v>77.725099999999998</v>
      </c>
      <c r="AW326" s="29">
        <v>0.3</v>
      </c>
      <c r="AX326" s="29"/>
      <c r="AY326" s="29">
        <v>1</v>
      </c>
      <c r="AZ326" s="29">
        <v>8</v>
      </c>
      <c r="BA326" s="29">
        <v>72.738</v>
      </c>
      <c r="BB326" s="29">
        <v>15.0602</v>
      </c>
      <c r="BC326" s="29">
        <v>7.6387999999999998</v>
      </c>
      <c r="BD326" s="31">
        <v>-0.39900000000000002</v>
      </c>
      <c r="BE326" s="31">
        <v>94.312799999999996</v>
      </c>
      <c r="BF326" s="29">
        <v>19.9892</v>
      </c>
      <c r="BG326" s="29">
        <v>6.9</v>
      </c>
      <c r="BH326" s="32">
        <v>1.5603</v>
      </c>
      <c r="BI326" s="32">
        <v>4873.6635999999999</v>
      </c>
      <c r="BJ326" s="31">
        <v>94.366200000000006</v>
      </c>
      <c r="BK326" s="29">
        <v>1.0001</v>
      </c>
      <c r="BL326" s="29">
        <v>1.0105</v>
      </c>
      <c r="BM326" s="29">
        <v>1.0273000000000001</v>
      </c>
      <c r="BN326" s="29">
        <v>5</v>
      </c>
      <c r="BO326" s="29">
        <v>19.201000000000001</v>
      </c>
      <c r="BP326" s="29">
        <v>12.37</v>
      </c>
      <c r="BQ326" s="31">
        <v>97.622600000000006</v>
      </c>
      <c r="BR326" s="29">
        <v>56.5764</v>
      </c>
      <c r="BS326" s="32">
        <v>15.451000000000001</v>
      </c>
      <c r="BT326" s="32">
        <v>15.451000000000001</v>
      </c>
      <c r="BU326" s="32">
        <v>30.792000000000002</v>
      </c>
      <c r="BV326" s="32">
        <v>30.797000000000001</v>
      </c>
      <c r="BW326" s="31">
        <v>92.018799999999999</v>
      </c>
      <c r="BX326" s="29">
        <v>32.57</v>
      </c>
      <c r="BY326" s="33">
        <v>7550000</v>
      </c>
      <c r="BZ326" s="33">
        <v>28884907</v>
      </c>
      <c r="CA326" s="34">
        <f t="shared" si="25"/>
        <v>3.8258154966887417</v>
      </c>
      <c r="CB326" s="29">
        <v>4599533</v>
      </c>
      <c r="CC326" s="35">
        <f t="shared" si="26"/>
        <v>6.2799651616805443</v>
      </c>
      <c r="CD326" s="35">
        <f t="shared" si="27"/>
        <v>1.6414709928160098</v>
      </c>
      <c r="CE326" s="29">
        <v>69947</v>
      </c>
      <c r="CF326" s="35">
        <f t="shared" si="28"/>
        <v>107.93886800005718</v>
      </c>
      <c r="CG326" s="35">
        <f t="shared" si="29"/>
        <v>412.95419388965934</v>
      </c>
      <c r="CH326" s="29">
        <v>100.95301000000001</v>
      </c>
    </row>
    <row r="327" spans="1:86" ht="15.5" x14ac:dyDescent="0.35">
      <c r="A327" s="29" t="s">
        <v>99</v>
      </c>
      <c r="B327" s="29">
        <v>2013</v>
      </c>
      <c r="C327" s="30">
        <v>51.398000000000003</v>
      </c>
      <c r="D327" s="29">
        <v>67913.48</v>
      </c>
      <c r="E327" s="29">
        <v>0.12989999999999999</v>
      </c>
      <c r="F327" s="29">
        <v>7.8574000000000002</v>
      </c>
      <c r="G327" s="29">
        <v>56700</v>
      </c>
      <c r="H327" s="29">
        <v>10</v>
      </c>
      <c r="I327" s="31">
        <v>99.733000000000004</v>
      </c>
      <c r="J327" s="31">
        <v>100</v>
      </c>
      <c r="K327" s="31">
        <v>3.1909999999999998</v>
      </c>
      <c r="L327" s="31">
        <v>92.417100000000005</v>
      </c>
      <c r="M327" s="31">
        <v>5828000000</v>
      </c>
      <c r="N327" s="31">
        <v>94.506</v>
      </c>
      <c r="O327" s="29">
        <v>30.49</v>
      </c>
      <c r="P327" s="29">
        <v>25.714400000000001</v>
      </c>
      <c r="Q327" s="31">
        <v>52544.103999999999</v>
      </c>
      <c r="R327" s="31">
        <v>47999.123800000001</v>
      </c>
      <c r="S327" s="31">
        <v>1.6555</v>
      </c>
      <c r="T327" s="31">
        <v>60494.162700000001</v>
      </c>
      <c r="U327" s="31">
        <v>48838.771999999997</v>
      </c>
      <c r="V327" s="29">
        <v>33.5</v>
      </c>
      <c r="W327" s="31">
        <v>90.047399999999996</v>
      </c>
      <c r="X327" s="29">
        <v>96</v>
      </c>
      <c r="Y327" s="29">
        <v>95</v>
      </c>
      <c r="Z327" s="29">
        <v>93</v>
      </c>
      <c r="AA327" s="29">
        <v>3.3</v>
      </c>
      <c r="AB327" s="29">
        <v>78.2</v>
      </c>
      <c r="AC327" s="29">
        <v>80.948800000000006</v>
      </c>
      <c r="AD327" s="29"/>
      <c r="AE327" s="29">
        <v>5</v>
      </c>
      <c r="AF327" s="29">
        <v>95.072199999999995</v>
      </c>
      <c r="AG327" s="29">
        <v>4.2</v>
      </c>
      <c r="AH327" s="29">
        <v>0.39</v>
      </c>
      <c r="AI327" s="29">
        <v>3.9</v>
      </c>
      <c r="AJ327" s="29">
        <v>3.5</v>
      </c>
      <c r="AK327" s="29">
        <v>4.2</v>
      </c>
      <c r="AL327" s="29">
        <v>64.195700000000002</v>
      </c>
      <c r="AM327" s="29">
        <v>2.5</v>
      </c>
      <c r="AN327" s="29">
        <v>-12309</v>
      </c>
      <c r="AO327" s="29">
        <v>0</v>
      </c>
      <c r="AP327" s="29">
        <v>96.351200000000006</v>
      </c>
      <c r="AQ327" s="29">
        <v>89.678399999999996</v>
      </c>
      <c r="AR327" s="29">
        <v>95.110600000000005</v>
      </c>
      <c r="AS327" s="29">
        <v>69.837800000000001</v>
      </c>
      <c r="AT327" s="29">
        <v>77.1173</v>
      </c>
      <c r="AU327" s="29">
        <v>9.1941000000000006</v>
      </c>
      <c r="AV327" s="31">
        <v>75.355500000000006</v>
      </c>
      <c r="AW327" s="29">
        <v>0.7</v>
      </c>
      <c r="AX327" s="29"/>
      <c r="AY327" s="29">
        <v>1</v>
      </c>
      <c r="AZ327" s="29">
        <v>8</v>
      </c>
      <c r="BA327" s="29">
        <v>74.3613</v>
      </c>
      <c r="BB327" s="29">
        <v>15.662699999999999</v>
      </c>
      <c r="BC327" s="29">
        <v>7.2831999999999999</v>
      </c>
      <c r="BD327" s="31">
        <v>2.1920000000000002</v>
      </c>
      <c r="BE327" s="31">
        <v>93.838899999999995</v>
      </c>
      <c r="BF327" s="29">
        <v>23.041399999999999</v>
      </c>
      <c r="BG327" s="29">
        <v>7.7</v>
      </c>
      <c r="BH327" s="32">
        <v>1.5690999999999999</v>
      </c>
      <c r="BI327" s="32">
        <v>5141.7377999999999</v>
      </c>
      <c r="BJ327" s="31">
        <v>94.835700000000003</v>
      </c>
      <c r="BK327" s="29">
        <v>0.99629999999999996</v>
      </c>
      <c r="BL327" s="29"/>
      <c r="BM327" s="29"/>
      <c r="BN327" s="29">
        <v>5</v>
      </c>
      <c r="BO327" s="29">
        <v>16.440000000000001</v>
      </c>
      <c r="BP327" s="29">
        <v>11.12</v>
      </c>
      <c r="BQ327" s="31">
        <v>95.819000000000003</v>
      </c>
      <c r="BR327" s="29">
        <v>61.9114</v>
      </c>
      <c r="BS327" s="32">
        <v>13.734999999999999</v>
      </c>
      <c r="BT327" s="32">
        <v>13.734999999999999</v>
      </c>
      <c r="BU327" s="32">
        <v>26.731999999999999</v>
      </c>
      <c r="BV327" s="32">
        <v>26.736000000000001</v>
      </c>
      <c r="BW327" s="31">
        <v>92.018799999999999</v>
      </c>
      <c r="BX327" s="29">
        <v>32.51</v>
      </c>
      <c r="BY327" s="33">
        <v>8260000</v>
      </c>
      <c r="BZ327" s="33">
        <v>28286434</v>
      </c>
      <c r="CA327" s="34">
        <f t="shared" si="25"/>
        <v>3.4245077481840194</v>
      </c>
      <c r="CB327" s="29">
        <v>4623816</v>
      </c>
      <c r="CC327" s="35">
        <f t="shared" si="26"/>
        <v>6.1175518229964165</v>
      </c>
      <c r="CD327" s="35">
        <f t="shared" si="27"/>
        <v>1.7864032651818325</v>
      </c>
      <c r="CE327" s="29">
        <v>69947</v>
      </c>
      <c r="CF327" s="35">
        <f t="shared" si="28"/>
        <v>118.08941055370495</v>
      </c>
      <c r="CG327" s="35">
        <f t="shared" si="29"/>
        <v>404.39810141964631</v>
      </c>
      <c r="CH327" s="29">
        <v>100.07993999999999</v>
      </c>
    </row>
    <row r="328" spans="1:86" ht="15.5" x14ac:dyDescent="0.35">
      <c r="A328" s="29" t="s">
        <v>99</v>
      </c>
      <c r="B328" s="29">
        <v>2014</v>
      </c>
      <c r="C328" s="30">
        <v>52.046500000000002</v>
      </c>
      <c r="D328" s="29">
        <v>65682.67</v>
      </c>
      <c r="E328" s="29">
        <v>0.1182</v>
      </c>
      <c r="F328" s="29">
        <v>7.7591999999999999</v>
      </c>
      <c r="G328" s="29">
        <v>56300</v>
      </c>
      <c r="H328" s="29">
        <v>10</v>
      </c>
      <c r="I328" s="31">
        <v>100.033</v>
      </c>
      <c r="J328" s="31">
        <v>99.7</v>
      </c>
      <c r="K328" s="31">
        <v>2.8130000000000002</v>
      </c>
      <c r="L328" s="31">
        <v>92.788499999999999</v>
      </c>
      <c r="M328" s="31">
        <v>5501000000</v>
      </c>
      <c r="N328" s="31">
        <v>98.132099999999994</v>
      </c>
      <c r="O328" s="29">
        <v>31.617000000000001</v>
      </c>
      <c r="P328" s="29">
        <v>27.022200000000002</v>
      </c>
      <c r="Q328" s="31">
        <v>57175.016000000003</v>
      </c>
      <c r="R328" s="31">
        <v>52098.105000000003</v>
      </c>
      <c r="S328" s="31">
        <v>8.5396999999999998</v>
      </c>
      <c r="T328" s="31">
        <v>65660.182700000005</v>
      </c>
      <c r="U328" s="31">
        <v>52640.784399999997</v>
      </c>
      <c r="V328" s="29">
        <v>31.9</v>
      </c>
      <c r="W328" s="31">
        <v>91.826899999999995</v>
      </c>
      <c r="X328" s="29">
        <v>96</v>
      </c>
      <c r="Y328" s="29">
        <v>95</v>
      </c>
      <c r="Z328" s="29">
        <v>93</v>
      </c>
      <c r="AA328" s="29">
        <v>3.3</v>
      </c>
      <c r="AB328" s="29">
        <v>83.5</v>
      </c>
      <c r="AC328" s="29">
        <v>81.348799999999997</v>
      </c>
      <c r="AD328" s="29">
        <v>100.84990000000001</v>
      </c>
      <c r="AE328" s="29">
        <v>5</v>
      </c>
      <c r="AF328" s="29">
        <v>95.147599999999997</v>
      </c>
      <c r="AG328" s="29">
        <v>4.3</v>
      </c>
      <c r="AH328" s="29">
        <v>0.16</v>
      </c>
      <c r="AI328" s="29">
        <v>3.8</v>
      </c>
      <c r="AJ328" s="29">
        <v>3.5</v>
      </c>
      <c r="AK328" s="29">
        <v>4.0999999999999996</v>
      </c>
      <c r="AL328" s="29">
        <v>65.518500000000003</v>
      </c>
      <c r="AM328" s="29">
        <v>2.4</v>
      </c>
      <c r="AN328" s="29">
        <v>448</v>
      </c>
      <c r="AO328" s="29">
        <v>0</v>
      </c>
      <c r="AP328" s="29">
        <v>96.283199999999994</v>
      </c>
      <c r="AQ328" s="29">
        <v>89.608900000000006</v>
      </c>
      <c r="AR328" s="29">
        <v>95.199600000000004</v>
      </c>
      <c r="AS328" s="29">
        <v>70.258099999999999</v>
      </c>
      <c r="AT328" s="29">
        <v>79.471800000000002</v>
      </c>
      <c r="AU328" s="29">
        <v>8.8446999999999996</v>
      </c>
      <c r="AV328" s="31">
        <v>87.142899999999997</v>
      </c>
      <c r="AW328" s="29">
        <v>0.4</v>
      </c>
      <c r="AX328" s="29"/>
      <c r="AY328" s="29">
        <v>1</v>
      </c>
      <c r="AZ328" s="29">
        <v>8</v>
      </c>
      <c r="BA328" s="29">
        <v>76.001900000000006</v>
      </c>
      <c r="BB328" s="29">
        <v>15.662699999999999</v>
      </c>
      <c r="BC328" s="29">
        <v>6.7603</v>
      </c>
      <c r="BD328" s="31">
        <v>9.3360000000000003</v>
      </c>
      <c r="BE328" s="31">
        <v>95.192300000000003</v>
      </c>
      <c r="BF328" s="29">
        <v>25.573399999999999</v>
      </c>
      <c r="BG328" s="29">
        <v>8.8000000000000007</v>
      </c>
      <c r="BH328" s="32">
        <v>1.518</v>
      </c>
      <c r="BI328" s="32">
        <v>5290.9507000000003</v>
      </c>
      <c r="BJ328" s="31">
        <v>92.788499999999999</v>
      </c>
      <c r="BK328" s="29">
        <v>0.99570000000000003</v>
      </c>
      <c r="BL328" s="29">
        <v>1.0074000000000001</v>
      </c>
      <c r="BM328" s="29">
        <v>1.0264</v>
      </c>
      <c r="BN328" s="29">
        <v>5</v>
      </c>
      <c r="BO328" s="29">
        <v>15.287000000000001</v>
      </c>
      <c r="BP328" s="29">
        <v>10.88</v>
      </c>
      <c r="BQ328" s="31">
        <v>96.254099999999994</v>
      </c>
      <c r="BR328" s="29">
        <v>66.894400000000005</v>
      </c>
      <c r="BS328" s="32">
        <v>11.858000000000001</v>
      </c>
      <c r="BT328" s="32">
        <v>11.858000000000001</v>
      </c>
      <c r="BU328" s="32">
        <v>23.416</v>
      </c>
      <c r="BV328" s="32">
        <v>23.416</v>
      </c>
      <c r="BW328" s="31">
        <v>92.610799999999998</v>
      </c>
      <c r="BX328" s="29">
        <v>30.42</v>
      </c>
      <c r="BY328" s="33">
        <v>8813000</v>
      </c>
      <c r="BZ328" s="33">
        <v>29166382</v>
      </c>
      <c r="CA328" s="34">
        <f t="shared" si="25"/>
        <v>3.3094725972994441</v>
      </c>
      <c r="CB328" s="29">
        <v>4657740</v>
      </c>
      <c r="CC328" s="35">
        <f t="shared" si="26"/>
        <v>6.2619171529540081</v>
      </c>
      <c r="CD328" s="35">
        <f t="shared" si="27"/>
        <v>1.8921193540214782</v>
      </c>
      <c r="CE328" s="29">
        <v>69947</v>
      </c>
      <c r="CF328" s="35">
        <f t="shared" si="28"/>
        <v>125.99539651450384</v>
      </c>
      <c r="CG328" s="35">
        <f t="shared" si="29"/>
        <v>416.97831215062831</v>
      </c>
      <c r="CH328" s="29">
        <v>100.21862</v>
      </c>
    </row>
    <row r="329" spans="1:86" ht="15.5" x14ac:dyDescent="0.35">
      <c r="A329" s="29" t="s">
        <v>99</v>
      </c>
      <c r="B329" s="29">
        <v>2015</v>
      </c>
      <c r="C329" s="30">
        <v>52.5047</v>
      </c>
      <c r="D329" s="29">
        <v>66750.899999999994</v>
      </c>
      <c r="E329" s="29">
        <v>9.8799999999999999E-2</v>
      </c>
      <c r="F329" s="29">
        <v>8.0061999999999998</v>
      </c>
      <c r="G329" s="29">
        <v>58400</v>
      </c>
      <c r="H329" s="29">
        <v>10</v>
      </c>
      <c r="I329" s="31">
        <v>99.983000000000004</v>
      </c>
      <c r="J329" s="31">
        <v>100</v>
      </c>
      <c r="K329" s="31">
        <v>2.79</v>
      </c>
      <c r="L329" s="31">
        <v>92.381</v>
      </c>
      <c r="M329" s="31">
        <v>18547000000</v>
      </c>
      <c r="N329" s="31">
        <v>100</v>
      </c>
      <c r="O329" s="29">
        <v>30.885000000000002</v>
      </c>
      <c r="P329" s="29">
        <v>27.846299999999999</v>
      </c>
      <c r="Q329" s="31">
        <v>64154.625999999997</v>
      </c>
      <c r="R329" s="31">
        <v>64311.823499999999</v>
      </c>
      <c r="S329" s="31">
        <v>23.4437</v>
      </c>
      <c r="T329" s="31">
        <v>81053.352700000003</v>
      </c>
      <c r="U329" s="31">
        <v>71607.4568</v>
      </c>
      <c r="V329" s="29">
        <v>31.8</v>
      </c>
      <c r="W329" s="31">
        <v>90.952399999999997</v>
      </c>
      <c r="X329" s="29">
        <v>95</v>
      </c>
      <c r="Y329" s="29">
        <v>95</v>
      </c>
      <c r="Z329" s="29">
        <v>93</v>
      </c>
      <c r="AA329" s="29">
        <v>3.2</v>
      </c>
      <c r="AB329" s="29">
        <v>83.5</v>
      </c>
      <c r="AC329" s="29">
        <v>81.453699999999998</v>
      </c>
      <c r="AD329" s="29">
        <v>98.851900000000001</v>
      </c>
      <c r="AE329" s="29">
        <v>5</v>
      </c>
      <c r="AF329" s="29">
        <v>95.758499999999998</v>
      </c>
      <c r="AG329" s="29">
        <v>3.6</v>
      </c>
      <c r="AH329" s="29">
        <v>0.36</v>
      </c>
      <c r="AI329" s="29">
        <v>3.7</v>
      </c>
      <c r="AJ329" s="29">
        <v>3.4</v>
      </c>
      <c r="AK329" s="29">
        <v>3.9</v>
      </c>
      <c r="AL329" s="29">
        <v>65.958200000000005</v>
      </c>
      <c r="AM329" s="29">
        <v>2.4</v>
      </c>
      <c r="AN329" s="29">
        <v>13376</v>
      </c>
      <c r="AO329" s="29">
        <v>0</v>
      </c>
      <c r="AP329" s="29">
        <v>96.215000000000003</v>
      </c>
      <c r="AQ329" s="29">
        <v>89.539000000000001</v>
      </c>
      <c r="AR329" s="29">
        <v>95.2881</v>
      </c>
      <c r="AS329" s="29">
        <v>70.690200000000004</v>
      </c>
      <c r="AT329" s="29">
        <v>81.834500000000006</v>
      </c>
      <c r="AU329" s="29">
        <v>8.8116000000000003</v>
      </c>
      <c r="AV329" s="31">
        <v>77.619</v>
      </c>
      <c r="AW329" s="29">
        <v>0.4</v>
      </c>
      <c r="AX329" s="29"/>
      <c r="AY329" s="29">
        <v>1</v>
      </c>
      <c r="AZ329" s="29">
        <v>8</v>
      </c>
      <c r="BA329" s="29">
        <v>77.659599999999998</v>
      </c>
      <c r="BB329" s="29">
        <v>16.2651</v>
      </c>
      <c r="BC329" s="29">
        <v>5.2561</v>
      </c>
      <c r="BD329" s="31">
        <v>24.616</v>
      </c>
      <c r="BE329" s="31">
        <v>97.619</v>
      </c>
      <c r="BF329" s="29">
        <v>28.707799999999999</v>
      </c>
      <c r="BG329" s="29">
        <v>9.5</v>
      </c>
      <c r="BH329" s="32">
        <v>1.1797</v>
      </c>
      <c r="BI329" s="32">
        <v>5242.0663999999997</v>
      </c>
      <c r="BJ329" s="31">
        <v>92.857100000000003</v>
      </c>
      <c r="BK329" s="29">
        <v>0.996</v>
      </c>
      <c r="BL329" s="29">
        <v>1.0085</v>
      </c>
      <c r="BM329" s="29">
        <v>1.0281</v>
      </c>
      <c r="BN329" s="29">
        <v>5</v>
      </c>
      <c r="BO329" s="29">
        <v>14.292999999999999</v>
      </c>
      <c r="BP329" s="29">
        <v>9.43</v>
      </c>
      <c r="BQ329" s="31">
        <v>100</v>
      </c>
      <c r="BR329" s="29">
        <v>71.882000000000005</v>
      </c>
      <c r="BS329" s="32">
        <v>9.9079999999999995</v>
      </c>
      <c r="BT329" s="32">
        <v>9.9079999999999995</v>
      </c>
      <c r="BU329" s="32">
        <v>20.234999999999999</v>
      </c>
      <c r="BV329" s="32">
        <v>20.228999999999999</v>
      </c>
      <c r="BW329" s="31">
        <v>92.610799999999998</v>
      </c>
      <c r="BX329" s="29">
        <v>26.98</v>
      </c>
      <c r="BY329" s="33">
        <v>9528000</v>
      </c>
      <c r="BZ329" s="33">
        <v>29710054</v>
      </c>
      <c r="CA329" s="34">
        <f t="shared" si="25"/>
        <v>3.1181836691855582</v>
      </c>
      <c r="CB329" s="29">
        <v>4701957</v>
      </c>
      <c r="CC329" s="35">
        <f t="shared" si="26"/>
        <v>6.3186571038399544</v>
      </c>
      <c r="CD329" s="35">
        <f t="shared" si="27"/>
        <v>2.0263902881289644</v>
      </c>
      <c r="CE329" s="29">
        <v>69947</v>
      </c>
      <c r="CF329" s="35">
        <f t="shared" si="28"/>
        <v>136.21742176219138</v>
      </c>
      <c r="CG329" s="35">
        <f t="shared" si="29"/>
        <v>424.7509399974266</v>
      </c>
      <c r="CH329" s="29">
        <v>100</v>
      </c>
    </row>
    <row r="330" spans="1:86" ht="15.5" x14ac:dyDescent="0.35">
      <c r="A330" s="29" t="s">
        <v>99</v>
      </c>
      <c r="B330" s="29">
        <v>2016</v>
      </c>
      <c r="C330" s="30">
        <v>52.777500000000003</v>
      </c>
      <c r="D330" s="29">
        <v>66397.62</v>
      </c>
      <c r="E330" s="29">
        <v>0.10249999999999999</v>
      </c>
      <c r="F330" s="29">
        <v>8.3110999999999997</v>
      </c>
      <c r="G330" s="29">
        <v>58400</v>
      </c>
      <c r="H330" s="29">
        <v>10</v>
      </c>
      <c r="I330" s="31">
        <v>99.8</v>
      </c>
      <c r="J330" s="31">
        <v>99.8</v>
      </c>
      <c r="K330" s="31">
        <v>2.9319999999999999</v>
      </c>
      <c r="L330" s="31">
        <v>92.381</v>
      </c>
      <c r="M330" s="31">
        <v>-3798000000</v>
      </c>
      <c r="N330" s="31">
        <v>106.08199999999999</v>
      </c>
      <c r="O330" s="29">
        <v>32.369</v>
      </c>
      <c r="P330" s="29">
        <v>28.614799999999999</v>
      </c>
      <c r="Q330" s="31">
        <v>63933.925000000003</v>
      </c>
      <c r="R330" s="31">
        <v>64367.406900000002</v>
      </c>
      <c r="S330" s="31">
        <v>8.6400000000000005E-2</v>
      </c>
      <c r="T330" s="31">
        <v>81123.405499999993</v>
      </c>
      <c r="U330" s="31">
        <v>73126.238899999997</v>
      </c>
      <c r="V330" s="29">
        <v>32.799999999999997</v>
      </c>
      <c r="W330" s="31">
        <v>88.095200000000006</v>
      </c>
      <c r="X330" s="29">
        <v>95</v>
      </c>
      <c r="Y330" s="29">
        <v>95</v>
      </c>
      <c r="Z330" s="29">
        <v>92</v>
      </c>
      <c r="AA330" s="29">
        <v>3.1</v>
      </c>
      <c r="AB330" s="29">
        <v>83.5</v>
      </c>
      <c r="AC330" s="29">
        <v>81.653700000000001</v>
      </c>
      <c r="AD330" s="29">
        <v>99.402199999999993</v>
      </c>
      <c r="AE330" s="29">
        <v>4</v>
      </c>
      <c r="AF330" s="29">
        <v>96.124799999999993</v>
      </c>
      <c r="AG330" s="29">
        <v>4.0999999999999996</v>
      </c>
      <c r="AH330" s="29">
        <v>0.23</v>
      </c>
      <c r="AI330" s="29">
        <v>3.6</v>
      </c>
      <c r="AJ330" s="29">
        <v>3.3</v>
      </c>
      <c r="AK330" s="29">
        <v>3.8</v>
      </c>
      <c r="AL330" s="29">
        <v>65.0107</v>
      </c>
      <c r="AM330" s="29">
        <v>2.2999999999999998</v>
      </c>
      <c r="AN330" s="29">
        <v>18967</v>
      </c>
      <c r="AO330" s="29">
        <v>0</v>
      </c>
      <c r="AP330" s="29">
        <v>96.1464</v>
      </c>
      <c r="AQ330" s="29">
        <v>89.468500000000006</v>
      </c>
      <c r="AR330" s="29">
        <v>95.376099999999994</v>
      </c>
      <c r="AS330" s="29">
        <v>71.023600000000002</v>
      </c>
      <c r="AT330" s="29">
        <v>83.752899999999997</v>
      </c>
      <c r="AU330" s="29">
        <v>8.1102000000000007</v>
      </c>
      <c r="AV330" s="31">
        <v>73.333299999999994</v>
      </c>
      <c r="AW330" s="29">
        <v>0.1</v>
      </c>
      <c r="AX330" s="29"/>
      <c r="AY330" s="29">
        <v>1</v>
      </c>
      <c r="AZ330" s="29">
        <v>8</v>
      </c>
      <c r="BA330" s="29">
        <v>79.009500000000003</v>
      </c>
      <c r="BB330" s="29">
        <v>22.151900000000001</v>
      </c>
      <c r="BC330" s="29">
        <v>5.4219999999999997</v>
      </c>
      <c r="BD330" s="31">
        <v>1.2230000000000001</v>
      </c>
      <c r="BE330" s="31">
        <v>94.761899999999997</v>
      </c>
      <c r="BF330" s="29">
        <v>25.582100000000001</v>
      </c>
      <c r="BG330" s="29">
        <v>8.6</v>
      </c>
      <c r="BH330" s="32">
        <v>1.1772</v>
      </c>
      <c r="BI330" s="32">
        <v>5143.8554999999997</v>
      </c>
      <c r="BJ330" s="31">
        <v>89.047600000000003</v>
      </c>
      <c r="BK330" s="29">
        <v>0.99429999999999996</v>
      </c>
      <c r="BL330" s="29">
        <v>1.0068999999999999</v>
      </c>
      <c r="BM330" s="29">
        <v>1.0267999999999999</v>
      </c>
      <c r="BN330" s="29">
        <v>5</v>
      </c>
      <c r="BO330" s="29">
        <v>12.629</v>
      </c>
      <c r="BP330" s="29">
        <v>9.6300000000000008</v>
      </c>
      <c r="BQ330" s="31">
        <v>101.2124</v>
      </c>
      <c r="BR330" s="29">
        <v>76.537099999999995</v>
      </c>
      <c r="BS330" s="32">
        <v>8.3740000000000006</v>
      </c>
      <c r="BT330" s="32">
        <v>8.3740000000000006</v>
      </c>
      <c r="BU330" s="32">
        <v>16.797000000000001</v>
      </c>
      <c r="BV330" s="32">
        <v>16.8</v>
      </c>
      <c r="BW330" s="31">
        <v>92.610799999999998</v>
      </c>
      <c r="BX330" s="29">
        <v>29.47</v>
      </c>
      <c r="BY330" s="33">
        <v>10100000</v>
      </c>
      <c r="BZ330" s="33">
        <v>31105668</v>
      </c>
      <c r="CA330" s="34">
        <f t="shared" si="25"/>
        <v>3.0797691089108912</v>
      </c>
      <c r="CB330" s="29">
        <v>4755335</v>
      </c>
      <c r="CC330" s="35">
        <f t="shared" si="26"/>
        <v>6.5412148670913828</v>
      </c>
      <c r="CD330" s="35">
        <f t="shared" si="27"/>
        <v>2.1239302804113693</v>
      </c>
      <c r="CE330" s="29">
        <v>69947</v>
      </c>
      <c r="CF330" s="35">
        <f t="shared" si="28"/>
        <v>144.39504196034139</v>
      </c>
      <c r="CG330" s="35">
        <f t="shared" si="29"/>
        <v>444.70338970935137</v>
      </c>
      <c r="CH330" s="29">
        <v>99.586770000000001</v>
      </c>
    </row>
    <row r="331" spans="1:86" ht="15.5" x14ac:dyDescent="0.35">
      <c r="A331" s="29" t="s">
        <v>99</v>
      </c>
      <c r="B331" s="29">
        <v>2017</v>
      </c>
      <c r="C331" s="30">
        <v>52.941600000000001</v>
      </c>
      <c r="D331" s="29">
        <v>63441.53</v>
      </c>
      <c r="E331" s="29">
        <v>9.0200000000000002E-2</v>
      </c>
      <c r="F331" s="29">
        <v>7.9650999999999996</v>
      </c>
      <c r="G331" s="29">
        <v>58400</v>
      </c>
      <c r="H331" s="29">
        <v>10</v>
      </c>
      <c r="I331" s="31">
        <v>100.05800000000001</v>
      </c>
      <c r="J331" s="31">
        <v>100.3</v>
      </c>
      <c r="K331" s="31">
        <v>3.3260000000000001</v>
      </c>
      <c r="L331" s="31">
        <v>91.428600000000003</v>
      </c>
      <c r="M331" s="31">
        <v>3983000000</v>
      </c>
      <c r="N331" s="31">
        <v>111.34699999999999</v>
      </c>
      <c r="O331" s="29">
        <v>31.902000000000001</v>
      </c>
      <c r="P331" s="29">
        <v>29.079499999999999</v>
      </c>
      <c r="Q331" s="31">
        <v>71869.426999999996</v>
      </c>
      <c r="R331" s="31">
        <v>70069.099600000001</v>
      </c>
      <c r="S331" s="31">
        <v>8.8580000000000005</v>
      </c>
      <c r="T331" s="31">
        <v>88309.351800000004</v>
      </c>
      <c r="U331" s="31">
        <v>80786.001499999998</v>
      </c>
      <c r="V331" s="29">
        <v>31.4</v>
      </c>
      <c r="W331" s="31">
        <v>86.1905</v>
      </c>
      <c r="X331" s="29">
        <v>95</v>
      </c>
      <c r="Y331" s="29">
        <v>95</v>
      </c>
      <c r="Z331" s="29">
        <v>92</v>
      </c>
      <c r="AA331" s="29">
        <v>3</v>
      </c>
      <c r="AB331" s="29">
        <v>84.1</v>
      </c>
      <c r="AC331" s="29">
        <v>82.156099999999995</v>
      </c>
      <c r="AD331" s="29">
        <v>100.1122</v>
      </c>
      <c r="AE331" s="29">
        <v>4</v>
      </c>
      <c r="AF331" s="29">
        <v>96.263800000000003</v>
      </c>
      <c r="AG331" s="29">
        <v>3.4</v>
      </c>
      <c r="AH331" s="29">
        <v>0.22</v>
      </c>
      <c r="AI331" s="29">
        <v>3.5</v>
      </c>
      <c r="AJ331" s="29">
        <v>3.2</v>
      </c>
      <c r="AK331" s="29">
        <v>3.7</v>
      </c>
      <c r="AL331" s="29">
        <v>64.823599999999999</v>
      </c>
      <c r="AM331" s="29">
        <v>2.2999999999999998</v>
      </c>
      <c r="AN331" s="29">
        <v>28883</v>
      </c>
      <c r="AO331" s="29">
        <v>0</v>
      </c>
      <c r="AP331" s="29">
        <v>96.077399999999997</v>
      </c>
      <c r="AQ331" s="29">
        <v>89.396600000000007</v>
      </c>
      <c r="AR331" s="29">
        <v>95.463499999999996</v>
      </c>
      <c r="AS331" s="29">
        <v>70.936099999999996</v>
      </c>
      <c r="AT331" s="29">
        <v>83.924199999999999</v>
      </c>
      <c r="AU331" s="29">
        <v>8.3842999999999996</v>
      </c>
      <c r="AV331" s="31">
        <v>84.285700000000006</v>
      </c>
      <c r="AW331" s="29">
        <v>0.2</v>
      </c>
      <c r="AX331" s="29"/>
      <c r="AY331" s="29">
        <v>5</v>
      </c>
      <c r="AZ331" s="29">
        <v>8</v>
      </c>
      <c r="BA331" s="29">
        <v>79.111699999999999</v>
      </c>
      <c r="BB331" s="29">
        <v>22.151900000000001</v>
      </c>
      <c r="BC331" s="29">
        <v>5.1872999999999996</v>
      </c>
      <c r="BD331" s="31">
        <v>10.048999999999999</v>
      </c>
      <c r="BE331" s="31">
        <v>91.904799999999994</v>
      </c>
      <c r="BF331" s="29">
        <v>29.4297</v>
      </c>
      <c r="BG331" s="29">
        <v>10.1</v>
      </c>
      <c r="BH331" s="32">
        <v>1.2486999999999999</v>
      </c>
      <c r="BI331" s="32">
        <v>5114.1943000000001</v>
      </c>
      <c r="BJ331" s="31">
        <v>88.095200000000006</v>
      </c>
      <c r="BK331" s="29">
        <v>0.99690000000000001</v>
      </c>
      <c r="BL331" s="29">
        <v>0.9919</v>
      </c>
      <c r="BM331" s="29">
        <v>0.98429999999999995</v>
      </c>
      <c r="BN331" s="29">
        <v>5</v>
      </c>
      <c r="BO331" s="29">
        <v>10.978999999999999</v>
      </c>
      <c r="BP331" s="29">
        <v>8.4700000000000006</v>
      </c>
      <c r="BQ331" s="31">
        <v>98.648300000000006</v>
      </c>
      <c r="BR331" s="29">
        <v>80.548199999999994</v>
      </c>
      <c r="BS331" s="32">
        <v>6.7130000000000001</v>
      </c>
      <c r="BT331" s="32">
        <v>6.7130000000000001</v>
      </c>
      <c r="BU331" s="32">
        <v>14.401999999999999</v>
      </c>
      <c r="BV331" s="32">
        <v>14.409000000000001</v>
      </c>
      <c r="BW331" s="31">
        <v>90.6404</v>
      </c>
      <c r="BX331" s="29">
        <v>26.44</v>
      </c>
      <c r="BY331" s="33">
        <v>10338000</v>
      </c>
      <c r="BZ331" s="36">
        <v>35071345</v>
      </c>
      <c r="CA331" s="34">
        <f t="shared" si="25"/>
        <v>3.3924690462371832</v>
      </c>
      <c r="CB331" s="29">
        <v>4807388</v>
      </c>
      <c r="CC331" s="35">
        <f t="shared" si="26"/>
        <v>7.2953015234052252</v>
      </c>
      <c r="CD331" s="35">
        <f t="shared" si="27"/>
        <v>2.1504401142574721</v>
      </c>
      <c r="CE331" s="29">
        <v>69947</v>
      </c>
      <c r="CF331" s="35">
        <f t="shared" si="28"/>
        <v>147.7976181966346</v>
      </c>
      <c r="CG331" s="35">
        <f t="shared" si="29"/>
        <v>501.39884483966432</v>
      </c>
      <c r="CH331" s="29">
        <v>98.190020000000004</v>
      </c>
    </row>
    <row r="332" spans="1:86" ht="15.5" x14ac:dyDescent="0.35">
      <c r="A332" s="29" t="s">
        <v>99</v>
      </c>
      <c r="B332" s="29">
        <v>2018</v>
      </c>
      <c r="C332" s="30">
        <v>53.028700000000001</v>
      </c>
      <c r="D332" s="29">
        <v>64544.32</v>
      </c>
      <c r="E332" s="29">
        <v>8.14E-2</v>
      </c>
      <c r="F332" s="29">
        <v>7.6365999999999996</v>
      </c>
      <c r="G332" s="29">
        <v>58400</v>
      </c>
      <c r="H332" s="29">
        <v>10</v>
      </c>
      <c r="I332" s="31">
        <v>100.758</v>
      </c>
      <c r="J332" s="31">
        <v>101</v>
      </c>
      <c r="K332" s="31">
        <v>3.5790000000000002</v>
      </c>
      <c r="L332" s="31">
        <v>90.476200000000006</v>
      </c>
      <c r="M332" s="31">
        <v>16977000000</v>
      </c>
      <c r="N332" s="31">
        <v>133.5866</v>
      </c>
      <c r="O332" s="29">
        <v>33.527999999999999</v>
      </c>
      <c r="P332" s="29">
        <v>29.351299999999998</v>
      </c>
      <c r="Q332" s="31">
        <v>80411.7</v>
      </c>
      <c r="R332" s="31">
        <v>74427.552100000001</v>
      </c>
      <c r="S332" s="31">
        <v>6.2202000000000002</v>
      </c>
      <c r="T332" s="31">
        <v>93802.388200000001</v>
      </c>
      <c r="U332" s="31">
        <v>86843.770900000003</v>
      </c>
      <c r="V332" s="29">
        <v>30.6</v>
      </c>
      <c r="W332" s="31">
        <v>89.047600000000003</v>
      </c>
      <c r="X332" s="29">
        <v>94</v>
      </c>
      <c r="Y332" s="29">
        <v>94</v>
      </c>
      <c r="Z332" s="29">
        <v>92</v>
      </c>
      <c r="AA332" s="29">
        <v>3</v>
      </c>
      <c r="AB332" s="29">
        <v>87</v>
      </c>
      <c r="AC332" s="29">
        <v>82.204899999999995</v>
      </c>
      <c r="AD332" s="29">
        <v>99.057599999999994</v>
      </c>
      <c r="AE332" s="29">
        <v>5</v>
      </c>
      <c r="AF332" s="29">
        <v>96.316100000000006</v>
      </c>
      <c r="AG332" s="29">
        <v>3</v>
      </c>
      <c r="AH332" s="29">
        <v>0.19</v>
      </c>
      <c r="AI332" s="29">
        <v>3.4</v>
      </c>
      <c r="AJ332" s="29">
        <v>3.2</v>
      </c>
      <c r="AK332" s="29">
        <v>3.7</v>
      </c>
      <c r="AL332" s="29">
        <v>64.681100000000001</v>
      </c>
      <c r="AM332" s="29">
        <v>2.2999999999999998</v>
      </c>
      <c r="AN332" s="29">
        <v>33387</v>
      </c>
      <c r="AO332" s="29">
        <v>0</v>
      </c>
      <c r="AP332" s="29">
        <v>96.007900000000006</v>
      </c>
      <c r="AQ332" s="29">
        <v>89.323300000000003</v>
      </c>
      <c r="AR332" s="29">
        <v>95.5501</v>
      </c>
      <c r="AS332" s="29">
        <v>70.850899999999996</v>
      </c>
      <c r="AT332" s="29">
        <v>84.094899999999996</v>
      </c>
      <c r="AU332" s="29">
        <v>8.2986000000000004</v>
      </c>
      <c r="AV332" s="31">
        <v>85.849100000000007</v>
      </c>
      <c r="AW332" s="29">
        <v>0</v>
      </c>
      <c r="AX332" s="29"/>
      <c r="AY332" s="29">
        <v>5</v>
      </c>
      <c r="AZ332" s="29">
        <v>8</v>
      </c>
      <c r="BA332" s="29">
        <v>79.217100000000002</v>
      </c>
      <c r="BB332" s="29">
        <v>22.151900000000001</v>
      </c>
      <c r="BC332" s="29">
        <v>4.7298</v>
      </c>
      <c r="BD332" s="31">
        <v>7.5449999999999999</v>
      </c>
      <c r="BE332" s="31">
        <v>93.333299999999994</v>
      </c>
      <c r="BF332" s="29">
        <v>33.5381</v>
      </c>
      <c r="BG332" s="29">
        <v>10.8</v>
      </c>
      <c r="BH332" s="32">
        <v>1.107</v>
      </c>
      <c r="BI332" s="32">
        <v>4656.7768999999998</v>
      </c>
      <c r="BJ332" s="31">
        <v>88.571399999999997</v>
      </c>
      <c r="BK332" s="29">
        <v>0.99490000000000001</v>
      </c>
      <c r="BL332" s="29">
        <v>1.0602</v>
      </c>
      <c r="BM332" s="29">
        <v>1.1405000000000001</v>
      </c>
      <c r="BN332" s="29">
        <v>5</v>
      </c>
      <c r="BO332" s="29">
        <v>10.113</v>
      </c>
      <c r="BP332" s="29">
        <v>9.2899999999999991</v>
      </c>
      <c r="BQ332" s="31">
        <v>94.320499999999996</v>
      </c>
      <c r="BR332" s="29">
        <v>82.306600000000003</v>
      </c>
      <c r="BS332" s="32">
        <v>5.7409999999999997</v>
      </c>
      <c r="BT332" s="32">
        <v>5.7409999999999997</v>
      </c>
      <c r="BU332" s="32">
        <v>13.756</v>
      </c>
      <c r="BV332" s="32">
        <v>13.754</v>
      </c>
      <c r="BW332" s="31">
        <v>91.747600000000006</v>
      </c>
      <c r="BX332" s="29">
        <v>22.45</v>
      </c>
      <c r="BY332" s="33">
        <v>10926000</v>
      </c>
      <c r="BZ332" s="33">
        <v>35071345</v>
      </c>
      <c r="CA332" s="34">
        <f t="shared" si="25"/>
        <v>3.2098979498444078</v>
      </c>
      <c r="CB332" s="29">
        <v>4867316</v>
      </c>
      <c r="CC332" s="35">
        <f t="shared" si="26"/>
        <v>7.2054793648080375</v>
      </c>
      <c r="CD332" s="35">
        <f t="shared" si="27"/>
        <v>2.2447689856175352</v>
      </c>
      <c r="CE332" s="29">
        <v>69947</v>
      </c>
      <c r="CF332" s="35">
        <f t="shared" si="28"/>
        <v>156.20398301571188</v>
      </c>
      <c r="CG332" s="35">
        <f t="shared" si="29"/>
        <v>501.39884483966432</v>
      </c>
      <c r="CH332" s="29">
        <v>97.305080000000004</v>
      </c>
    </row>
    <row r="333" spans="1:86" ht="15.5" x14ac:dyDescent="0.35">
      <c r="A333" s="29" t="s">
        <v>99</v>
      </c>
      <c r="B333" s="29">
        <v>2019</v>
      </c>
      <c r="C333" s="30">
        <v>53.037199999999999</v>
      </c>
      <c r="D333" s="29">
        <v>63333.39</v>
      </c>
      <c r="E333" s="29">
        <v>7.3899999999999993E-2</v>
      </c>
      <c r="F333" s="29">
        <v>7.1780999999999997</v>
      </c>
      <c r="G333" s="29">
        <v>58400</v>
      </c>
      <c r="H333" s="29">
        <v>10</v>
      </c>
      <c r="I333" s="31">
        <v>101.65</v>
      </c>
      <c r="J333" s="31">
        <v>102.1</v>
      </c>
      <c r="K333" s="31">
        <v>3.831</v>
      </c>
      <c r="L333" s="31">
        <v>90</v>
      </c>
      <c r="M333" s="31">
        <v>-84382000000</v>
      </c>
      <c r="N333" s="31">
        <v>137.5025</v>
      </c>
      <c r="O333" s="29">
        <v>31.262</v>
      </c>
      <c r="P333" s="29">
        <v>29.645299999999999</v>
      </c>
      <c r="Q333" s="31">
        <v>81504.873999999996</v>
      </c>
      <c r="R333" s="31">
        <v>77117.189799999993</v>
      </c>
      <c r="S333" s="31">
        <v>3.6137999999999999</v>
      </c>
      <c r="T333" s="31">
        <v>97192.1872</v>
      </c>
      <c r="U333" s="31">
        <v>92808.037899999996</v>
      </c>
      <c r="V333" s="29">
        <v>30.8</v>
      </c>
      <c r="W333" s="31">
        <v>85.714299999999994</v>
      </c>
      <c r="X333" s="29">
        <v>94</v>
      </c>
      <c r="Y333" s="29">
        <v>93</v>
      </c>
      <c r="Z333" s="29">
        <v>91</v>
      </c>
      <c r="AA333" s="29">
        <v>3</v>
      </c>
      <c r="AB333" s="29">
        <v>87</v>
      </c>
      <c r="AC333" s="29">
        <v>82.702399999999997</v>
      </c>
      <c r="AD333" s="29">
        <v>101.17489999999999</v>
      </c>
      <c r="AE333" s="29">
        <v>4</v>
      </c>
      <c r="AF333" s="29">
        <v>96.344999999999999</v>
      </c>
      <c r="AG333" s="29">
        <v>3.1</v>
      </c>
      <c r="AH333" s="29">
        <v>0.23</v>
      </c>
      <c r="AI333" s="29">
        <v>3.4</v>
      </c>
      <c r="AJ333" s="29">
        <v>3.2</v>
      </c>
      <c r="AK333" s="29">
        <v>3.7</v>
      </c>
      <c r="AL333" s="29">
        <v>64.119399999999999</v>
      </c>
      <c r="AM333" s="29">
        <v>2.2999999999999998</v>
      </c>
      <c r="AN333" s="29">
        <v>29663</v>
      </c>
      <c r="AO333" s="29">
        <v>0</v>
      </c>
      <c r="AP333" s="29">
        <v>96.004099999999994</v>
      </c>
      <c r="AQ333" s="29">
        <v>89.307400000000001</v>
      </c>
      <c r="AR333" s="29">
        <v>95.701899999999995</v>
      </c>
      <c r="AS333" s="29">
        <v>70.840699999999998</v>
      </c>
      <c r="AT333" s="29">
        <v>84.345500000000001</v>
      </c>
      <c r="AU333" s="29">
        <v>7.8924000000000003</v>
      </c>
      <c r="AV333" s="31">
        <v>80.660399999999996</v>
      </c>
      <c r="AW333" s="29">
        <v>0.1</v>
      </c>
      <c r="AX333" s="29">
        <v>13.8</v>
      </c>
      <c r="AY333" s="29">
        <v>5</v>
      </c>
      <c r="AZ333" s="29">
        <v>8</v>
      </c>
      <c r="BA333" s="29">
        <v>79.403400000000005</v>
      </c>
      <c r="BB333" s="29">
        <v>22.151900000000001</v>
      </c>
      <c r="BC333" s="29">
        <v>4.9862000000000002</v>
      </c>
      <c r="BD333" s="31">
        <v>5.0410000000000004</v>
      </c>
      <c r="BE333" s="31">
        <v>93.333299999999994</v>
      </c>
      <c r="BF333" s="29">
        <v>38.913499999999999</v>
      </c>
      <c r="BG333" s="29">
        <v>12.3</v>
      </c>
      <c r="BH333" s="32">
        <v>1.1607000000000001</v>
      </c>
      <c r="BI333" s="32">
        <v>4961.4390000000003</v>
      </c>
      <c r="BJ333" s="31">
        <v>88.095200000000006</v>
      </c>
      <c r="BK333" s="29">
        <v>0.999</v>
      </c>
      <c r="BL333" s="29">
        <v>1.0401</v>
      </c>
      <c r="BM333" s="29">
        <v>1.0952</v>
      </c>
      <c r="BN333" s="29">
        <v>5</v>
      </c>
      <c r="BO333" s="29">
        <v>10.182</v>
      </c>
      <c r="BP333" s="29">
        <v>8.07</v>
      </c>
      <c r="BQ333" s="31">
        <v>95.784400000000005</v>
      </c>
      <c r="BR333" s="29">
        <v>84.151799999999994</v>
      </c>
      <c r="BS333" s="32">
        <v>4.95</v>
      </c>
      <c r="BT333" s="32">
        <v>4.95</v>
      </c>
      <c r="BU333" s="32">
        <v>12.457000000000001</v>
      </c>
      <c r="BV333" s="32">
        <v>12.458</v>
      </c>
      <c r="BW333" s="31">
        <v>93.236699999999999</v>
      </c>
      <c r="BX333" s="29">
        <v>26.13</v>
      </c>
      <c r="BY333" s="33">
        <v>10951000</v>
      </c>
      <c r="BZ333" s="33">
        <v>32580794</v>
      </c>
      <c r="CA333" s="34">
        <f t="shared" si="25"/>
        <v>2.9751432745867956</v>
      </c>
      <c r="CB333" s="29">
        <v>4934340</v>
      </c>
      <c r="CC333" s="35">
        <f t="shared" si="26"/>
        <v>6.6028676580859855</v>
      </c>
      <c r="CD333" s="35">
        <f t="shared" si="27"/>
        <v>2.2193444310687953</v>
      </c>
      <c r="CE333" s="29">
        <v>69947</v>
      </c>
      <c r="CF333" s="35">
        <f t="shared" si="28"/>
        <v>156.56139648591076</v>
      </c>
      <c r="CG333" s="35">
        <f t="shared" si="29"/>
        <v>465.79258581497419</v>
      </c>
      <c r="CH333" s="29">
        <v>96.885620000000003</v>
      </c>
    </row>
    <row r="334" spans="1:86" ht="15.5" x14ac:dyDescent="0.35">
      <c r="A334" s="29" t="s">
        <v>99</v>
      </c>
      <c r="B334" s="29">
        <v>2020</v>
      </c>
      <c r="C334" s="30">
        <v>53.053600000000003</v>
      </c>
      <c r="D334" s="29">
        <v>62979.91</v>
      </c>
      <c r="E334" s="29">
        <v>6.5199999999999994E-2</v>
      </c>
      <c r="F334" s="29">
        <v>6.72</v>
      </c>
      <c r="G334" s="29">
        <v>58400</v>
      </c>
      <c r="H334" s="29">
        <v>10</v>
      </c>
      <c r="I334" s="31">
        <v>101.18300000000001</v>
      </c>
      <c r="J334" s="31">
        <v>101.1</v>
      </c>
      <c r="K334" s="31">
        <v>2.9140000000000001</v>
      </c>
      <c r="L334" s="31">
        <v>91.428600000000003</v>
      </c>
      <c r="M334" s="31">
        <v>-30841000000</v>
      </c>
      <c r="N334" s="31">
        <v>145.9973</v>
      </c>
      <c r="O334" s="29">
        <v>32.252000000000002</v>
      </c>
      <c r="P334" s="29">
        <v>30.435300000000002</v>
      </c>
      <c r="Q334" s="31">
        <v>86309.502999999997</v>
      </c>
      <c r="R334" s="31">
        <v>81791.093500000003</v>
      </c>
      <c r="S334" s="31">
        <v>6.0608000000000004</v>
      </c>
      <c r="T334" s="31">
        <v>103082.79240000001</v>
      </c>
      <c r="U334" s="31">
        <v>98866.419099999999</v>
      </c>
      <c r="V334" s="29">
        <v>29.2</v>
      </c>
      <c r="W334" s="31">
        <v>90</v>
      </c>
      <c r="X334" s="29">
        <v>94</v>
      </c>
      <c r="Y334" s="29">
        <v>94</v>
      </c>
      <c r="Z334" s="29">
        <v>92</v>
      </c>
      <c r="AA334" s="29">
        <v>3.1</v>
      </c>
      <c r="AB334" s="29">
        <v>92</v>
      </c>
      <c r="AC334" s="29">
        <v>82.456100000000006</v>
      </c>
      <c r="AD334" s="29">
        <v>100.3171</v>
      </c>
      <c r="AE334" s="29">
        <v>6</v>
      </c>
      <c r="AF334" s="29">
        <v>96.349299999999999</v>
      </c>
      <c r="AG334" s="29"/>
      <c r="AH334" s="29">
        <v>0.35</v>
      </c>
      <c r="AI334" s="29">
        <v>3.5</v>
      </c>
      <c r="AJ334" s="29">
        <v>3.2</v>
      </c>
      <c r="AK334" s="29">
        <v>3.7</v>
      </c>
      <c r="AL334" s="29">
        <v>64.327399999999997</v>
      </c>
      <c r="AM334" s="29">
        <v>2.2999999999999998</v>
      </c>
      <c r="AN334" s="29">
        <v>15746</v>
      </c>
      <c r="AO334" s="29">
        <v>0</v>
      </c>
      <c r="AP334" s="29">
        <v>96.000100000000003</v>
      </c>
      <c r="AQ334" s="29">
        <v>89.290700000000001</v>
      </c>
      <c r="AR334" s="29">
        <v>95.853499999999997</v>
      </c>
      <c r="AS334" s="29">
        <v>70.830500000000001</v>
      </c>
      <c r="AT334" s="29">
        <v>84.596100000000007</v>
      </c>
      <c r="AU334" s="29">
        <v>8.1706000000000003</v>
      </c>
      <c r="AV334" s="31">
        <v>80.188699999999997</v>
      </c>
      <c r="AW334" s="29">
        <v>0.1</v>
      </c>
      <c r="AX334" s="29">
        <v>12.9</v>
      </c>
      <c r="AY334" s="29">
        <v>5</v>
      </c>
      <c r="AZ334" s="29">
        <v>8</v>
      </c>
      <c r="BA334" s="29">
        <v>79.592699999999994</v>
      </c>
      <c r="BB334" s="29">
        <v>22.5</v>
      </c>
      <c r="BC334" s="29">
        <v>5.5118999999999998</v>
      </c>
      <c r="BD334" s="31">
        <v>7.1580000000000004</v>
      </c>
      <c r="BE334" s="31">
        <v>91.904799999999994</v>
      </c>
      <c r="BF334" s="29">
        <v>42.6417</v>
      </c>
      <c r="BG334" s="29">
        <v>13.7</v>
      </c>
      <c r="BH334" s="32">
        <v>1.1455</v>
      </c>
      <c r="BI334" s="32">
        <v>5196.1103999999996</v>
      </c>
      <c r="BJ334" s="31">
        <v>89.523799999999994</v>
      </c>
      <c r="BK334" s="29">
        <v>0.99650000000000005</v>
      </c>
      <c r="BL334" s="29">
        <v>1.0417000000000001</v>
      </c>
      <c r="BM334" s="29">
        <v>1.1026</v>
      </c>
      <c r="BN334" s="29">
        <v>5</v>
      </c>
      <c r="BO334" s="29">
        <v>12.103</v>
      </c>
      <c r="BP334" s="29">
        <v>8.6199999999999992</v>
      </c>
      <c r="BQ334" s="31">
        <v>93.865300000000005</v>
      </c>
      <c r="BR334" s="29">
        <v>84.151799999999994</v>
      </c>
      <c r="BS334" s="32">
        <v>5.6230000000000002</v>
      </c>
      <c r="BT334" s="32">
        <v>5.6230000000000002</v>
      </c>
      <c r="BU334" s="32">
        <v>15.263</v>
      </c>
      <c r="BV334" s="32">
        <v>15.262</v>
      </c>
      <c r="BW334" s="31">
        <v>95.1691</v>
      </c>
      <c r="BX334" s="29">
        <v>25.57</v>
      </c>
      <c r="BY334" s="33">
        <v>4824004</v>
      </c>
      <c r="BZ334" s="33">
        <v>16140254</v>
      </c>
      <c r="CA334" s="34">
        <f t="shared" si="25"/>
        <v>3.3458210233656525</v>
      </c>
      <c r="CB334" s="29">
        <v>4985382</v>
      </c>
      <c r="CC334" s="35">
        <f t="shared" si="26"/>
        <v>3.2375160017828124</v>
      </c>
      <c r="CD334" s="35">
        <f t="shared" si="27"/>
        <v>0.96762976237327447</v>
      </c>
      <c r="CE334" s="29">
        <v>69947</v>
      </c>
      <c r="CF334" s="35">
        <f t="shared" si="28"/>
        <v>68.966560395728195</v>
      </c>
      <c r="CG334" s="35">
        <f t="shared" si="29"/>
        <v>230.74976768124438</v>
      </c>
      <c r="CH334" s="29">
        <v>96.070800000000006</v>
      </c>
    </row>
    <row r="335" spans="1:86" ht="15.5" x14ac:dyDescent="0.35">
      <c r="A335" s="29" t="s">
        <v>99</v>
      </c>
      <c r="B335" s="29">
        <v>2021</v>
      </c>
      <c r="C335" s="30">
        <v>53.044800000000002</v>
      </c>
      <c r="D335" s="29">
        <v>62406.09</v>
      </c>
      <c r="E335" s="29">
        <v>5.9200000000000003E-2</v>
      </c>
      <c r="F335" s="29">
        <v>7.0297000000000001</v>
      </c>
      <c r="G335" s="29">
        <v>58400</v>
      </c>
      <c r="H335" s="29">
        <v>10</v>
      </c>
      <c r="I335" s="31">
        <v>103.625</v>
      </c>
      <c r="J335" s="31">
        <v>106.8</v>
      </c>
      <c r="K335" s="31">
        <v>6.2510000000000003</v>
      </c>
      <c r="L335" s="31">
        <v>92.857100000000003</v>
      </c>
      <c r="M335" s="31">
        <v>64676000000</v>
      </c>
      <c r="N335" s="31">
        <v>154.27799999999999</v>
      </c>
      <c r="O335" s="29">
        <v>34.155999999999999</v>
      </c>
      <c r="P335" s="29">
        <v>31.361599999999999</v>
      </c>
      <c r="Q335" s="31">
        <v>103766.935</v>
      </c>
      <c r="R335" s="31">
        <v>94184.037800000006</v>
      </c>
      <c r="S335" s="31">
        <v>15.151899999999999</v>
      </c>
      <c r="T335" s="31">
        <v>118701.844</v>
      </c>
      <c r="U335" s="31">
        <v>118701.844</v>
      </c>
      <c r="V335" s="29">
        <v>30.1</v>
      </c>
      <c r="W335" s="31">
        <v>91.428600000000003</v>
      </c>
      <c r="X335" s="29">
        <v>94</v>
      </c>
      <c r="Y335" s="29">
        <v>93</v>
      </c>
      <c r="Z335" s="29">
        <v>90</v>
      </c>
      <c r="AA335" s="29">
        <v>3.2</v>
      </c>
      <c r="AB335" s="29">
        <v>96.4</v>
      </c>
      <c r="AC335" s="29">
        <v>82.253699999999995</v>
      </c>
      <c r="AD335" s="29">
        <v>100.04770000000001</v>
      </c>
      <c r="AE335" s="29">
        <v>6</v>
      </c>
      <c r="AF335" s="29"/>
      <c r="AG335" s="29"/>
      <c r="AH335" s="29">
        <v>0.26</v>
      </c>
      <c r="AI335" s="29">
        <v>3.6</v>
      </c>
      <c r="AJ335" s="29">
        <v>3.3</v>
      </c>
      <c r="AK335" s="29">
        <v>3.8</v>
      </c>
      <c r="AL335" s="29">
        <v>64.394499999999994</v>
      </c>
      <c r="AM335" s="29">
        <v>2.4</v>
      </c>
      <c r="AN335" s="29">
        <v>27419</v>
      </c>
      <c r="AO335" s="29">
        <v>0</v>
      </c>
      <c r="AP335" s="29">
        <v>95.995800000000003</v>
      </c>
      <c r="AQ335" s="29">
        <v>89.273200000000003</v>
      </c>
      <c r="AR335" s="29">
        <v>95.995800000000003</v>
      </c>
      <c r="AS335" s="29">
        <v>70.820300000000003</v>
      </c>
      <c r="AT335" s="29">
        <v>84.846699999999998</v>
      </c>
      <c r="AU335" s="29"/>
      <c r="AV335" s="31">
        <v>75.943399999999997</v>
      </c>
      <c r="AW335" s="29">
        <v>0.1</v>
      </c>
      <c r="AX335" s="29">
        <v>14</v>
      </c>
      <c r="AY335" s="29">
        <v>5</v>
      </c>
      <c r="AZ335" s="29">
        <v>8</v>
      </c>
      <c r="BA335" s="29">
        <v>79.784899999999993</v>
      </c>
      <c r="BB335" s="29">
        <v>22.5</v>
      </c>
      <c r="BC335" s="29">
        <v>5.1052</v>
      </c>
      <c r="BD335" s="31">
        <v>16.254999999999999</v>
      </c>
      <c r="BE335" s="31">
        <v>93.333299999999994</v>
      </c>
      <c r="BF335" s="29">
        <v>37.3489</v>
      </c>
      <c r="BG335" s="29">
        <v>12.7</v>
      </c>
      <c r="BH335" s="32">
        <v>1.1106</v>
      </c>
      <c r="BI335" s="32">
        <v>5213.4315999999999</v>
      </c>
      <c r="BJ335" s="31">
        <v>90.476200000000006</v>
      </c>
      <c r="BK335" s="29"/>
      <c r="BL335" s="29"/>
      <c r="BM335" s="29"/>
      <c r="BN335" s="29">
        <v>5</v>
      </c>
      <c r="BO335" s="29">
        <v>7.2850000000000001</v>
      </c>
      <c r="BP335" s="29">
        <v>8.5500000000000007</v>
      </c>
      <c r="BQ335" s="31">
        <v>87.935199999999995</v>
      </c>
      <c r="BR335" s="29"/>
      <c r="BS335" s="32">
        <v>6.3639999999999999</v>
      </c>
      <c r="BT335" s="32">
        <v>6.3639999999999999</v>
      </c>
      <c r="BU335" s="32">
        <v>15.592000000000001</v>
      </c>
      <c r="BV335" s="32">
        <v>15.616</v>
      </c>
      <c r="BW335" s="31">
        <v>95.1691</v>
      </c>
      <c r="BX335" s="29">
        <v>19.260000000000002</v>
      </c>
      <c r="BY335" s="33">
        <v>3838622</v>
      </c>
      <c r="BZ335" s="33">
        <v>14930451</v>
      </c>
      <c r="CA335" s="34">
        <f t="shared" si="25"/>
        <v>3.8895340567526575</v>
      </c>
      <c r="CB335" s="29">
        <v>5033164</v>
      </c>
      <c r="CC335" s="35">
        <f t="shared" si="26"/>
        <v>2.9664145654701497</v>
      </c>
      <c r="CD335" s="35">
        <f t="shared" si="27"/>
        <v>0.7626657903457944</v>
      </c>
      <c r="CE335" s="29">
        <v>69947</v>
      </c>
      <c r="CF335" s="35">
        <f t="shared" si="28"/>
        <v>54.879008392068279</v>
      </c>
      <c r="CG335" s="35">
        <f t="shared" si="29"/>
        <v>213.45377214176449</v>
      </c>
      <c r="CH335" s="29">
        <v>95.632469999999998</v>
      </c>
    </row>
    <row r="336" spans="1:86" ht="15.5" x14ac:dyDescent="0.35">
      <c r="A336" s="29" t="s">
        <v>99</v>
      </c>
      <c r="B336" s="29">
        <v>2022</v>
      </c>
      <c r="C336" s="30">
        <v>52.946599999999997</v>
      </c>
      <c r="D336" s="29"/>
      <c r="E336" s="29">
        <v>5.3499999999999999E-2</v>
      </c>
      <c r="F336" s="29">
        <v>6.7239000000000004</v>
      </c>
      <c r="G336" s="29"/>
      <c r="H336" s="29">
        <v>10</v>
      </c>
      <c r="I336" s="31">
        <v>111.992</v>
      </c>
      <c r="J336" s="31">
        <v>115.5</v>
      </c>
      <c r="K336" s="31">
        <v>8.7970000000000006</v>
      </c>
      <c r="L336" s="31">
        <v>93.867900000000006</v>
      </c>
      <c r="M336" s="31">
        <v>48103000000</v>
      </c>
      <c r="N336" s="31"/>
      <c r="O336" s="29">
        <v>35.127000000000002</v>
      </c>
      <c r="P336" s="29">
        <v>31.536300000000001</v>
      </c>
      <c r="Q336" s="31">
        <v>104717.913</v>
      </c>
      <c r="R336" s="31">
        <v>99677.473100000003</v>
      </c>
      <c r="S336" s="31">
        <v>5.8327</v>
      </c>
      <c r="T336" s="31">
        <v>125625.3198</v>
      </c>
      <c r="U336" s="31">
        <v>137346.37169999999</v>
      </c>
      <c r="V336" s="29"/>
      <c r="W336" s="31">
        <v>93.396199999999993</v>
      </c>
      <c r="X336" s="29">
        <v>93</v>
      </c>
      <c r="Y336" s="29">
        <v>93</v>
      </c>
      <c r="Z336" s="29">
        <v>90</v>
      </c>
      <c r="AA336" s="29">
        <v>3.3</v>
      </c>
      <c r="AB336" s="29">
        <v>96.6</v>
      </c>
      <c r="AC336" s="29">
        <v>82.509799999999998</v>
      </c>
      <c r="AD336" s="29">
        <v>102.804</v>
      </c>
      <c r="AE336" s="29">
        <v>7</v>
      </c>
      <c r="AF336" s="29"/>
      <c r="AG336" s="29"/>
      <c r="AH336" s="29"/>
      <c r="AI336" s="29">
        <v>3.7</v>
      </c>
      <c r="AJ336" s="29">
        <v>3.4</v>
      </c>
      <c r="AK336" s="29">
        <v>4</v>
      </c>
      <c r="AL336" s="29">
        <v>64.495599999999996</v>
      </c>
      <c r="AM336" s="29">
        <v>2.5</v>
      </c>
      <c r="AN336" s="29">
        <v>93535</v>
      </c>
      <c r="AO336" s="29">
        <v>0</v>
      </c>
      <c r="AP336" s="29">
        <v>95.991399999999999</v>
      </c>
      <c r="AQ336" s="29">
        <v>89.254900000000006</v>
      </c>
      <c r="AR336" s="29">
        <v>95.991399999999999</v>
      </c>
      <c r="AS336" s="29">
        <v>70.747500000000002</v>
      </c>
      <c r="AT336" s="29">
        <v>84.846699999999998</v>
      </c>
      <c r="AU336" s="29"/>
      <c r="AV336" s="31">
        <v>78.301900000000003</v>
      </c>
      <c r="AW336" s="29"/>
      <c r="AX336" s="29"/>
      <c r="AY336" s="29">
        <v>5</v>
      </c>
      <c r="AZ336" s="29">
        <v>8</v>
      </c>
      <c r="BA336" s="29">
        <v>79.796800000000005</v>
      </c>
      <c r="BB336" s="29">
        <v>23.125</v>
      </c>
      <c r="BC336" s="29">
        <v>4.734</v>
      </c>
      <c r="BD336" s="31">
        <v>8.6199999999999992</v>
      </c>
      <c r="BE336" s="31">
        <v>95.283000000000001</v>
      </c>
      <c r="BF336" s="29"/>
      <c r="BG336" s="23">
        <v>13.068</v>
      </c>
      <c r="BH336" s="32">
        <v>0.96260000000000001</v>
      </c>
      <c r="BI336" s="32">
        <v>5511.6581999999999</v>
      </c>
      <c r="BJ336" s="31">
        <v>91.509399999999999</v>
      </c>
      <c r="BK336" s="29"/>
      <c r="BL336" s="29"/>
      <c r="BM336" s="29"/>
      <c r="BN336" s="29">
        <v>5</v>
      </c>
      <c r="BO336" s="29">
        <v>6.53</v>
      </c>
      <c r="BP336" s="29"/>
      <c r="BQ336" s="31"/>
      <c r="BR336" s="29"/>
      <c r="BS336" s="32">
        <v>4.5010000000000003</v>
      </c>
      <c r="BT336" s="32">
        <v>4.5010000000000003</v>
      </c>
      <c r="BU336" s="32">
        <v>9.3149999999999995</v>
      </c>
      <c r="BV336" s="32">
        <v>9.3390000000000004</v>
      </c>
      <c r="BW336" s="31">
        <v>96.135300000000001</v>
      </c>
      <c r="BX336" s="29">
        <v>17.61</v>
      </c>
      <c r="BY336" s="33">
        <v>9924012</v>
      </c>
      <c r="BZ336" s="33">
        <v>34930828</v>
      </c>
      <c r="CA336" s="34">
        <f t="shared" si="25"/>
        <v>3.5198292787231615</v>
      </c>
      <c r="CB336" s="29">
        <v>5165700</v>
      </c>
      <c r="CC336" s="35">
        <f t="shared" si="26"/>
        <v>6.7620705809474027</v>
      </c>
      <c r="CD336" s="35">
        <f t="shared" si="27"/>
        <v>1.9211359544689006</v>
      </c>
      <c r="CE336" s="29">
        <v>69947</v>
      </c>
      <c r="CF336" s="35">
        <f t="shared" si="28"/>
        <v>141.87902268860708</v>
      </c>
      <c r="CG336" s="35">
        <f t="shared" si="29"/>
        <v>499.38993809598696</v>
      </c>
      <c r="CH336" s="29">
        <v>94.814779999999999</v>
      </c>
    </row>
    <row r="337" spans="1:86" ht="15.5" x14ac:dyDescent="0.35">
      <c r="A337" s="29" t="s">
        <v>99</v>
      </c>
      <c r="B337" s="29">
        <v>2023</v>
      </c>
      <c r="C337" s="37">
        <v>52.808799999999998</v>
      </c>
      <c r="D337" s="29"/>
      <c r="E337" s="29">
        <v>5.2999999999999999E-2</v>
      </c>
      <c r="F337" s="29">
        <v>6.12</v>
      </c>
      <c r="G337" s="29"/>
      <c r="H337" s="29">
        <v>10</v>
      </c>
      <c r="I337" s="31">
        <v>117.81699999999999</v>
      </c>
      <c r="J337" s="31">
        <v>119.2</v>
      </c>
      <c r="K337" s="31">
        <v>6.0270000000000001</v>
      </c>
      <c r="L337" s="31">
        <v>92.924499999999995</v>
      </c>
      <c r="M337" s="31">
        <v>44631000000</v>
      </c>
      <c r="N337" s="31"/>
      <c r="O337" s="29"/>
      <c r="P337" s="29">
        <v>31.8399</v>
      </c>
      <c r="Q337" s="31">
        <v>103456.81299999999</v>
      </c>
      <c r="R337" s="31">
        <v>91647.768899999995</v>
      </c>
      <c r="S337" s="31">
        <v>-8.0556999999999999</v>
      </c>
      <c r="T337" s="31">
        <v>115505.3385</v>
      </c>
      <c r="U337" s="31">
        <v>124900.93859999999</v>
      </c>
      <c r="V337" s="29"/>
      <c r="W337" s="31">
        <v>94.339600000000004</v>
      </c>
      <c r="X337" s="29">
        <v>89</v>
      </c>
      <c r="Y337" s="29">
        <v>93</v>
      </c>
      <c r="Z337" s="29">
        <v>89</v>
      </c>
      <c r="AA337" s="29">
        <v>3.4</v>
      </c>
      <c r="AB337" s="29">
        <v>96.5</v>
      </c>
      <c r="AC337" s="29">
        <v>82.861000000000004</v>
      </c>
      <c r="AD337" s="29"/>
      <c r="AE337" s="29">
        <v>4</v>
      </c>
      <c r="AF337" s="29"/>
      <c r="AG337" s="29"/>
      <c r="AH337" s="29"/>
      <c r="AI337" s="29">
        <v>3.8</v>
      </c>
      <c r="AJ337" s="29">
        <v>3.5</v>
      </c>
      <c r="AK337" s="29">
        <v>4.0999999999999996</v>
      </c>
      <c r="AL337" s="24">
        <v>64.495599999999996</v>
      </c>
      <c r="AM337" s="29">
        <v>2.5</v>
      </c>
      <c r="AN337" s="29">
        <v>43873</v>
      </c>
      <c r="AO337" s="29"/>
      <c r="AP337" s="29"/>
      <c r="AQ337" s="29"/>
      <c r="AR337" s="29"/>
      <c r="AS337" s="29"/>
      <c r="AT337" s="29"/>
      <c r="AU337" s="29"/>
      <c r="AV337" s="31">
        <v>78.673000000000002</v>
      </c>
      <c r="AW337" s="29"/>
      <c r="AX337" s="29"/>
      <c r="AY337" s="38">
        <v>5</v>
      </c>
      <c r="AZ337" s="29">
        <v>8</v>
      </c>
      <c r="BA337" s="29"/>
      <c r="BB337" s="29">
        <v>23.125</v>
      </c>
      <c r="BC337" s="29"/>
      <c r="BD337" s="31">
        <v>-5.53</v>
      </c>
      <c r="BE337" s="31">
        <v>96.226399999999998</v>
      </c>
      <c r="BF337" s="29"/>
      <c r="BG337" s="23">
        <v>15.253</v>
      </c>
      <c r="BH337" s="32"/>
      <c r="BI337" s="32"/>
      <c r="BJ337" s="31">
        <v>93.867900000000006</v>
      </c>
      <c r="BK337" s="29"/>
      <c r="BL337" s="29"/>
      <c r="BM337" s="29"/>
      <c r="BN337" s="29">
        <v>5</v>
      </c>
      <c r="BO337" s="29">
        <v>6.4450000000000003</v>
      </c>
      <c r="BP337" s="29"/>
      <c r="BQ337" s="31"/>
      <c r="BR337" s="29"/>
      <c r="BS337" s="32">
        <v>4.2880000000000003</v>
      </c>
      <c r="BT337" s="32">
        <v>4.2880000000000003</v>
      </c>
      <c r="BU337" s="32">
        <v>10.56</v>
      </c>
      <c r="BV337" s="32">
        <v>10.654</v>
      </c>
      <c r="BW337" s="31">
        <v>95.588200000000001</v>
      </c>
      <c r="BX337" s="29">
        <v>15.51</v>
      </c>
      <c r="BY337" s="33">
        <v>11287679</v>
      </c>
      <c r="BZ337" s="33">
        <v>40636150</v>
      </c>
      <c r="CA337" s="34">
        <f t="shared" si="25"/>
        <v>3.6000447922021879</v>
      </c>
      <c r="CB337" s="29">
        <v>5307600</v>
      </c>
      <c r="CC337" s="35">
        <f t="shared" si="26"/>
        <v>7.656219383525511</v>
      </c>
      <c r="CD337" s="35">
        <f t="shared" si="27"/>
        <v>2.1267011455271687</v>
      </c>
      <c r="CE337" s="29">
        <v>69947</v>
      </c>
      <c r="CF337" s="35">
        <f t="shared" si="28"/>
        <v>161.3747408752341</v>
      </c>
      <c r="CG337" s="35">
        <f t="shared" si="29"/>
        <v>580.95629548086413</v>
      </c>
      <c r="CH337" s="29">
        <v>94.456819999999993</v>
      </c>
    </row>
    <row r="338" spans="1:86" ht="15.5" x14ac:dyDescent="0.35">
      <c r="A338" t="s">
        <v>100</v>
      </c>
      <c r="B338">
        <v>2000</v>
      </c>
      <c r="C338" s="2">
        <v>48.129399999999997</v>
      </c>
      <c r="D338">
        <v>687705.7</v>
      </c>
      <c r="E338">
        <v>0.15859999999999999</v>
      </c>
      <c r="F338">
        <v>7.9855999999999998</v>
      </c>
      <c r="G338">
        <v>553000</v>
      </c>
      <c r="H338">
        <v>8</v>
      </c>
      <c r="I338" s="19">
        <v>74.216999999999999</v>
      </c>
      <c r="J338" s="19">
        <v>75.099999999999994</v>
      </c>
      <c r="K338" s="19">
        <v>4.9669999999999996</v>
      </c>
      <c r="L338" s="19">
        <v>75</v>
      </c>
      <c r="M338" s="19">
        <v>-3130000000</v>
      </c>
      <c r="N338" s="19">
        <v>52.630899999999997</v>
      </c>
      <c r="O338">
        <v>14.324</v>
      </c>
      <c r="P338">
        <v>0.20080000000000001</v>
      </c>
      <c r="Q338" s="19">
        <v>20205.514999999999</v>
      </c>
      <c r="R338" s="19">
        <v>32609.6675</v>
      </c>
      <c r="S338" s="19">
        <v>3.835</v>
      </c>
      <c r="T338" s="19">
        <v>50353.420100000003</v>
      </c>
      <c r="U338" s="19">
        <v>27146.321199999998</v>
      </c>
      <c r="V338">
        <v>35.200000000000003</v>
      </c>
      <c r="W338" s="19">
        <v>77.049199999999999</v>
      </c>
      <c r="X338">
        <v>87</v>
      </c>
      <c r="Y338">
        <v>94</v>
      </c>
      <c r="Z338">
        <v>74</v>
      </c>
      <c r="AA338">
        <v>4.7</v>
      </c>
      <c r="AB338">
        <v>23.1</v>
      </c>
      <c r="AC338">
        <v>79.778000000000006</v>
      </c>
      <c r="AE338">
        <v>11</v>
      </c>
      <c r="AF338">
        <v>93.992099999999994</v>
      </c>
      <c r="AG338">
        <v>13.9</v>
      </c>
      <c r="AH338">
        <v>0.54</v>
      </c>
      <c r="AI338">
        <v>5.6</v>
      </c>
      <c r="AJ338">
        <v>5.2</v>
      </c>
      <c r="AK338">
        <v>6</v>
      </c>
      <c r="AL338">
        <v>57.442100000000003</v>
      </c>
      <c r="AM338">
        <v>3.5</v>
      </c>
      <c r="AN338">
        <v>56065</v>
      </c>
      <c r="AO338">
        <v>0</v>
      </c>
      <c r="AP338">
        <v>99.557100000000005</v>
      </c>
      <c r="AQ338">
        <v>99.885900000000007</v>
      </c>
      <c r="AR338">
        <v>94.7684</v>
      </c>
      <c r="AS338">
        <v>78.025999999999996</v>
      </c>
      <c r="AT338">
        <v>79.358500000000006</v>
      </c>
      <c r="AU338">
        <v>26.247299999999999</v>
      </c>
      <c r="AV338" s="19">
        <v>78.306899999999999</v>
      </c>
      <c r="AW338">
        <v>1.2</v>
      </c>
      <c r="AY338">
        <v>3</v>
      </c>
      <c r="AZ338">
        <v>5</v>
      </c>
      <c r="BA338">
        <v>78.921800000000005</v>
      </c>
      <c r="BB338">
        <v>11.1111</v>
      </c>
      <c r="BC338">
        <v>5.4962999999999997</v>
      </c>
      <c r="BD338" s="19">
        <v>3.8820000000000001</v>
      </c>
      <c r="BE338" s="19">
        <v>76.630399999999995</v>
      </c>
      <c r="BF338">
        <v>20.813800000000001</v>
      </c>
      <c r="BG338">
        <v>5.0999999999999996</v>
      </c>
      <c r="BH338" s="20">
        <v>1.0036</v>
      </c>
      <c r="BI338" s="20">
        <v>1154.702</v>
      </c>
      <c r="BJ338" s="19">
        <v>73.631799999999998</v>
      </c>
      <c r="BK338">
        <v>0.998</v>
      </c>
      <c r="BL338">
        <v>0.97619999999999996</v>
      </c>
      <c r="BM338">
        <v>0.96250000000000002</v>
      </c>
      <c r="BN338">
        <v>8</v>
      </c>
      <c r="BO338">
        <v>19.132000000000001</v>
      </c>
      <c r="BP338">
        <v>7.67</v>
      </c>
      <c r="BQ338" s="19">
        <v>96.470799999999997</v>
      </c>
      <c r="BR338">
        <v>62.081099999999999</v>
      </c>
      <c r="BS338" s="20">
        <v>10.834</v>
      </c>
      <c r="BT338" s="20">
        <v>10.834</v>
      </c>
      <c r="BU338" s="20">
        <v>31.46</v>
      </c>
      <c r="BV338" s="20">
        <v>31.466000000000001</v>
      </c>
      <c r="BW338" s="1">
        <v>79.602000000000004</v>
      </c>
      <c r="BX338">
        <v>36.18</v>
      </c>
      <c r="BY338" s="5">
        <v>80031637</v>
      </c>
      <c r="BZ338" s="6">
        <v>338885143</v>
      </c>
      <c r="CA338" s="7">
        <f t="shared" si="25"/>
        <v>4.2343897451454104</v>
      </c>
      <c r="CB338">
        <v>56942108</v>
      </c>
      <c r="CC338" s="8">
        <f t="shared" si="26"/>
        <v>5.9513979180398451</v>
      </c>
      <c r="CD338" s="8">
        <f t="shared" si="27"/>
        <v>1.405491293016409</v>
      </c>
      <c r="CE338">
        <v>302072</v>
      </c>
      <c r="CF338" s="8">
        <f t="shared" si="28"/>
        <v>264.94225548875767</v>
      </c>
      <c r="CG338" s="8">
        <f t="shared" si="29"/>
        <v>1121.8687696972906</v>
      </c>
      <c r="CH338">
        <v>98.084850000000003</v>
      </c>
    </row>
    <row r="339" spans="1:86" ht="15.5" x14ac:dyDescent="0.35">
      <c r="A339" t="s">
        <v>100</v>
      </c>
      <c r="B339">
        <v>2001</v>
      </c>
      <c r="C339" s="2">
        <v>48.707500000000003</v>
      </c>
      <c r="D339">
        <v>688275.2</v>
      </c>
      <c r="E339">
        <v>0.15529999999999999</v>
      </c>
      <c r="F339">
        <v>7.9698000000000002</v>
      </c>
      <c r="G339">
        <v>560000</v>
      </c>
      <c r="H339">
        <v>8</v>
      </c>
      <c r="I339" s="19">
        <v>75.941999999999993</v>
      </c>
      <c r="J339" s="19">
        <v>76.8</v>
      </c>
      <c r="K339" s="19">
        <v>3.9790000000000001</v>
      </c>
      <c r="L339" s="19"/>
      <c r="M339" s="19">
        <v>1806000000</v>
      </c>
      <c r="N339" s="19">
        <v>53.5</v>
      </c>
      <c r="O339">
        <v>18.757000000000001</v>
      </c>
      <c r="P339">
        <v>0.68059999999999998</v>
      </c>
      <c r="Q339" s="19">
        <v>20576.46</v>
      </c>
      <c r="R339" s="19">
        <v>33245.280400000003</v>
      </c>
      <c r="S339" s="19">
        <v>1.9492</v>
      </c>
      <c r="T339" s="19">
        <v>51334.886200000001</v>
      </c>
      <c r="U339" s="19">
        <v>28138.4787</v>
      </c>
      <c r="W339" s="19"/>
      <c r="X339">
        <v>93</v>
      </c>
      <c r="Y339">
        <v>95</v>
      </c>
      <c r="Z339">
        <v>77</v>
      </c>
      <c r="AA339">
        <v>4.5</v>
      </c>
      <c r="AB339">
        <v>27.2</v>
      </c>
      <c r="AC339">
        <v>80.126800000000003</v>
      </c>
      <c r="AD339">
        <v>102.4937</v>
      </c>
      <c r="AE339">
        <v>10</v>
      </c>
      <c r="AF339">
        <v>94.144199999999998</v>
      </c>
      <c r="AG339">
        <v>13.9</v>
      </c>
      <c r="AH339">
        <v>0.47</v>
      </c>
      <c r="AI339">
        <v>5.3</v>
      </c>
      <c r="AJ339">
        <v>4.9000000000000004</v>
      </c>
      <c r="AK339">
        <v>5.7</v>
      </c>
      <c r="AL339">
        <v>57.561100000000003</v>
      </c>
      <c r="AM339">
        <v>3.3</v>
      </c>
      <c r="AN339">
        <v>48903</v>
      </c>
      <c r="AO339">
        <v>0</v>
      </c>
      <c r="AP339">
        <v>99.582800000000006</v>
      </c>
      <c r="AQ339">
        <v>99.885900000000007</v>
      </c>
      <c r="AR339">
        <v>94.987099999999998</v>
      </c>
      <c r="AS339">
        <v>78.025999999999996</v>
      </c>
      <c r="AT339">
        <v>79.358500000000006</v>
      </c>
      <c r="AU339">
        <v>25.8127</v>
      </c>
      <c r="AV339" s="19"/>
      <c r="AY339">
        <v>3</v>
      </c>
      <c r="AZ339">
        <v>5</v>
      </c>
      <c r="BA339">
        <v>78.922600000000003</v>
      </c>
      <c r="BB339">
        <v>9.8413000000000004</v>
      </c>
      <c r="BC339">
        <v>5.774</v>
      </c>
      <c r="BD339" s="19">
        <v>2.0059999999999998</v>
      </c>
      <c r="BE339" s="19"/>
      <c r="BF339">
        <v>22.029</v>
      </c>
      <c r="BG339">
        <v>5.4</v>
      </c>
      <c r="BH339" s="20">
        <v>1.0407</v>
      </c>
      <c r="BI339" s="20">
        <v>1164.2560000000001</v>
      </c>
      <c r="BJ339" s="19"/>
      <c r="BK339">
        <v>0.99129999999999996</v>
      </c>
      <c r="BL339">
        <v>0.98329999999999995</v>
      </c>
      <c r="BM339">
        <v>0.97829999999999995</v>
      </c>
      <c r="BN339">
        <v>8</v>
      </c>
      <c r="BO339">
        <v>18.29</v>
      </c>
      <c r="BP339">
        <v>7.49</v>
      </c>
      <c r="BQ339" s="19">
        <v>98.269099999999995</v>
      </c>
      <c r="BR339">
        <v>66.526499999999999</v>
      </c>
      <c r="BS339" s="20">
        <v>9.5990000000000002</v>
      </c>
      <c r="BT339" s="20">
        <v>9.5990000000000002</v>
      </c>
      <c r="BU339" s="20">
        <v>27.806000000000001</v>
      </c>
      <c r="BV339" s="20">
        <v>27.834</v>
      </c>
      <c r="BW339" s="1"/>
      <c r="BX339">
        <v>33.47</v>
      </c>
      <c r="BY339" s="5">
        <v>81773368</v>
      </c>
      <c r="BZ339" s="6">
        <v>350323133</v>
      </c>
      <c r="CA339" s="7">
        <f t="shared" si="25"/>
        <v>4.2840736729836051</v>
      </c>
      <c r="CB339">
        <v>56974100</v>
      </c>
      <c r="CC339" s="8">
        <f t="shared" si="26"/>
        <v>6.1488138118899638</v>
      </c>
      <c r="CD339" s="8">
        <f t="shared" si="27"/>
        <v>1.435272658980133</v>
      </c>
      <c r="CE339">
        <v>302072</v>
      </c>
      <c r="CF339" s="8">
        <f t="shared" si="28"/>
        <v>270.70820201806191</v>
      </c>
      <c r="CG339" s="8">
        <f t="shared" si="29"/>
        <v>1159.7338813263063</v>
      </c>
      <c r="CH339">
        <v>97.910970000000006</v>
      </c>
    </row>
    <row r="340" spans="1:86" ht="15.5" x14ac:dyDescent="0.35">
      <c r="A340" t="s">
        <v>100</v>
      </c>
      <c r="B340">
        <v>2002</v>
      </c>
      <c r="C340" s="2">
        <v>49.3474</v>
      </c>
      <c r="D340">
        <v>698253.5</v>
      </c>
      <c r="E340">
        <v>0.1573</v>
      </c>
      <c r="F340">
        <v>8.0858000000000008</v>
      </c>
      <c r="G340">
        <v>560000</v>
      </c>
      <c r="H340">
        <v>8</v>
      </c>
      <c r="I340" s="19">
        <v>77.924999999999997</v>
      </c>
      <c r="J340" s="19">
        <v>79.099999999999994</v>
      </c>
      <c r="K340" s="19">
        <v>4.1139999999999999</v>
      </c>
      <c r="L340" s="19">
        <v>72.486800000000002</v>
      </c>
      <c r="M340" s="19">
        <v>-6353000000</v>
      </c>
      <c r="N340" s="19">
        <v>55.674500000000002</v>
      </c>
      <c r="O340">
        <v>20.187999999999999</v>
      </c>
      <c r="P340">
        <v>1.4802999999999999</v>
      </c>
      <c r="Q340" s="19">
        <v>22473.552</v>
      </c>
      <c r="R340" s="19">
        <v>33285.414900000003</v>
      </c>
      <c r="S340" s="19">
        <v>0.1207</v>
      </c>
      <c r="T340" s="19">
        <v>51396.858899999999</v>
      </c>
      <c r="U340" s="19">
        <v>28848.5942</v>
      </c>
      <c r="V340">
        <v>34.700000000000003</v>
      </c>
      <c r="W340" s="19">
        <v>74.5946</v>
      </c>
      <c r="X340">
        <v>93</v>
      </c>
      <c r="Y340">
        <v>95</v>
      </c>
      <c r="Z340">
        <v>81</v>
      </c>
      <c r="AA340">
        <v>4.3</v>
      </c>
      <c r="AB340">
        <v>28</v>
      </c>
      <c r="AC340">
        <v>80.229299999999995</v>
      </c>
      <c r="AD340">
        <v>101.7747</v>
      </c>
      <c r="AE340">
        <v>10</v>
      </c>
      <c r="AF340">
        <v>94.340800000000002</v>
      </c>
      <c r="AG340">
        <v>13.3</v>
      </c>
      <c r="AH340">
        <v>0.37</v>
      </c>
      <c r="AI340">
        <v>5.0999999999999996</v>
      </c>
      <c r="AJ340">
        <v>4.7</v>
      </c>
      <c r="AK340">
        <v>5.4</v>
      </c>
      <c r="AL340">
        <v>57.757199999999997</v>
      </c>
      <c r="AM340">
        <v>3.1</v>
      </c>
      <c r="AN340">
        <v>223861</v>
      </c>
      <c r="AO340">
        <v>0</v>
      </c>
      <c r="AP340">
        <v>99.608500000000006</v>
      </c>
      <c r="AQ340">
        <v>99.885900000000007</v>
      </c>
      <c r="AR340">
        <v>95.2059</v>
      </c>
      <c r="AS340">
        <v>78.025999999999996</v>
      </c>
      <c r="AT340">
        <v>79.358500000000006</v>
      </c>
      <c r="AU340">
        <v>25.257200000000001</v>
      </c>
      <c r="AV340" s="19">
        <v>75.6614</v>
      </c>
      <c r="AW340">
        <v>1.5</v>
      </c>
      <c r="AY340">
        <v>3</v>
      </c>
      <c r="AZ340">
        <v>5</v>
      </c>
      <c r="BA340">
        <v>78.923900000000003</v>
      </c>
      <c r="BB340">
        <v>9.8413000000000004</v>
      </c>
      <c r="BC340">
        <v>5.8968999999999996</v>
      </c>
      <c r="BD340" s="19">
        <v>0.27</v>
      </c>
      <c r="BE340" s="19">
        <v>75.675700000000006</v>
      </c>
      <c r="BF340">
        <v>19.6508</v>
      </c>
      <c r="BG340">
        <v>5.6</v>
      </c>
      <c r="BH340" s="20">
        <v>1.0811999999999999</v>
      </c>
      <c r="BI340" s="20">
        <v>1242.8822</v>
      </c>
      <c r="BJ340" s="19">
        <v>70.646799999999999</v>
      </c>
      <c r="BK340">
        <v>0.97799999999999998</v>
      </c>
      <c r="BL340">
        <v>0.97089999999999999</v>
      </c>
      <c r="BM340">
        <v>0.96650000000000003</v>
      </c>
      <c r="BN340">
        <v>8</v>
      </c>
      <c r="BO340">
        <v>16.651</v>
      </c>
      <c r="BP340">
        <v>7.57</v>
      </c>
      <c r="BQ340" s="19">
        <v>100.3874</v>
      </c>
      <c r="BR340">
        <v>67.553899999999999</v>
      </c>
      <c r="BS340" s="20">
        <v>9.2110000000000003</v>
      </c>
      <c r="BT340" s="20">
        <v>9.2110000000000003</v>
      </c>
      <c r="BU340" s="20">
        <v>27.170999999999999</v>
      </c>
      <c r="BV340" s="20">
        <v>27.14</v>
      </c>
      <c r="BW340" s="1">
        <v>78.109499999999997</v>
      </c>
      <c r="BX340">
        <v>34.549999999999997</v>
      </c>
      <c r="BY340" s="5">
        <v>82030312</v>
      </c>
      <c r="BZ340" s="6">
        <v>345247050</v>
      </c>
      <c r="CA340" s="7">
        <f t="shared" si="25"/>
        <v>4.2087740687856945</v>
      </c>
      <c r="CB340">
        <v>57059007</v>
      </c>
      <c r="CC340" s="8">
        <f t="shared" si="26"/>
        <v>6.0507020390312789</v>
      </c>
      <c r="CD340" s="8">
        <f t="shared" si="27"/>
        <v>1.4376400206193565</v>
      </c>
      <c r="CE340">
        <v>302072</v>
      </c>
      <c r="CF340" s="8">
        <f t="shared" si="28"/>
        <v>271.55880717180008</v>
      </c>
      <c r="CG340" s="8">
        <f t="shared" si="29"/>
        <v>1142.9296657750469</v>
      </c>
      <c r="CH340">
        <v>98.149839999999998</v>
      </c>
    </row>
    <row r="341" spans="1:86" ht="15.5" x14ac:dyDescent="0.35">
      <c r="A341" t="s">
        <v>100</v>
      </c>
      <c r="B341">
        <v>2003</v>
      </c>
      <c r="C341" s="2">
        <v>49.862900000000003</v>
      </c>
      <c r="D341">
        <v>748841.1</v>
      </c>
      <c r="E341">
        <v>0.16400000000000001</v>
      </c>
      <c r="F341">
        <v>8.3952000000000009</v>
      </c>
      <c r="G341">
        <v>575000</v>
      </c>
      <c r="H341">
        <v>12</v>
      </c>
      <c r="I341" s="19">
        <v>80.117000000000004</v>
      </c>
      <c r="J341" s="19">
        <v>81.099999999999994</v>
      </c>
      <c r="K341" s="19">
        <v>3.5779999999999998</v>
      </c>
      <c r="L341" s="19">
        <v>70.899500000000003</v>
      </c>
      <c r="M341" s="19">
        <v>-12417000000</v>
      </c>
      <c r="N341" s="19">
        <v>65.501099999999994</v>
      </c>
      <c r="O341">
        <v>20.838000000000001</v>
      </c>
      <c r="P341">
        <v>3.8967999999999998</v>
      </c>
      <c r="Q341" s="19">
        <v>27673.262999999999</v>
      </c>
      <c r="R341" s="19">
        <v>33159.8416</v>
      </c>
      <c r="S341" s="19">
        <v>-0.37730000000000002</v>
      </c>
      <c r="T341" s="19">
        <v>51202.957999999999</v>
      </c>
      <c r="U341" s="19">
        <v>29296.7853</v>
      </c>
      <c r="V341">
        <v>34.9</v>
      </c>
      <c r="W341" s="19">
        <v>75.675700000000006</v>
      </c>
      <c r="X341">
        <v>96</v>
      </c>
      <c r="Y341">
        <v>95</v>
      </c>
      <c r="Z341">
        <v>84</v>
      </c>
      <c r="AA341">
        <v>4.0999999999999996</v>
      </c>
      <c r="AB341">
        <v>29</v>
      </c>
      <c r="AC341">
        <v>79.982900000000001</v>
      </c>
      <c r="AD341">
        <v>101.3754</v>
      </c>
      <c r="AE341">
        <v>8</v>
      </c>
      <c r="AF341">
        <v>94.421999999999997</v>
      </c>
      <c r="AG341">
        <v>11.8</v>
      </c>
      <c r="AH341">
        <v>0.32</v>
      </c>
      <c r="AI341">
        <v>4.8</v>
      </c>
      <c r="AJ341">
        <v>4.5</v>
      </c>
      <c r="AK341">
        <v>5.2</v>
      </c>
      <c r="AL341">
        <v>57.720300000000002</v>
      </c>
      <c r="AM341">
        <v>2.9</v>
      </c>
      <c r="AN341">
        <v>478578</v>
      </c>
      <c r="AO341">
        <v>0</v>
      </c>
      <c r="AP341">
        <v>99.634200000000007</v>
      </c>
      <c r="AQ341">
        <v>99.885900000000007</v>
      </c>
      <c r="AR341">
        <v>95.424899999999994</v>
      </c>
      <c r="AS341">
        <v>78.025999999999996</v>
      </c>
      <c r="AT341">
        <v>79.358500000000006</v>
      </c>
      <c r="AU341">
        <v>24.6282</v>
      </c>
      <c r="AV341" s="19">
        <v>59.798999999999999</v>
      </c>
      <c r="AW341">
        <v>0.8</v>
      </c>
      <c r="AX341">
        <v>18.899999999999999</v>
      </c>
      <c r="AY341">
        <v>3</v>
      </c>
      <c r="AZ341">
        <v>5</v>
      </c>
      <c r="BA341">
        <v>78.9255</v>
      </c>
      <c r="BB341">
        <v>11.4887</v>
      </c>
      <c r="BC341">
        <v>5.9009</v>
      </c>
      <c r="BD341" s="19">
        <v>6.7000000000000004E-2</v>
      </c>
      <c r="BE341" s="19">
        <v>80</v>
      </c>
      <c r="BF341">
        <v>18.535499999999999</v>
      </c>
      <c r="BG341">
        <v>6.2</v>
      </c>
      <c r="BH341" s="20">
        <v>1.0589</v>
      </c>
      <c r="BI341" s="20">
        <v>1222.7184</v>
      </c>
      <c r="BJ341" s="19">
        <v>69.651700000000005</v>
      </c>
      <c r="BK341">
        <v>0.98870000000000002</v>
      </c>
      <c r="BL341">
        <v>0.98029999999999995</v>
      </c>
      <c r="BM341">
        <v>0.97509999999999997</v>
      </c>
      <c r="BN341">
        <v>8</v>
      </c>
      <c r="BO341">
        <v>17.379000000000001</v>
      </c>
      <c r="BP341">
        <v>7.45</v>
      </c>
      <c r="BQ341" s="19">
        <v>101.5681</v>
      </c>
      <c r="BR341">
        <v>68.201300000000003</v>
      </c>
      <c r="BS341" s="20">
        <v>8.8689999999999998</v>
      </c>
      <c r="BT341" s="20">
        <v>8.8689999999999998</v>
      </c>
      <c r="BU341" s="20">
        <v>26.983000000000001</v>
      </c>
      <c r="BV341" s="20">
        <v>26.803000000000001</v>
      </c>
      <c r="BW341" s="1">
        <v>77.611900000000006</v>
      </c>
      <c r="BX341">
        <v>31.26</v>
      </c>
      <c r="BY341" s="5">
        <v>82724652</v>
      </c>
      <c r="BZ341" s="6">
        <v>344413317</v>
      </c>
      <c r="CA341" s="7">
        <f t="shared" si="25"/>
        <v>4.1633697896970299</v>
      </c>
      <c r="CB341">
        <v>57313203</v>
      </c>
      <c r="CC341" s="8">
        <f t="shared" si="26"/>
        <v>6.0093189522142048</v>
      </c>
      <c r="CD341" s="8">
        <f t="shared" si="27"/>
        <v>1.4433786225488043</v>
      </c>
      <c r="CE341">
        <v>302072</v>
      </c>
      <c r="CF341" s="8">
        <f t="shared" si="28"/>
        <v>273.85739823618212</v>
      </c>
      <c r="CG341" s="8">
        <f t="shared" si="29"/>
        <v>1140.1696185015494</v>
      </c>
      <c r="CH341">
        <v>99.456440000000001</v>
      </c>
    </row>
    <row r="342" spans="1:86" ht="15.5" x14ac:dyDescent="0.35">
      <c r="A342" t="s">
        <v>100</v>
      </c>
      <c r="B342">
        <v>2004</v>
      </c>
      <c r="C342" s="2">
        <v>50.337200000000003</v>
      </c>
      <c r="D342">
        <v>750096.5</v>
      </c>
      <c r="E342">
        <v>0.16539999999999999</v>
      </c>
      <c r="F342">
        <v>8.5403000000000002</v>
      </c>
      <c r="G342">
        <v>579000</v>
      </c>
      <c r="H342">
        <v>12</v>
      </c>
      <c r="I342" s="19">
        <v>81.924999999999997</v>
      </c>
      <c r="J342" s="19">
        <v>83</v>
      </c>
      <c r="K342" s="19">
        <v>4.0730000000000004</v>
      </c>
      <c r="L342" s="19">
        <v>66.502499999999998</v>
      </c>
      <c r="M342" s="19">
        <v>-8702000000</v>
      </c>
      <c r="N342" s="19">
        <v>77.415700000000001</v>
      </c>
      <c r="O342">
        <v>18.768999999999998</v>
      </c>
      <c r="P342">
        <v>8.1209000000000007</v>
      </c>
      <c r="Q342" s="19">
        <v>31451.559000000001</v>
      </c>
      <c r="R342" s="19">
        <v>33431.5599</v>
      </c>
      <c r="S342" s="19">
        <v>0.81940000000000002</v>
      </c>
      <c r="T342" s="19">
        <v>51622.525199999996</v>
      </c>
      <c r="U342" s="19">
        <v>29658.066500000001</v>
      </c>
      <c r="V342">
        <v>34.299999999999997</v>
      </c>
      <c r="W342" s="19">
        <v>73.134299999999996</v>
      </c>
      <c r="X342">
        <v>94</v>
      </c>
      <c r="Y342">
        <v>96</v>
      </c>
      <c r="Z342">
        <v>86</v>
      </c>
      <c r="AA342">
        <v>3.9</v>
      </c>
      <c r="AB342">
        <v>33.200000000000003</v>
      </c>
      <c r="AC342">
        <v>80.780500000000004</v>
      </c>
      <c r="AD342">
        <v>100.6507</v>
      </c>
      <c r="AE342">
        <v>8</v>
      </c>
      <c r="AF342">
        <v>94.500799999999998</v>
      </c>
      <c r="AG342">
        <v>10.9</v>
      </c>
      <c r="AH342">
        <v>0.32</v>
      </c>
      <c r="AI342">
        <v>4.5999999999999996</v>
      </c>
      <c r="AJ342">
        <v>4.3</v>
      </c>
      <c r="AK342">
        <v>5</v>
      </c>
      <c r="AL342">
        <v>57.695599999999999</v>
      </c>
      <c r="AM342">
        <v>2.8</v>
      </c>
      <c r="AN342">
        <v>417970</v>
      </c>
      <c r="AO342">
        <v>0</v>
      </c>
      <c r="AP342">
        <v>99.659899999999993</v>
      </c>
      <c r="AQ342">
        <v>99.885900000000007</v>
      </c>
      <c r="AR342">
        <v>95.643900000000002</v>
      </c>
      <c r="AS342">
        <v>78.029600000000002</v>
      </c>
      <c r="AT342">
        <v>79.362200000000001</v>
      </c>
      <c r="AU342">
        <v>23.973299999999998</v>
      </c>
      <c r="AV342" s="19">
        <v>54.854399999999998</v>
      </c>
      <c r="AW342">
        <v>0.6</v>
      </c>
      <c r="AX342">
        <v>19.2</v>
      </c>
      <c r="AY342">
        <v>3</v>
      </c>
      <c r="AZ342">
        <v>5</v>
      </c>
      <c r="BA342">
        <v>78.930700000000002</v>
      </c>
      <c r="BB342">
        <v>11.526</v>
      </c>
      <c r="BC342">
        <v>6.2256999999999998</v>
      </c>
      <c r="BD342" s="19">
        <v>1.474</v>
      </c>
      <c r="BE342" s="19">
        <v>81.094499999999996</v>
      </c>
      <c r="BF342">
        <v>20.253399999999999</v>
      </c>
      <c r="BG342">
        <v>5.9</v>
      </c>
      <c r="BH342" s="20">
        <v>1.0503</v>
      </c>
      <c r="BI342" s="20">
        <v>1242.4846</v>
      </c>
      <c r="BJ342" s="19">
        <v>68.269199999999998</v>
      </c>
      <c r="BK342">
        <v>0.99109999999999998</v>
      </c>
      <c r="BL342">
        <v>0.99329999999999996</v>
      </c>
      <c r="BM342">
        <v>0.99460000000000004</v>
      </c>
      <c r="BN342">
        <v>8</v>
      </c>
      <c r="BO342">
        <v>16.366</v>
      </c>
      <c r="BP342">
        <v>7.22</v>
      </c>
      <c r="BQ342" s="19">
        <v>100.37730000000001</v>
      </c>
      <c r="BR342">
        <v>71.400000000000006</v>
      </c>
      <c r="BS342" s="20">
        <v>7.8659999999999997</v>
      </c>
      <c r="BT342" s="20">
        <v>7.8659999999999997</v>
      </c>
      <c r="BU342" s="20">
        <v>24.423999999999999</v>
      </c>
      <c r="BV342" s="20">
        <v>24.443000000000001</v>
      </c>
      <c r="BW342" s="1">
        <v>86.538499999999999</v>
      </c>
      <c r="BX342">
        <v>30.42</v>
      </c>
      <c r="BY342" s="5">
        <v>85956568</v>
      </c>
      <c r="BZ342" s="6">
        <v>345616227</v>
      </c>
      <c r="CA342" s="7">
        <f t="shared" si="25"/>
        <v>4.0208239468099753</v>
      </c>
      <c r="CB342">
        <v>57685327</v>
      </c>
      <c r="CC342" s="8">
        <f t="shared" si="26"/>
        <v>5.9914062201640981</v>
      </c>
      <c r="CD342" s="8">
        <f t="shared" si="27"/>
        <v>1.4900941447380545</v>
      </c>
      <c r="CE342">
        <v>302072</v>
      </c>
      <c r="CF342" s="8">
        <f t="shared" si="28"/>
        <v>284.55655605286159</v>
      </c>
      <c r="CG342" s="8">
        <f t="shared" si="29"/>
        <v>1144.1518147991208</v>
      </c>
      <c r="CH342">
        <v>99.577160000000006</v>
      </c>
    </row>
    <row r="343" spans="1:86" ht="15.5" x14ac:dyDescent="0.35">
      <c r="A343" t="s">
        <v>100</v>
      </c>
      <c r="B343">
        <v>2005</v>
      </c>
      <c r="C343" s="2">
        <v>50.9499</v>
      </c>
      <c r="D343">
        <v>743711.1</v>
      </c>
      <c r="E343">
        <v>0.16450000000000001</v>
      </c>
      <c r="F343">
        <v>8.5129999999999999</v>
      </c>
      <c r="G343">
        <v>579000</v>
      </c>
      <c r="H343">
        <v>12</v>
      </c>
      <c r="I343" s="19">
        <v>83.733000000000004</v>
      </c>
      <c r="J343" s="19">
        <v>84.7</v>
      </c>
      <c r="K343" s="19">
        <v>3.875</v>
      </c>
      <c r="L343" s="19">
        <v>67.804900000000004</v>
      </c>
      <c r="M343" s="19">
        <v>-16424000000</v>
      </c>
      <c r="N343" s="19">
        <v>81.650700000000001</v>
      </c>
      <c r="O343">
        <v>19.672999999999998</v>
      </c>
      <c r="P343">
        <v>11.657999999999999</v>
      </c>
      <c r="Q343" s="19">
        <v>32148.045999999998</v>
      </c>
      <c r="R343" s="19">
        <v>33521.320200000002</v>
      </c>
      <c r="S343" s="19">
        <v>0.26850000000000002</v>
      </c>
      <c r="T343" s="19">
        <v>51761.126300000004</v>
      </c>
      <c r="U343" s="19">
        <v>30240.339499999998</v>
      </c>
      <c r="V343">
        <v>33.799999999999997</v>
      </c>
      <c r="W343" s="19">
        <v>69.607799999999997</v>
      </c>
      <c r="X343">
        <v>95</v>
      </c>
      <c r="Y343">
        <v>96</v>
      </c>
      <c r="Z343">
        <v>87</v>
      </c>
      <c r="AA343">
        <v>3.8</v>
      </c>
      <c r="AB343">
        <v>35</v>
      </c>
      <c r="AC343">
        <v>80.782899999999998</v>
      </c>
      <c r="AD343">
        <v>100.875</v>
      </c>
      <c r="AE343">
        <v>8</v>
      </c>
      <c r="AF343">
        <v>95.593599999999995</v>
      </c>
      <c r="AG343">
        <v>10.3</v>
      </c>
      <c r="AH343">
        <v>0.32</v>
      </c>
      <c r="AI343">
        <v>4.5</v>
      </c>
      <c r="AJ343">
        <v>4.0999999999999996</v>
      </c>
      <c r="AK343">
        <v>4.8</v>
      </c>
      <c r="AL343">
        <v>58.351500000000001</v>
      </c>
      <c r="AM343">
        <v>2.7</v>
      </c>
      <c r="AN343">
        <v>258702</v>
      </c>
      <c r="AO343">
        <v>0</v>
      </c>
      <c r="AP343">
        <v>99.685599999999994</v>
      </c>
      <c r="AQ343">
        <v>99.885800000000003</v>
      </c>
      <c r="AR343">
        <v>95.863</v>
      </c>
      <c r="AS343">
        <v>78.033100000000005</v>
      </c>
      <c r="AT343">
        <v>79.365799999999993</v>
      </c>
      <c r="AU343">
        <v>23.340299999999999</v>
      </c>
      <c r="AV343" s="19">
        <v>63.1068</v>
      </c>
      <c r="AW343">
        <v>0.6</v>
      </c>
      <c r="AX343">
        <v>19.3</v>
      </c>
      <c r="AY343">
        <v>3</v>
      </c>
      <c r="AZ343">
        <v>5</v>
      </c>
      <c r="BA343">
        <v>78.9358</v>
      </c>
      <c r="BB343">
        <v>11.526</v>
      </c>
      <c r="BC343">
        <v>6.4619999999999997</v>
      </c>
      <c r="BD343" s="19">
        <v>0.76200000000000001</v>
      </c>
      <c r="BE343" s="19">
        <v>78.431399999999996</v>
      </c>
      <c r="BF343">
        <v>18.2075</v>
      </c>
      <c r="BG343">
        <v>6.7</v>
      </c>
      <c r="BH343" s="20">
        <v>1.0444</v>
      </c>
      <c r="BI343" s="20">
        <v>1412.5940000000001</v>
      </c>
      <c r="BJ343" s="19">
        <v>64.593299999999999</v>
      </c>
      <c r="BK343">
        <v>0.98650000000000004</v>
      </c>
      <c r="BL343">
        <v>0.99050000000000005</v>
      </c>
      <c r="BM343">
        <v>0.99299999999999999</v>
      </c>
      <c r="BN343">
        <v>8</v>
      </c>
      <c r="BO343">
        <v>17.283999999999999</v>
      </c>
      <c r="BP343">
        <v>6.76</v>
      </c>
      <c r="BQ343" s="19">
        <v>98.532300000000006</v>
      </c>
      <c r="BR343">
        <v>71.81</v>
      </c>
      <c r="BS343" s="20">
        <v>7.73</v>
      </c>
      <c r="BT343" s="20">
        <v>7.7309999999999999</v>
      </c>
      <c r="BU343" s="20">
        <v>24.113</v>
      </c>
      <c r="BV343" s="20">
        <v>24.117999999999999</v>
      </c>
      <c r="BW343" s="1">
        <v>81.730800000000002</v>
      </c>
      <c r="BX343">
        <v>31.28</v>
      </c>
      <c r="BY343" s="5">
        <v>88268463</v>
      </c>
      <c r="BZ343" s="6">
        <v>355016650</v>
      </c>
      <c r="CA343" s="7">
        <f t="shared" si="25"/>
        <v>4.0220101034273137</v>
      </c>
      <c r="CB343">
        <v>57969484</v>
      </c>
      <c r="CC343" s="8">
        <f t="shared" si="26"/>
        <v>6.1241988974750923</v>
      </c>
      <c r="CD343" s="8">
        <f t="shared" si="27"/>
        <v>1.5226711867920024</v>
      </c>
      <c r="CE343">
        <v>302072</v>
      </c>
      <c r="CF343" s="8">
        <f t="shared" si="28"/>
        <v>292.21001284461983</v>
      </c>
      <c r="CG343" s="8">
        <f t="shared" si="29"/>
        <v>1175.2716239836859</v>
      </c>
      <c r="CH343">
        <v>99.037289999999999</v>
      </c>
    </row>
    <row r="344" spans="1:86" ht="15.5" x14ac:dyDescent="0.35">
      <c r="A344" t="s">
        <v>100</v>
      </c>
      <c r="B344">
        <v>2006</v>
      </c>
      <c r="C344" s="2">
        <v>51.561500000000002</v>
      </c>
      <c r="D344">
        <v>738698.9</v>
      </c>
      <c r="E344">
        <v>0.15970000000000001</v>
      </c>
      <c r="F344">
        <v>8.3917999999999999</v>
      </c>
      <c r="G344">
        <v>569000</v>
      </c>
      <c r="H344">
        <v>12</v>
      </c>
      <c r="I344" s="19">
        <v>85.6</v>
      </c>
      <c r="J344" s="19">
        <v>86.5</v>
      </c>
      <c r="K344" s="19">
        <v>3.7789999999999999</v>
      </c>
      <c r="L344" s="19">
        <v>71.219499999999996</v>
      </c>
      <c r="M344" s="19">
        <v>-28773000000</v>
      </c>
      <c r="N344" s="19">
        <v>91.221999999999994</v>
      </c>
      <c r="O344">
        <v>21.762</v>
      </c>
      <c r="P344">
        <v>14.4626</v>
      </c>
      <c r="Q344" s="19">
        <v>33602.692000000003</v>
      </c>
      <c r="R344" s="19">
        <v>34022.118999999999</v>
      </c>
      <c r="S344" s="19">
        <v>1.494</v>
      </c>
      <c r="T344" s="19">
        <v>52534.422599999998</v>
      </c>
      <c r="U344" s="19">
        <v>32603.404500000001</v>
      </c>
      <c r="V344">
        <v>33.700000000000003</v>
      </c>
      <c r="W344" s="19">
        <v>64.878100000000003</v>
      </c>
      <c r="X344">
        <v>96</v>
      </c>
      <c r="Y344">
        <v>96</v>
      </c>
      <c r="Z344">
        <v>88</v>
      </c>
      <c r="AA344">
        <v>3.7</v>
      </c>
      <c r="AB344">
        <v>38</v>
      </c>
      <c r="AC344">
        <v>81.282899999999998</v>
      </c>
      <c r="AD344">
        <v>101.6046</v>
      </c>
      <c r="AE344">
        <v>7</v>
      </c>
      <c r="AF344">
        <v>95.678100000000001</v>
      </c>
      <c r="AG344">
        <v>10.3</v>
      </c>
      <c r="AH344">
        <v>0.3</v>
      </c>
      <c r="AI344">
        <v>4.3</v>
      </c>
      <c r="AJ344">
        <v>4</v>
      </c>
      <c r="AK344">
        <v>4.7</v>
      </c>
      <c r="AL344">
        <v>58.707599999999999</v>
      </c>
      <c r="AM344">
        <v>2.6</v>
      </c>
      <c r="AN344">
        <v>215995</v>
      </c>
      <c r="AO344">
        <v>0</v>
      </c>
      <c r="AP344">
        <v>99.711299999999994</v>
      </c>
      <c r="AQ344">
        <v>99.885800000000003</v>
      </c>
      <c r="AR344">
        <v>96.082300000000004</v>
      </c>
      <c r="AS344">
        <v>78.036600000000007</v>
      </c>
      <c r="AT344">
        <v>79.369399999999999</v>
      </c>
      <c r="AU344">
        <v>22.622699999999998</v>
      </c>
      <c r="AV344" s="19">
        <v>62.318800000000003</v>
      </c>
      <c r="AW344">
        <v>0.7</v>
      </c>
      <c r="AX344">
        <v>19.5</v>
      </c>
      <c r="AY344">
        <v>3</v>
      </c>
      <c r="AZ344">
        <v>5</v>
      </c>
      <c r="BA344">
        <v>78.941000000000003</v>
      </c>
      <c r="BB344">
        <v>17.301600000000001</v>
      </c>
      <c r="BC344">
        <v>6.5595999999999997</v>
      </c>
      <c r="BD344" s="19">
        <v>1.7989999999999999</v>
      </c>
      <c r="BE344" s="19">
        <v>78.921599999999998</v>
      </c>
      <c r="BF344">
        <v>18.166</v>
      </c>
      <c r="BG344">
        <v>7.5</v>
      </c>
      <c r="BH344" s="20">
        <v>1.0840000000000001</v>
      </c>
      <c r="BI344" s="20">
        <v>1507.9041</v>
      </c>
      <c r="BJ344" s="19">
        <v>61.722499999999997</v>
      </c>
      <c r="BK344">
        <v>0.98580000000000001</v>
      </c>
      <c r="BL344">
        <v>0.9889</v>
      </c>
      <c r="BM344">
        <v>0.99080000000000001</v>
      </c>
      <c r="BN344">
        <v>8</v>
      </c>
      <c r="BO344">
        <v>16.803999999999998</v>
      </c>
      <c r="BP344">
        <v>6.77</v>
      </c>
      <c r="BQ344" s="19">
        <v>95.377300000000005</v>
      </c>
      <c r="BR344">
        <v>74.8566</v>
      </c>
      <c r="BS344" s="20">
        <v>6.7770000000000001</v>
      </c>
      <c r="BT344" s="20">
        <v>6.7770000000000001</v>
      </c>
      <c r="BU344" s="20">
        <v>21.792000000000002</v>
      </c>
      <c r="BV344" s="20">
        <v>21.763000000000002</v>
      </c>
      <c r="BW344" s="1">
        <v>83.173100000000005</v>
      </c>
      <c r="BX344">
        <v>31.63</v>
      </c>
      <c r="BY344" s="5">
        <v>93044399</v>
      </c>
      <c r="BZ344" s="6">
        <v>366764778</v>
      </c>
      <c r="CA344" s="7">
        <f t="shared" si="25"/>
        <v>3.9418254289546222</v>
      </c>
      <c r="CB344">
        <v>58143979</v>
      </c>
      <c r="CC344" s="8">
        <f t="shared" si="26"/>
        <v>6.3078720154325865</v>
      </c>
      <c r="CD344" s="8">
        <f t="shared" si="27"/>
        <v>1.6002413422720863</v>
      </c>
      <c r="CE344">
        <v>302072</v>
      </c>
      <c r="CF344" s="8">
        <f t="shared" si="28"/>
        <v>308.02060104875659</v>
      </c>
      <c r="CG344" s="8">
        <f t="shared" si="29"/>
        <v>1214.1634378558754</v>
      </c>
      <c r="CH344">
        <v>98.895610000000005</v>
      </c>
    </row>
    <row r="345" spans="1:86" ht="15.5" x14ac:dyDescent="0.35">
      <c r="A345" t="s">
        <v>100</v>
      </c>
      <c r="B345">
        <v>2007</v>
      </c>
      <c r="C345" s="2">
        <v>51.902900000000002</v>
      </c>
      <c r="D345">
        <v>725381.3</v>
      </c>
      <c r="E345">
        <v>0.15509999999999999</v>
      </c>
      <c r="F345">
        <v>8.2261000000000006</v>
      </c>
      <c r="G345">
        <v>560000</v>
      </c>
      <c r="H345">
        <v>12</v>
      </c>
      <c r="I345" s="19">
        <v>87.332999999999998</v>
      </c>
      <c r="J345" s="19">
        <v>88.9</v>
      </c>
      <c r="K345" s="19">
        <v>5.1950000000000003</v>
      </c>
      <c r="L345" s="19">
        <v>67.475700000000003</v>
      </c>
      <c r="M345" s="19">
        <v>-30267000000</v>
      </c>
      <c r="N345" s="19">
        <v>109.38590000000001</v>
      </c>
      <c r="O345">
        <v>22.013999999999999</v>
      </c>
      <c r="P345">
        <v>17.124600000000001</v>
      </c>
      <c r="Q345" s="19">
        <v>37989.366999999998</v>
      </c>
      <c r="R345" s="19">
        <v>34345.759899999997</v>
      </c>
      <c r="S345" s="19">
        <v>0.95130000000000003</v>
      </c>
      <c r="T345" s="19">
        <v>53034.164700000001</v>
      </c>
      <c r="U345" s="19">
        <v>34294.343099999998</v>
      </c>
      <c r="V345">
        <v>32.9</v>
      </c>
      <c r="W345" s="19">
        <v>58.737900000000003</v>
      </c>
      <c r="X345">
        <v>97</v>
      </c>
      <c r="Y345">
        <v>97</v>
      </c>
      <c r="Z345">
        <v>90</v>
      </c>
      <c r="AA345">
        <v>3.6</v>
      </c>
      <c r="AB345">
        <v>40.799999999999997</v>
      </c>
      <c r="AC345">
        <v>81.434100000000001</v>
      </c>
      <c r="AD345">
        <v>101.9614</v>
      </c>
      <c r="AE345">
        <v>7</v>
      </c>
      <c r="AF345">
        <v>95.781800000000004</v>
      </c>
      <c r="AG345">
        <v>9.6999999999999993</v>
      </c>
      <c r="AH345">
        <v>0.33</v>
      </c>
      <c r="AI345">
        <v>4.2</v>
      </c>
      <c r="AJ345">
        <v>3.9</v>
      </c>
      <c r="AK345">
        <v>4.5999999999999996</v>
      </c>
      <c r="AL345">
        <v>58.906100000000002</v>
      </c>
      <c r="AM345">
        <v>2.5</v>
      </c>
      <c r="AN345">
        <v>495092</v>
      </c>
      <c r="AO345">
        <v>0</v>
      </c>
      <c r="AP345">
        <v>99.736999999999995</v>
      </c>
      <c r="AQ345">
        <v>99.885800000000003</v>
      </c>
      <c r="AR345">
        <v>96.132300000000001</v>
      </c>
      <c r="AS345">
        <v>78.040099999999995</v>
      </c>
      <c r="AT345">
        <v>79.373099999999994</v>
      </c>
      <c r="AU345">
        <v>21.7883</v>
      </c>
      <c r="AV345" s="19">
        <v>60.386499999999998</v>
      </c>
      <c r="AW345">
        <v>0.7</v>
      </c>
      <c r="AX345">
        <v>18.899999999999999</v>
      </c>
      <c r="AY345">
        <v>3</v>
      </c>
      <c r="AZ345">
        <v>5</v>
      </c>
      <c r="BA345">
        <v>78.946200000000005</v>
      </c>
      <c r="BB345">
        <v>17.301600000000001</v>
      </c>
      <c r="BC345">
        <v>6.3045</v>
      </c>
      <c r="BD345" s="19">
        <v>1.462</v>
      </c>
      <c r="BE345" s="19">
        <v>78.155299999999997</v>
      </c>
      <c r="BF345">
        <v>17.006699999999999</v>
      </c>
      <c r="BG345">
        <v>8.6999999999999993</v>
      </c>
      <c r="BH345" s="20">
        <v>1.129</v>
      </c>
      <c r="BI345" s="20">
        <v>1579.8928000000001</v>
      </c>
      <c r="BJ345" s="19">
        <v>63.636400000000002</v>
      </c>
      <c r="BK345">
        <v>0.98750000000000004</v>
      </c>
      <c r="BL345">
        <v>0.98899999999999999</v>
      </c>
      <c r="BM345">
        <v>0.9899</v>
      </c>
      <c r="BN345">
        <v>8</v>
      </c>
      <c r="BO345">
        <v>16.161999999999999</v>
      </c>
      <c r="BP345">
        <v>6.75</v>
      </c>
      <c r="BQ345" s="19">
        <v>96.985299999999995</v>
      </c>
      <c r="BR345">
        <v>76.858199999999997</v>
      </c>
      <c r="BS345" s="20">
        <v>6.0759999999999996</v>
      </c>
      <c r="BT345" s="20">
        <v>6.0759999999999996</v>
      </c>
      <c r="BU345" s="20">
        <v>20.384</v>
      </c>
      <c r="BV345" s="20">
        <v>20.361000000000001</v>
      </c>
      <c r="BW345" s="1">
        <v>86.057699999999997</v>
      </c>
      <c r="BX345">
        <v>34.17</v>
      </c>
      <c r="BY345" s="5">
        <v>96150083</v>
      </c>
      <c r="BZ345" s="6">
        <v>376641751</v>
      </c>
      <c r="CA345" s="7">
        <f t="shared" si="25"/>
        <v>3.9172275181499323</v>
      </c>
      <c r="CB345">
        <v>58438310</v>
      </c>
      <c r="CC345" s="8">
        <f t="shared" si="26"/>
        <v>6.4451170986977546</v>
      </c>
      <c r="CD345" s="8">
        <f t="shared" si="27"/>
        <v>1.6453262080987625</v>
      </c>
      <c r="CE345">
        <v>302072</v>
      </c>
      <c r="CF345" s="8">
        <f t="shared" si="28"/>
        <v>318.30187173918802</v>
      </c>
      <c r="CG345" s="8">
        <f t="shared" si="29"/>
        <v>1246.8608510553775</v>
      </c>
      <c r="CH345">
        <v>98.27628</v>
      </c>
    </row>
    <row r="346" spans="1:86" ht="15.5" x14ac:dyDescent="0.35">
      <c r="A346" t="s">
        <v>100</v>
      </c>
      <c r="B346">
        <v>2008</v>
      </c>
      <c r="C346" s="2">
        <v>52.0471</v>
      </c>
      <c r="D346">
        <v>711182.2</v>
      </c>
      <c r="E346">
        <v>0.1517</v>
      </c>
      <c r="F346">
        <v>7.9112999999999998</v>
      </c>
      <c r="G346">
        <v>546000</v>
      </c>
      <c r="H346">
        <v>12</v>
      </c>
      <c r="I346" s="19">
        <v>90.382999999999996</v>
      </c>
      <c r="J346" s="19">
        <v>91</v>
      </c>
      <c r="K346" s="19">
        <v>4.5810000000000004</v>
      </c>
      <c r="L346" s="19">
        <v>64.077699999999993</v>
      </c>
      <c r="M346" s="19">
        <v>-65821000000</v>
      </c>
      <c r="N346" s="19">
        <v>118.76600000000001</v>
      </c>
      <c r="O346">
        <v>21.62</v>
      </c>
      <c r="P346">
        <v>18.932099999999998</v>
      </c>
      <c r="Q346" s="19">
        <v>40968.981</v>
      </c>
      <c r="R346" s="19">
        <v>33769.897400000002</v>
      </c>
      <c r="S346" s="19">
        <v>-1.6767000000000001</v>
      </c>
      <c r="T346" s="19">
        <v>52144.960599999999</v>
      </c>
      <c r="U346" s="19">
        <v>35653.837899999999</v>
      </c>
      <c r="V346">
        <v>33.799999999999997</v>
      </c>
      <c r="W346" s="19">
        <v>62.621400000000001</v>
      </c>
      <c r="X346">
        <v>96</v>
      </c>
      <c r="Y346">
        <v>96</v>
      </c>
      <c r="Z346">
        <v>90</v>
      </c>
      <c r="AA346">
        <v>3.5</v>
      </c>
      <c r="AB346">
        <v>44.5</v>
      </c>
      <c r="AC346">
        <v>81.485399999999998</v>
      </c>
      <c r="AD346">
        <v>100.41930000000001</v>
      </c>
      <c r="AE346">
        <v>7</v>
      </c>
      <c r="AF346">
        <v>95.994699999999995</v>
      </c>
      <c r="AG346">
        <v>8.9</v>
      </c>
      <c r="AH346">
        <v>0.32</v>
      </c>
      <c r="AI346">
        <v>4.0999999999999996</v>
      </c>
      <c r="AJ346">
        <v>3.8</v>
      </c>
      <c r="AK346">
        <v>4.5</v>
      </c>
      <c r="AL346">
        <v>58.357300000000002</v>
      </c>
      <c r="AM346">
        <v>2.5</v>
      </c>
      <c r="AN346">
        <v>422534</v>
      </c>
      <c r="AO346">
        <v>0</v>
      </c>
      <c r="AP346">
        <v>99.762799999999999</v>
      </c>
      <c r="AQ346">
        <v>99.885800000000003</v>
      </c>
      <c r="AR346">
        <v>95.900700000000001</v>
      </c>
      <c r="AS346">
        <v>78.043599999999998</v>
      </c>
      <c r="AT346">
        <v>79.3767</v>
      </c>
      <c r="AU346">
        <v>20.995699999999999</v>
      </c>
      <c r="AV346" s="19">
        <v>65.384600000000006</v>
      </c>
      <c r="AW346">
        <v>0.7</v>
      </c>
      <c r="AX346">
        <v>18.399999999999999</v>
      </c>
      <c r="AY346">
        <v>3</v>
      </c>
      <c r="AZ346">
        <v>5</v>
      </c>
      <c r="BA346">
        <v>78.951300000000003</v>
      </c>
      <c r="BB346">
        <v>21.2698</v>
      </c>
      <c r="BC346">
        <v>6.6279000000000003</v>
      </c>
      <c r="BD346" s="19">
        <v>-1.0229999999999999</v>
      </c>
      <c r="BE346" s="19">
        <v>79.126199999999997</v>
      </c>
      <c r="BF346">
        <v>19.980599999999999</v>
      </c>
      <c r="BG346">
        <v>10.8</v>
      </c>
      <c r="BH346" s="20">
        <v>1.1597</v>
      </c>
      <c r="BI346" s="20">
        <v>1613.5142000000001</v>
      </c>
      <c r="BJ346" s="19">
        <v>62.5</v>
      </c>
      <c r="BK346">
        <v>0.98809999999999998</v>
      </c>
      <c r="BL346">
        <v>0.98939999999999995</v>
      </c>
      <c r="BM346">
        <v>0.99019999999999997</v>
      </c>
      <c r="BN346">
        <v>8</v>
      </c>
      <c r="BO346">
        <v>16.591000000000001</v>
      </c>
      <c r="BP346">
        <v>6.99</v>
      </c>
      <c r="BQ346" s="19">
        <v>93.876400000000004</v>
      </c>
      <c r="BR346">
        <v>75.366</v>
      </c>
      <c r="BS346" s="20">
        <v>6.7229999999999999</v>
      </c>
      <c r="BT346" s="20">
        <v>6.7229999999999999</v>
      </c>
      <c r="BU346" s="20">
        <v>21.216999999999999</v>
      </c>
      <c r="BV346" s="20">
        <v>21.204999999999998</v>
      </c>
      <c r="BW346" s="1">
        <v>81.25</v>
      </c>
      <c r="BX346">
        <v>33.19</v>
      </c>
      <c r="BY346" s="5">
        <v>95546086</v>
      </c>
      <c r="BZ346" s="6">
        <v>373666712</v>
      </c>
      <c r="CA346" s="7">
        <f t="shared" si="25"/>
        <v>3.9108531562454583</v>
      </c>
      <c r="CB346">
        <v>58826731</v>
      </c>
      <c r="CC346" s="8">
        <f t="shared" si="26"/>
        <v>6.3519883843282061</v>
      </c>
      <c r="CD346" s="8">
        <f t="shared" si="27"/>
        <v>1.624195061935364</v>
      </c>
      <c r="CE346">
        <v>302072</v>
      </c>
      <c r="CF346" s="8">
        <f t="shared" si="28"/>
        <v>316.30235837813501</v>
      </c>
      <c r="CG346" s="8">
        <f t="shared" si="29"/>
        <v>1237.0120765910115</v>
      </c>
      <c r="CH346">
        <v>98.044719999999998</v>
      </c>
    </row>
    <row r="347" spans="1:86" ht="15.5" x14ac:dyDescent="0.35">
      <c r="A347" t="s">
        <v>100</v>
      </c>
      <c r="B347">
        <v>2009</v>
      </c>
      <c r="C347" s="2">
        <v>52.327599999999997</v>
      </c>
      <c r="D347">
        <v>655666.19999999995</v>
      </c>
      <c r="E347">
        <v>0.1426</v>
      </c>
      <c r="F347">
        <v>7.0091999999999999</v>
      </c>
      <c r="G347">
        <v>492000</v>
      </c>
      <c r="H347">
        <v>12</v>
      </c>
      <c r="I347" s="19">
        <v>91.075000000000003</v>
      </c>
      <c r="J347" s="19">
        <v>92</v>
      </c>
      <c r="K347" s="19">
        <v>3.16</v>
      </c>
      <c r="L347" s="19">
        <v>64.114800000000002</v>
      </c>
      <c r="M347" s="19">
        <v>-40207000000</v>
      </c>
      <c r="N347" s="19">
        <v>89.041200000000003</v>
      </c>
      <c r="O347">
        <v>21.571999999999999</v>
      </c>
      <c r="P347">
        <v>20.173200000000001</v>
      </c>
      <c r="Q347" s="19">
        <v>37143.445</v>
      </c>
      <c r="R347" s="19">
        <v>31832.986000000001</v>
      </c>
      <c r="S347" s="19">
        <v>-5.7355999999999998</v>
      </c>
      <c r="T347" s="19">
        <v>49154.126400000001</v>
      </c>
      <c r="U347" s="19">
        <v>34752.205399999999</v>
      </c>
      <c r="V347">
        <v>33.799999999999997</v>
      </c>
      <c r="W347" s="19">
        <v>66.985600000000005</v>
      </c>
      <c r="X347">
        <v>96</v>
      </c>
      <c r="Y347">
        <v>96</v>
      </c>
      <c r="Z347">
        <v>90</v>
      </c>
      <c r="AA347">
        <v>3.4</v>
      </c>
      <c r="AB347">
        <v>48.8</v>
      </c>
      <c r="AC347">
        <v>81.636600000000001</v>
      </c>
      <c r="AD347">
        <v>100.14879999999999</v>
      </c>
      <c r="AE347">
        <v>8</v>
      </c>
      <c r="AF347">
        <v>96.043899999999994</v>
      </c>
      <c r="AG347">
        <v>8</v>
      </c>
      <c r="AH347">
        <v>0.32</v>
      </c>
      <c r="AI347">
        <v>4.0999999999999996</v>
      </c>
      <c r="AJ347">
        <v>3.7</v>
      </c>
      <c r="AK347">
        <v>4.4000000000000004</v>
      </c>
      <c r="AL347" s="24">
        <v>58.195099999999996</v>
      </c>
      <c r="AM347">
        <v>2.5</v>
      </c>
      <c r="AN347">
        <v>283676</v>
      </c>
      <c r="AO347">
        <v>0</v>
      </c>
      <c r="AP347">
        <v>99.788499999999999</v>
      </c>
      <c r="AQ347">
        <v>99.8857</v>
      </c>
      <c r="AR347">
        <v>95.668899999999994</v>
      </c>
      <c r="AS347">
        <v>78.047200000000004</v>
      </c>
      <c r="AT347">
        <v>79.380300000000005</v>
      </c>
      <c r="AU347">
        <v>20.4038</v>
      </c>
      <c r="AV347" s="19">
        <v>54.502400000000002</v>
      </c>
      <c r="AW347">
        <v>0.9</v>
      </c>
      <c r="AX347">
        <v>18.7</v>
      </c>
      <c r="AY347">
        <v>3</v>
      </c>
      <c r="AZ347">
        <v>5</v>
      </c>
      <c r="BA347">
        <v>78.956500000000005</v>
      </c>
      <c r="BB347">
        <v>21.2698</v>
      </c>
      <c r="BC347">
        <v>7.0095999999999998</v>
      </c>
      <c r="BD347" s="19">
        <v>-5.3049999999999997</v>
      </c>
      <c r="BE347" s="19">
        <v>78.468900000000005</v>
      </c>
      <c r="BF347">
        <v>25.135400000000001</v>
      </c>
      <c r="BG347">
        <v>12.5</v>
      </c>
      <c r="BH347" s="20">
        <v>1.2179</v>
      </c>
      <c r="BI347" s="20">
        <v>1703.8469</v>
      </c>
      <c r="BJ347" s="19">
        <v>62.559199999999997</v>
      </c>
      <c r="BK347">
        <v>0.98860000000000003</v>
      </c>
      <c r="BL347">
        <v>0.99080000000000001</v>
      </c>
      <c r="BM347">
        <v>0.99219999999999997</v>
      </c>
      <c r="BN347">
        <v>8</v>
      </c>
      <c r="BO347">
        <v>17.565999999999999</v>
      </c>
      <c r="BP347">
        <v>7.1</v>
      </c>
      <c r="BQ347" s="19">
        <v>98.532799999999995</v>
      </c>
      <c r="BR347">
        <v>70.850399999999993</v>
      </c>
      <c r="BS347" s="20">
        <v>7.7489999999999997</v>
      </c>
      <c r="BT347" s="20">
        <v>7.7489999999999997</v>
      </c>
      <c r="BU347" s="20">
        <v>25.352</v>
      </c>
      <c r="BV347" s="20">
        <v>25.34</v>
      </c>
      <c r="BW347" s="1">
        <v>81.516599999999997</v>
      </c>
      <c r="BX347">
        <v>34.93</v>
      </c>
      <c r="BY347" s="5">
        <v>95499801</v>
      </c>
      <c r="BZ347" s="6">
        <v>370762377</v>
      </c>
      <c r="CA347" s="7">
        <f t="shared" si="25"/>
        <v>3.8823366448690297</v>
      </c>
      <c r="CB347">
        <v>59095365</v>
      </c>
      <c r="CC347" s="8">
        <f t="shared" si="26"/>
        <v>6.2739671207716547</v>
      </c>
      <c r="CD347" s="8">
        <f t="shared" si="27"/>
        <v>1.6160286174727916</v>
      </c>
      <c r="CE347">
        <v>302072</v>
      </c>
      <c r="CF347" s="8">
        <f t="shared" si="28"/>
        <v>316.14913331920866</v>
      </c>
      <c r="CG347" s="8">
        <f t="shared" si="29"/>
        <v>1227.3973655287482</v>
      </c>
      <c r="CH347">
        <v>99.735330000000005</v>
      </c>
    </row>
    <row r="348" spans="1:86" ht="15.5" x14ac:dyDescent="0.35">
      <c r="A348" t="s">
        <v>100</v>
      </c>
      <c r="B348">
        <v>2010</v>
      </c>
      <c r="C348" s="2">
        <v>52.6601</v>
      </c>
      <c r="D348">
        <v>650406.30000000005</v>
      </c>
      <c r="E348">
        <v>0.14380000000000001</v>
      </c>
      <c r="F348">
        <v>7.1535000000000002</v>
      </c>
      <c r="G348">
        <v>501000</v>
      </c>
      <c r="H348">
        <v>12</v>
      </c>
      <c r="I348" s="19">
        <v>92.55</v>
      </c>
      <c r="J348" s="19">
        <v>93.9</v>
      </c>
      <c r="K348" s="19">
        <v>4.1509999999999998</v>
      </c>
      <c r="L348" s="19">
        <v>64.285700000000006</v>
      </c>
      <c r="M348" s="19">
        <v>-69186000000</v>
      </c>
      <c r="N348" s="19">
        <v>97.879900000000006</v>
      </c>
      <c r="O348">
        <v>21.164000000000001</v>
      </c>
      <c r="P348">
        <v>21.770499999999998</v>
      </c>
      <c r="Q348" s="19">
        <v>35963.743000000002</v>
      </c>
      <c r="R348" s="19">
        <v>32220.486099999998</v>
      </c>
      <c r="S348" s="19">
        <v>1.2173</v>
      </c>
      <c r="T348" s="19">
        <v>49752.475100000003</v>
      </c>
      <c r="U348" s="19">
        <v>35297.807800000002</v>
      </c>
      <c r="V348">
        <v>34.700000000000003</v>
      </c>
      <c r="W348" s="19">
        <v>67.464100000000002</v>
      </c>
      <c r="X348">
        <v>96</v>
      </c>
      <c r="Y348">
        <v>96</v>
      </c>
      <c r="Z348">
        <v>91</v>
      </c>
      <c r="AA348">
        <v>3.4</v>
      </c>
      <c r="AB348">
        <v>53.7</v>
      </c>
      <c r="AC348">
        <v>82.036600000000007</v>
      </c>
      <c r="AD348">
        <v>99.828900000000004</v>
      </c>
      <c r="AE348">
        <v>8</v>
      </c>
      <c r="AF348">
        <v>96.550600000000003</v>
      </c>
      <c r="AG348">
        <v>7.3</v>
      </c>
      <c r="AH348">
        <v>0.31</v>
      </c>
      <c r="AI348">
        <v>4</v>
      </c>
      <c r="AJ348">
        <v>3.6</v>
      </c>
      <c r="AK348">
        <v>4.3</v>
      </c>
      <c r="AL348">
        <v>58.258800000000001</v>
      </c>
      <c r="AM348">
        <v>2.4</v>
      </c>
      <c r="AN348">
        <v>274387</v>
      </c>
      <c r="AO348">
        <v>0</v>
      </c>
      <c r="AP348">
        <v>99.8142</v>
      </c>
      <c r="AQ348">
        <v>99.8857</v>
      </c>
      <c r="AR348">
        <v>95.436999999999998</v>
      </c>
      <c r="AS348">
        <v>78.050700000000006</v>
      </c>
      <c r="AT348">
        <v>79.383899999999997</v>
      </c>
      <c r="AU348">
        <v>20.171199999999999</v>
      </c>
      <c r="AV348" s="19">
        <v>62.559199999999997</v>
      </c>
      <c r="AW348">
        <v>1.3</v>
      </c>
      <c r="AX348">
        <v>19.8</v>
      </c>
      <c r="AY348">
        <v>3</v>
      </c>
      <c r="AZ348">
        <v>5</v>
      </c>
      <c r="BA348">
        <v>78.961699999999993</v>
      </c>
      <c r="BB348">
        <v>21.2698</v>
      </c>
      <c r="BC348">
        <v>6.9949000000000003</v>
      </c>
      <c r="BD348" s="19">
        <v>1.5289999999999999</v>
      </c>
      <c r="BE348" s="19">
        <v>77.512</v>
      </c>
      <c r="BF348">
        <v>26.570900000000002</v>
      </c>
      <c r="BG348">
        <v>12.8</v>
      </c>
      <c r="BH348" s="20">
        <v>1.218</v>
      </c>
      <c r="BI348" s="20">
        <v>1722.6681000000001</v>
      </c>
      <c r="BJ348" s="19">
        <v>63.981000000000002</v>
      </c>
      <c r="BK348">
        <v>0.99050000000000005</v>
      </c>
      <c r="BL348">
        <v>0.99</v>
      </c>
      <c r="BM348">
        <v>0.98960000000000004</v>
      </c>
      <c r="BN348">
        <v>8</v>
      </c>
      <c r="BO348">
        <v>18.997</v>
      </c>
      <c r="BP348">
        <v>7</v>
      </c>
      <c r="BQ348" s="19">
        <v>94.245199999999997</v>
      </c>
      <c r="BR348">
        <v>68.072800000000001</v>
      </c>
      <c r="BS348" s="20">
        <v>8.3629999999999995</v>
      </c>
      <c r="BT348" s="20">
        <v>8.3629999999999995</v>
      </c>
      <c r="BU348" s="20">
        <v>27.91</v>
      </c>
      <c r="BV348" s="20">
        <v>27.902999999999999</v>
      </c>
      <c r="BW348" s="1">
        <v>75.829400000000007</v>
      </c>
      <c r="BX348">
        <v>37.130000000000003</v>
      </c>
      <c r="BY348" s="5">
        <v>98813845</v>
      </c>
      <c r="BZ348" s="6">
        <v>375542550</v>
      </c>
      <c r="CA348" s="7">
        <f t="shared" si="25"/>
        <v>3.8005053846452386</v>
      </c>
      <c r="CB348">
        <v>59277417</v>
      </c>
      <c r="CC348" s="8">
        <f t="shared" si="26"/>
        <v>6.3353393080538583</v>
      </c>
      <c r="CD348" s="8">
        <f t="shared" si="27"/>
        <v>1.666972854097202</v>
      </c>
      <c r="CE348">
        <v>302072</v>
      </c>
      <c r="CF348" s="8">
        <f t="shared" si="28"/>
        <v>327.12017333615825</v>
      </c>
      <c r="CG348" s="8">
        <f t="shared" si="29"/>
        <v>1243.2219801901533</v>
      </c>
      <c r="CH348">
        <v>98.955650000000006</v>
      </c>
    </row>
    <row r="349" spans="1:86" ht="15.5" x14ac:dyDescent="0.35">
      <c r="A349" t="s">
        <v>100</v>
      </c>
      <c r="B349">
        <v>2011</v>
      </c>
      <c r="C349" s="2">
        <v>53.127099999999999</v>
      </c>
      <c r="D349">
        <v>610417</v>
      </c>
      <c r="E349">
        <v>0.13969999999999999</v>
      </c>
      <c r="F349">
        <v>6.9874000000000001</v>
      </c>
      <c r="G349">
        <v>488000</v>
      </c>
      <c r="H349">
        <v>12</v>
      </c>
      <c r="I349" s="19">
        <v>95.266999999999996</v>
      </c>
      <c r="J349" s="19">
        <v>97.4</v>
      </c>
      <c r="K349" s="19">
        <v>4.6689999999999996</v>
      </c>
      <c r="L349" s="19">
        <v>65.876800000000003</v>
      </c>
      <c r="M349" s="19">
        <v>-63255000000</v>
      </c>
      <c r="N349" s="19">
        <v>114.50109999999999</v>
      </c>
      <c r="O349">
        <v>21.588000000000001</v>
      </c>
      <c r="P349">
        <v>22.393899999999999</v>
      </c>
      <c r="Q349" s="19">
        <v>38475.822999999997</v>
      </c>
      <c r="R349" s="19">
        <v>32388.817999999999</v>
      </c>
      <c r="S349" s="19">
        <v>0.52239999999999998</v>
      </c>
      <c r="T349" s="19">
        <v>50012.400800000003</v>
      </c>
      <c r="U349" s="19">
        <v>36789.054300000003</v>
      </c>
      <c r="V349">
        <v>35.1</v>
      </c>
      <c r="W349" s="19">
        <v>65.876800000000003</v>
      </c>
      <c r="X349">
        <v>96</v>
      </c>
      <c r="Y349">
        <v>96</v>
      </c>
      <c r="Z349">
        <v>90</v>
      </c>
      <c r="AA349">
        <v>3.3</v>
      </c>
      <c r="AB349">
        <v>54.4</v>
      </c>
      <c r="AC349">
        <v>82.187799999999996</v>
      </c>
      <c r="AD349">
        <v>101.9782</v>
      </c>
      <c r="AE349">
        <v>8</v>
      </c>
      <c r="AF349">
        <v>96.771900000000002</v>
      </c>
      <c r="AG349">
        <v>7.2</v>
      </c>
      <c r="AH349">
        <v>0.28999999999999998</v>
      </c>
      <c r="AI349">
        <v>3.9</v>
      </c>
      <c r="AJ349">
        <v>3.5</v>
      </c>
      <c r="AK349">
        <v>4.2</v>
      </c>
      <c r="AL349">
        <v>58.081699999999998</v>
      </c>
      <c r="AM349">
        <v>2.4</v>
      </c>
      <c r="AN349">
        <v>198544</v>
      </c>
      <c r="AO349">
        <v>0</v>
      </c>
      <c r="AP349">
        <v>99.8399</v>
      </c>
      <c r="AQ349">
        <v>99.8857</v>
      </c>
      <c r="AR349">
        <v>95.204999999999998</v>
      </c>
      <c r="AS349">
        <v>78.054199999999994</v>
      </c>
      <c r="AT349">
        <v>79.387600000000006</v>
      </c>
      <c r="AU349">
        <v>21.3354</v>
      </c>
      <c r="AV349" s="19">
        <v>62.559199999999997</v>
      </c>
      <c r="AW349">
        <v>1.2</v>
      </c>
      <c r="AX349">
        <v>19.5</v>
      </c>
      <c r="AY349">
        <v>3</v>
      </c>
      <c r="AZ349">
        <v>5</v>
      </c>
      <c r="BA349">
        <v>78.966800000000006</v>
      </c>
      <c r="BB349">
        <v>21.587299999999999</v>
      </c>
      <c r="BC349">
        <v>6.7572000000000001</v>
      </c>
      <c r="BD349" s="19">
        <v>0.69499999999999995</v>
      </c>
      <c r="BE349" s="19">
        <v>74.881500000000003</v>
      </c>
      <c r="BF349">
        <v>28.058199999999999</v>
      </c>
      <c r="BG349">
        <v>11.9</v>
      </c>
      <c r="BH349" s="20">
        <v>1.2016</v>
      </c>
      <c r="BI349" s="20">
        <v>1760.6448</v>
      </c>
      <c r="BJ349" s="19">
        <v>64.319299999999998</v>
      </c>
      <c r="BK349">
        <v>0.98860000000000003</v>
      </c>
      <c r="BL349">
        <v>0.98709999999999998</v>
      </c>
      <c r="BM349">
        <v>0.98619999999999997</v>
      </c>
      <c r="BN349">
        <v>8</v>
      </c>
      <c r="BO349">
        <v>19.675000000000001</v>
      </c>
      <c r="BP349">
        <v>7.46</v>
      </c>
      <c r="BQ349" s="19">
        <v>91.408900000000003</v>
      </c>
      <c r="BR349">
        <v>67.103700000000003</v>
      </c>
      <c r="BS349" s="20">
        <v>8.359</v>
      </c>
      <c r="BT349" s="20">
        <v>8.359</v>
      </c>
      <c r="BU349" s="20">
        <v>29.145</v>
      </c>
      <c r="BV349" s="20">
        <v>29.157</v>
      </c>
      <c r="BW349" s="1">
        <v>75.117400000000004</v>
      </c>
      <c r="BX349">
        <v>35.19</v>
      </c>
      <c r="BY349" s="5">
        <v>103723869</v>
      </c>
      <c r="BZ349" s="6">
        <v>386894732</v>
      </c>
      <c r="CA349" s="7">
        <f t="shared" si="25"/>
        <v>3.7300453186913032</v>
      </c>
      <c r="CB349">
        <v>59379449</v>
      </c>
      <c r="CC349" s="8">
        <f t="shared" si="26"/>
        <v>6.515633582251664</v>
      </c>
      <c r="CD349" s="8">
        <f t="shared" si="27"/>
        <v>1.7467974315490871</v>
      </c>
      <c r="CE349">
        <v>302072</v>
      </c>
      <c r="CF349" s="8">
        <f t="shared" si="28"/>
        <v>343.37465571122118</v>
      </c>
      <c r="CG349" s="8">
        <f t="shared" si="29"/>
        <v>1280.8030270928784</v>
      </c>
      <c r="CH349">
        <v>99.090559999999996</v>
      </c>
    </row>
    <row r="350" spans="1:86" ht="15.5" x14ac:dyDescent="0.35">
      <c r="A350" s="9" t="s">
        <v>100</v>
      </c>
      <c r="B350" s="9">
        <v>2012</v>
      </c>
      <c r="C350" s="10">
        <v>53.770800000000001</v>
      </c>
      <c r="D350" s="9">
        <v>588601.30000000005</v>
      </c>
      <c r="E350" s="9">
        <v>0.13730000000000001</v>
      </c>
      <c r="F350" s="9">
        <v>6.6318000000000001</v>
      </c>
      <c r="G350" s="9">
        <v>468000</v>
      </c>
      <c r="H350" s="9">
        <v>12</v>
      </c>
      <c r="I350" s="21">
        <v>98.424999999999997</v>
      </c>
      <c r="J350" s="21">
        <v>99.9</v>
      </c>
      <c r="K350" s="21">
        <v>3.8420000000000001</v>
      </c>
      <c r="L350" s="21">
        <v>62.085299999999997</v>
      </c>
      <c r="M350" s="21">
        <v>-4216000000</v>
      </c>
      <c r="N350" s="21">
        <v>109.69750000000001</v>
      </c>
      <c r="O350" s="9">
        <v>22.213999999999999</v>
      </c>
      <c r="P350" s="9">
        <v>22.737500000000001</v>
      </c>
      <c r="Q350" s="21">
        <v>34926.415000000001</v>
      </c>
      <c r="R350" s="21">
        <v>31292.131099999999</v>
      </c>
      <c r="S350" s="21">
        <v>-3.3860000000000001</v>
      </c>
      <c r="T350" s="21">
        <v>48318.978600000002</v>
      </c>
      <c r="U350" s="21">
        <v>36678.1175</v>
      </c>
      <c r="V350" s="9">
        <v>35.200000000000003</v>
      </c>
      <c r="W350" s="21">
        <v>66.350700000000003</v>
      </c>
      <c r="X350" s="9">
        <v>97</v>
      </c>
      <c r="Y350" s="9">
        <v>96</v>
      </c>
      <c r="Z350" s="9">
        <v>90</v>
      </c>
      <c r="AA350" s="9">
        <v>3.2</v>
      </c>
      <c r="AB350" s="9">
        <v>55.8</v>
      </c>
      <c r="AC350" s="9">
        <v>82.239000000000004</v>
      </c>
      <c r="AD350" s="9">
        <v>100.1583</v>
      </c>
      <c r="AE350" s="9">
        <v>8</v>
      </c>
      <c r="AF350" s="9">
        <v>96.868700000000004</v>
      </c>
      <c r="AG350" s="9">
        <v>6.5</v>
      </c>
      <c r="AH350" s="9">
        <v>0.38</v>
      </c>
      <c r="AI350" s="9">
        <v>3.8</v>
      </c>
      <c r="AJ350" s="9">
        <v>3.5</v>
      </c>
      <c r="AK350" s="9">
        <v>4.0999999999999996</v>
      </c>
      <c r="AL350" s="9">
        <v>57.543100000000003</v>
      </c>
      <c r="AM350" s="9">
        <v>2.2999999999999998</v>
      </c>
      <c r="AN350" s="9">
        <v>252524</v>
      </c>
      <c r="AO350" s="9">
        <v>0</v>
      </c>
      <c r="AP350" s="9">
        <v>99.865600000000001</v>
      </c>
      <c r="AQ350" s="9">
        <v>99.885599999999997</v>
      </c>
      <c r="AR350" s="9">
        <v>94.972800000000007</v>
      </c>
      <c r="AS350" s="9">
        <v>78.057699999999997</v>
      </c>
      <c r="AT350" s="9">
        <v>79.391199999999998</v>
      </c>
      <c r="AU350" s="9">
        <v>18.765699999999999</v>
      </c>
      <c r="AV350" s="21">
        <v>63.033200000000001</v>
      </c>
      <c r="AW350" s="9">
        <v>1.2</v>
      </c>
      <c r="AX350" s="9">
        <v>19.3</v>
      </c>
      <c r="AY350" s="9">
        <v>3</v>
      </c>
      <c r="AZ350" s="9">
        <v>5</v>
      </c>
      <c r="BA350" s="9">
        <v>78.973600000000005</v>
      </c>
      <c r="BB350" s="9">
        <v>21.428599999999999</v>
      </c>
      <c r="BC350" s="9">
        <v>6.6646999999999998</v>
      </c>
      <c r="BD350" s="21">
        <v>-3.125</v>
      </c>
      <c r="BE350" s="21">
        <v>74.407600000000002</v>
      </c>
      <c r="BF350" s="9">
        <v>31.479500000000002</v>
      </c>
      <c r="BG350" s="9">
        <v>14.4</v>
      </c>
      <c r="BH350" s="22">
        <v>1.2622</v>
      </c>
      <c r="BI350" s="22">
        <v>1831.3427999999999</v>
      </c>
      <c r="BJ350" s="21">
        <v>64.319299999999998</v>
      </c>
      <c r="BK350" s="9">
        <v>0.99219999999999997</v>
      </c>
      <c r="BL350" s="9">
        <v>0.9899</v>
      </c>
      <c r="BM350" s="9">
        <v>0.98860000000000003</v>
      </c>
      <c r="BN350" s="9">
        <v>8</v>
      </c>
      <c r="BO350" s="9">
        <v>20.971</v>
      </c>
      <c r="BP350" s="9">
        <v>7.65</v>
      </c>
      <c r="BQ350" s="21">
        <v>91.535200000000003</v>
      </c>
      <c r="BR350" s="9">
        <v>59.364699999999999</v>
      </c>
      <c r="BS350" s="22">
        <v>10.654999999999999</v>
      </c>
      <c r="BT350" s="22">
        <v>10.654999999999999</v>
      </c>
      <c r="BU350" s="22">
        <v>35.293999999999997</v>
      </c>
      <c r="BV350" s="22">
        <v>35.316000000000003</v>
      </c>
      <c r="BW350" s="11">
        <v>74.647900000000007</v>
      </c>
      <c r="BX350" s="9">
        <v>38.630000000000003</v>
      </c>
      <c r="BY350" s="14">
        <v>103733157</v>
      </c>
      <c r="BZ350" s="6">
        <v>380711483</v>
      </c>
      <c r="CA350" s="7">
        <f t="shared" si="25"/>
        <v>3.6701040825355387</v>
      </c>
      <c r="CB350">
        <v>59539717</v>
      </c>
      <c r="CC350" s="8">
        <f t="shared" si="26"/>
        <v>6.3942440808040795</v>
      </c>
      <c r="CD350" s="8">
        <f t="shared" si="27"/>
        <v>1.7422514285716206</v>
      </c>
      <c r="CE350">
        <v>302072</v>
      </c>
      <c r="CF350" s="8">
        <f t="shared" si="28"/>
        <v>343.40540334754627</v>
      </c>
      <c r="CG350" s="8">
        <f t="shared" si="29"/>
        <v>1260.3335727905931</v>
      </c>
      <c r="CH350" s="9">
        <v>100.0565</v>
      </c>
    </row>
    <row r="351" spans="1:86" ht="15.5" x14ac:dyDescent="0.35">
      <c r="A351" t="s">
        <v>100</v>
      </c>
      <c r="B351">
        <v>2013</v>
      </c>
      <c r="C351" s="2">
        <v>54.436399999999999</v>
      </c>
      <c r="D351">
        <v>559017.9</v>
      </c>
      <c r="E351">
        <v>0.12820000000000001</v>
      </c>
      <c r="F351">
        <v>6.0115999999999996</v>
      </c>
      <c r="G351">
        <v>438000</v>
      </c>
      <c r="H351">
        <v>12</v>
      </c>
      <c r="I351" s="19">
        <v>99.65</v>
      </c>
      <c r="J351" s="19">
        <v>100.5</v>
      </c>
      <c r="K351" s="19">
        <v>3.1909999999999998</v>
      </c>
      <c r="L351" s="19">
        <v>60.189599999999999</v>
      </c>
      <c r="M351" s="19">
        <v>22170000000</v>
      </c>
      <c r="N351" s="19">
        <v>113.375</v>
      </c>
      <c r="O351">
        <v>22.018000000000001</v>
      </c>
      <c r="P351">
        <v>23.103200000000001</v>
      </c>
      <c r="Q351" s="19">
        <v>35722.542000000001</v>
      </c>
      <c r="R351" s="19">
        <v>30369.129400000002</v>
      </c>
      <c r="S351" s="19">
        <v>-2.9496000000000002</v>
      </c>
      <c r="T351" s="19">
        <v>46893.748</v>
      </c>
      <c r="U351" s="19">
        <v>36506.305200000003</v>
      </c>
      <c r="V351">
        <v>34.9</v>
      </c>
      <c r="W351" s="19">
        <v>68.720399999999998</v>
      </c>
      <c r="X351">
        <v>96</v>
      </c>
      <c r="Y351">
        <v>96</v>
      </c>
      <c r="Z351">
        <v>90</v>
      </c>
      <c r="AA351">
        <v>3.1</v>
      </c>
      <c r="AB351">
        <v>58.5</v>
      </c>
      <c r="AC351">
        <v>82.690200000000004</v>
      </c>
      <c r="AD351">
        <v>100.688</v>
      </c>
      <c r="AE351">
        <v>8</v>
      </c>
      <c r="AF351">
        <v>96.514499999999998</v>
      </c>
      <c r="AG351">
        <v>5.8</v>
      </c>
      <c r="AH351">
        <v>0.34</v>
      </c>
      <c r="AI351">
        <v>3.7</v>
      </c>
      <c r="AJ351">
        <v>3.4</v>
      </c>
      <c r="AK351">
        <v>4</v>
      </c>
      <c r="AL351">
        <v>57.557899999999997</v>
      </c>
      <c r="AM351">
        <v>2.2000000000000002</v>
      </c>
      <c r="AN351">
        <v>158090</v>
      </c>
      <c r="AO351">
        <v>0</v>
      </c>
      <c r="AP351">
        <v>99.891300000000001</v>
      </c>
      <c r="AQ351">
        <v>99.885599999999997</v>
      </c>
      <c r="AR351">
        <v>94.740600000000001</v>
      </c>
      <c r="AS351">
        <v>78.061199999999999</v>
      </c>
      <c r="AT351">
        <v>79.394800000000004</v>
      </c>
      <c r="AU351">
        <v>18.054099999999998</v>
      </c>
      <c r="AV351" s="19">
        <v>63.981000000000002</v>
      </c>
      <c r="AW351">
        <v>1.4</v>
      </c>
      <c r="AX351">
        <v>19.399999999999999</v>
      </c>
      <c r="AY351">
        <v>3</v>
      </c>
      <c r="AZ351">
        <v>5</v>
      </c>
      <c r="BA351">
        <v>78.981099999999998</v>
      </c>
      <c r="BB351">
        <v>31.428599999999999</v>
      </c>
      <c r="BC351">
        <v>6.6481000000000003</v>
      </c>
      <c r="BD351" s="19">
        <v>-1.8180000000000001</v>
      </c>
      <c r="BE351" s="19">
        <v>74.881500000000003</v>
      </c>
      <c r="BF351">
        <v>39.308700000000002</v>
      </c>
      <c r="BG351">
        <v>16.3</v>
      </c>
      <c r="BH351" s="20">
        <v>1.3010999999999999</v>
      </c>
      <c r="BI351" s="20">
        <v>1916.3036999999999</v>
      </c>
      <c r="BJ351" s="19">
        <v>63.849800000000002</v>
      </c>
      <c r="BK351">
        <v>0.99519999999999997</v>
      </c>
      <c r="BL351">
        <v>0.99370000000000003</v>
      </c>
      <c r="BM351">
        <v>0.9929</v>
      </c>
      <c r="BN351">
        <v>8</v>
      </c>
      <c r="BO351">
        <v>22.166</v>
      </c>
      <c r="BP351">
        <v>7.6</v>
      </c>
      <c r="BQ351" s="19">
        <v>94.177599999999998</v>
      </c>
      <c r="BR351">
        <v>53.778300000000002</v>
      </c>
      <c r="BS351" s="20">
        <v>12.148999999999999</v>
      </c>
      <c r="BT351" s="20">
        <v>12.148999999999999</v>
      </c>
      <c r="BU351" s="20">
        <v>40.021999999999998</v>
      </c>
      <c r="BV351" s="20">
        <v>40.040999999999997</v>
      </c>
      <c r="BW351" s="1">
        <v>76.056299999999993</v>
      </c>
      <c r="BX351">
        <v>36.79</v>
      </c>
      <c r="BY351" s="5">
        <v>103862530</v>
      </c>
      <c r="BZ351" s="6">
        <v>376785615</v>
      </c>
      <c r="CA351" s="7">
        <f t="shared" si="25"/>
        <v>3.6277338420313852</v>
      </c>
      <c r="CB351">
        <v>60233948</v>
      </c>
      <c r="CC351" s="8">
        <f t="shared" si="26"/>
        <v>6.2553697293758663</v>
      </c>
      <c r="CD351" s="8">
        <f t="shared" si="27"/>
        <v>1.7243188176873281</v>
      </c>
      <c r="CE351">
        <v>302072</v>
      </c>
      <c r="CF351" s="8">
        <f t="shared" si="28"/>
        <v>343.83368865700891</v>
      </c>
      <c r="CG351" s="8">
        <f t="shared" si="29"/>
        <v>1247.337108371514</v>
      </c>
      <c r="CH351">
        <v>99.966329999999999</v>
      </c>
    </row>
    <row r="352" spans="1:86" ht="15.5" x14ac:dyDescent="0.35">
      <c r="A352" t="s">
        <v>100</v>
      </c>
      <c r="B352">
        <v>2014</v>
      </c>
      <c r="C352" s="2">
        <v>55.099899999999998</v>
      </c>
      <c r="D352">
        <v>537724.5</v>
      </c>
      <c r="E352">
        <v>0.1216</v>
      </c>
      <c r="F352">
        <v>5.6482999999999999</v>
      </c>
      <c r="G352">
        <v>422000</v>
      </c>
      <c r="H352">
        <v>12</v>
      </c>
      <c r="I352" s="19">
        <v>99.882999999999996</v>
      </c>
      <c r="J352" s="19">
        <v>100.5</v>
      </c>
      <c r="K352" s="19">
        <v>2.8130000000000002</v>
      </c>
      <c r="L352" s="19">
        <v>56.730800000000002</v>
      </c>
      <c r="M352" s="19">
        <v>38140000000</v>
      </c>
      <c r="N352" s="19">
        <v>115.9319</v>
      </c>
      <c r="O352">
        <v>21.911999999999999</v>
      </c>
      <c r="P352">
        <v>23.708400000000001</v>
      </c>
      <c r="Q352" s="19">
        <v>36022.563999999998</v>
      </c>
      <c r="R352" s="19">
        <v>30091.3482</v>
      </c>
      <c r="S352" s="19">
        <v>-0.91469999999999996</v>
      </c>
      <c r="T352" s="19">
        <v>46464.818899999998</v>
      </c>
      <c r="U352" s="19">
        <v>36383.144899999999</v>
      </c>
      <c r="V352">
        <v>34.700000000000003</v>
      </c>
      <c r="W352" s="19">
        <v>70.673100000000005</v>
      </c>
      <c r="X352">
        <v>95</v>
      </c>
      <c r="Y352">
        <v>95</v>
      </c>
      <c r="Z352">
        <v>87</v>
      </c>
      <c r="AA352">
        <v>3.1</v>
      </c>
      <c r="AB352">
        <v>55.6</v>
      </c>
      <c r="AC352">
        <v>83.090199999999996</v>
      </c>
      <c r="AD352">
        <v>99.982900000000001</v>
      </c>
      <c r="AE352">
        <v>8</v>
      </c>
      <c r="AF352">
        <v>96.574799999999996</v>
      </c>
      <c r="AG352">
        <v>5.8</v>
      </c>
      <c r="AH352">
        <v>0.3</v>
      </c>
      <c r="AI352">
        <v>3.6</v>
      </c>
      <c r="AJ352">
        <v>3.3</v>
      </c>
      <c r="AK352">
        <v>3.9</v>
      </c>
      <c r="AL352">
        <v>58.372500000000002</v>
      </c>
      <c r="AM352">
        <v>2.2000000000000002</v>
      </c>
      <c r="AN352">
        <v>52679</v>
      </c>
      <c r="AO352">
        <v>0</v>
      </c>
      <c r="AP352">
        <v>99.917000000000002</v>
      </c>
      <c r="AQ352">
        <v>99.885499999999993</v>
      </c>
      <c r="AR352">
        <v>94.508200000000002</v>
      </c>
      <c r="AS352">
        <v>78.064700000000002</v>
      </c>
      <c r="AT352">
        <v>79.398499999999999</v>
      </c>
      <c r="AU352">
        <v>16.893699999999999</v>
      </c>
      <c r="AV352" s="19">
        <v>60.476199999999999</v>
      </c>
      <c r="AW352">
        <v>1.2</v>
      </c>
      <c r="AX352">
        <v>19.899999999999999</v>
      </c>
      <c r="AY352">
        <v>3</v>
      </c>
      <c r="AZ352">
        <v>5</v>
      </c>
      <c r="BA352">
        <v>78.988600000000005</v>
      </c>
      <c r="BB352">
        <v>31.428599999999999</v>
      </c>
      <c r="BC352">
        <v>6.6886000000000001</v>
      </c>
      <c r="BD352" s="19">
        <v>-1E-3</v>
      </c>
      <c r="BE352" s="19">
        <v>71.153800000000004</v>
      </c>
      <c r="BF352">
        <v>43.742699999999999</v>
      </c>
      <c r="BG352">
        <v>17.100000000000001</v>
      </c>
      <c r="BH352" s="20">
        <v>1.3384</v>
      </c>
      <c r="BI352" s="20">
        <v>1947.3444</v>
      </c>
      <c r="BJ352" s="19">
        <v>67.788499999999999</v>
      </c>
      <c r="BK352">
        <v>0.99509999999999998</v>
      </c>
      <c r="BL352">
        <v>0.99460000000000004</v>
      </c>
      <c r="BM352">
        <v>0.99439999999999995</v>
      </c>
      <c r="BN352">
        <v>8</v>
      </c>
      <c r="BO352">
        <v>22.183</v>
      </c>
      <c r="BP352">
        <v>7.3</v>
      </c>
      <c r="BQ352" s="19">
        <v>97.217299999999994</v>
      </c>
      <c r="BR352">
        <v>51.059199999999997</v>
      </c>
      <c r="BS352" s="20">
        <v>12.683</v>
      </c>
      <c r="BT352" s="20">
        <v>12.683</v>
      </c>
      <c r="BU352" s="20">
        <v>42.668999999999997</v>
      </c>
      <c r="BV352" s="20">
        <v>42.680999999999997</v>
      </c>
      <c r="BW352" s="1">
        <v>77.832499999999996</v>
      </c>
      <c r="BX352">
        <v>36.81</v>
      </c>
      <c r="BY352" s="5">
        <v>106552352</v>
      </c>
      <c r="BZ352" s="6">
        <v>377770806</v>
      </c>
      <c r="CA352" s="7">
        <f t="shared" si="25"/>
        <v>3.5454009124078274</v>
      </c>
      <c r="CB352">
        <v>60789140</v>
      </c>
      <c r="CC352" s="8">
        <f t="shared" si="26"/>
        <v>6.2144456394678391</v>
      </c>
      <c r="CD352" s="8">
        <f t="shared" si="27"/>
        <v>1.7528188752135661</v>
      </c>
      <c r="CE352">
        <v>302072</v>
      </c>
      <c r="CF352" s="8">
        <f t="shared" si="28"/>
        <v>352.73826107682936</v>
      </c>
      <c r="CG352" s="8">
        <f t="shared" si="29"/>
        <v>1250.5985526629413</v>
      </c>
      <c r="CH352">
        <v>100.04558</v>
      </c>
    </row>
    <row r="353" spans="1:86" ht="15.5" x14ac:dyDescent="0.35">
      <c r="A353" t="s">
        <v>100</v>
      </c>
      <c r="B353">
        <v>2015</v>
      </c>
      <c r="C353" s="2">
        <v>55.6066</v>
      </c>
      <c r="D353">
        <v>544147.9</v>
      </c>
      <c r="E353">
        <v>0.1242</v>
      </c>
      <c r="F353">
        <v>5.8293999999999997</v>
      </c>
      <c r="G353">
        <v>430000</v>
      </c>
      <c r="H353">
        <v>12</v>
      </c>
      <c r="I353" s="19">
        <v>99.992000000000004</v>
      </c>
      <c r="J353" s="19">
        <v>100.6</v>
      </c>
      <c r="K353" s="19">
        <v>2.79</v>
      </c>
      <c r="L353" s="19">
        <v>57.142899999999997</v>
      </c>
      <c r="M353" s="19">
        <v>22933000000</v>
      </c>
      <c r="N353" s="19">
        <v>100</v>
      </c>
      <c r="O353">
        <v>21.757000000000001</v>
      </c>
      <c r="P353">
        <v>24.597799999999999</v>
      </c>
      <c r="Q353" s="19">
        <v>30609.504000000001</v>
      </c>
      <c r="R353" s="19">
        <v>30387.129300000001</v>
      </c>
      <c r="S353" s="19">
        <v>0.9829</v>
      </c>
      <c r="T353" s="19">
        <v>46921.542200000004</v>
      </c>
      <c r="U353" s="19">
        <v>37085.980199999998</v>
      </c>
      <c r="V353">
        <v>35.4</v>
      </c>
      <c r="W353" s="19">
        <v>70.476200000000006</v>
      </c>
      <c r="X353">
        <v>93</v>
      </c>
      <c r="Y353">
        <v>93</v>
      </c>
      <c r="Z353">
        <v>85</v>
      </c>
      <c r="AA353">
        <v>3</v>
      </c>
      <c r="AB353">
        <v>58.1</v>
      </c>
      <c r="AC353">
        <v>82.543899999999994</v>
      </c>
      <c r="AD353">
        <v>98.726799999999997</v>
      </c>
      <c r="AE353">
        <v>8</v>
      </c>
      <c r="AF353">
        <v>96.631200000000007</v>
      </c>
      <c r="AG353">
        <v>5.9</v>
      </c>
      <c r="AH353">
        <v>0.31</v>
      </c>
      <c r="AI353">
        <v>3.5</v>
      </c>
      <c r="AJ353">
        <v>3.2</v>
      </c>
      <c r="AK353">
        <v>3.8</v>
      </c>
      <c r="AL353">
        <v>58.5886</v>
      </c>
      <c r="AM353">
        <v>2.1</v>
      </c>
      <c r="AN353">
        <v>39389</v>
      </c>
      <c r="AO353">
        <v>0</v>
      </c>
      <c r="AP353">
        <v>99.917000000000002</v>
      </c>
      <c r="AQ353">
        <v>99.885499999999993</v>
      </c>
      <c r="AR353">
        <v>94.251400000000004</v>
      </c>
      <c r="AS353">
        <v>78.068299999999994</v>
      </c>
      <c r="AT353">
        <v>79.402100000000004</v>
      </c>
      <c r="AU353">
        <v>17.760000000000002</v>
      </c>
      <c r="AV353" s="19">
        <v>58.571399999999997</v>
      </c>
      <c r="AW353">
        <v>1.9</v>
      </c>
      <c r="AX353">
        <v>20.6</v>
      </c>
      <c r="AY353">
        <v>3</v>
      </c>
      <c r="AZ353">
        <v>5</v>
      </c>
      <c r="BA353">
        <v>78.996099999999998</v>
      </c>
      <c r="BB353">
        <v>30.952400000000001</v>
      </c>
      <c r="BC353">
        <v>6.5926999999999998</v>
      </c>
      <c r="BD353" s="19">
        <v>0.88600000000000001</v>
      </c>
      <c r="BE353" s="19">
        <v>73.8095</v>
      </c>
      <c r="BF353">
        <v>38.994</v>
      </c>
      <c r="BG353">
        <v>16.600000000000001</v>
      </c>
      <c r="BH353" s="20">
        <v>1.3385</v>
      </c>
      <c r="BI353" s="20">
        <v>2075.8083000000001</v>
      </c>
      <c r="BJ353" s="19">
        <v>63.333300000000001</v>
      </c>
      <c r="BK353">
        <v>0.99570000000000003</v>
      </c>
      <c r="BL353">
        <v>0.99650000000000005</v>
      </c>
      <c r="BM353">
        <v>0.99709999999999999</v>
      </c>
      <c r="BN353">
        <v>8</v>
      </c>
      <c r="BO353">
        <v>21.457000000000001</v>
      </c>
      <c r="BP353">
        <v>7.2</v>
      </c>
      <c r="BQ353" s="19">
        <v>100</v>
      </c>
      <c r="BR353">
        <v>53.904600000000002</v>
      </c>
      <c r="BS353" s="20">
        <v>11.896000000000001</v>
      </c>
      <c r="BT353" s="20">
        <v>11.896000000000001</v>
      </c>
      <c r="BU353" s="20">
        <v>40.316000000000003</v>
      </c>
      <c r="BV353" s="20">
        <v>40.323999999999998</v>
      </c>
      <c r="BW353" s="1">
        <v>81.280799999999999</v>
      </c>
      <c r="BX353">
        <v>35.94</v>
      </c>
      <c r="BY353" s="5">
        <v>113392137</v>
      </c>
      <c r="BZ353" s="6">
        <v>392874070</v>
      </c>
      <c r="CA353" s="7">
        <f t="shared" si="25"/>
        <v>3.464738211962616</v>
      </c>
      <c r="CB353">
        <v>60730582</v>
      </c>
      <c r="CC353" s="8">
        <f t="shared" si="26"/>
        <v>6.4691306597391076</v>
      </c>
      <c r="CD353" s="8">
        <f t="shared" si="27"/>
        <v>1.8671340412973483</v>
      </c>
      <c r="CE353">
        <v>302072</v>
      </c>
      <c r="CF353" s="8">
        <f t="shared" si="28"/>
        <v>375.38115747239067</v>
      </c>
      <c r="CG353" s="8">
        <f t="shared" si="29"/>
        <v>1300.5974403453481</v>
      </c>
      <c r="CH353">
        <v>100</v>
      </c>
    </row>
    <row r="354" spans="1:86" ht="15.5" x14ac:dyDescent="0.35">
      <c r="A354" t="s">
        <v>100</v>
      </c>
      <c r="B354">
        <v>2016</v>
      </c>
      <c r="C354" s="2">
        <v>55.919800000000002</v>
      </c>
      <c r="D354">
        <v>605938.30000000005</v>
      </c>
      <c r="E354">
        <v>0.1211</v>
      </c>
      <c r="F354">
        <v>5.7637999999999998</v>
      </c>
      <c r="G354">
        <v>430000</v>
      </c>
      <c r="H354">
        <v>12</v>
      </c>
      <c r="I354" s="19">
        <v>99.941999999999993</v>
      </c>
      <c r="J354" s="19">
        <v>101.1</v>
      </c>
      <c r="K354" s="19">
        <v>2.9319999999999999</v>
      </c>
      <c r="L354" s="19">
        <v>59.047600000000003</v>
      </c>
      <c r="M354" s="19">
        <v>46421000000</v>
      </c>
      <c r="N354" s="19">
        <v>101.03879999999999</v>
      </c>
      <c r="O354">
        <v>22.045999999999999</v>
      </c>
      <c r="P354">
        <v>25.733699999999999</v>
      </c>
      <c r="Q354" s="19">
        <v>31357.600999999999</v>
      </c>
      <c r="R354" s="19">
        <v>30815.086899999998</v>
      </c>
      <c r="S354" s="19">
        <v>1.4084000000000001</v>
      </c>
      <c r="T354" s="19">
        <v>47582.362399999998</v>
      </c>
      <c r="U354" s="19">
        <v>40140.503599999996</v>
      </c>
      <c r="V354">
        <v>35.200000000000003</v>
      </c>
      <c r="W354" s="19">
        <v>71.904799999999994</v>
      </c>
      <c r="X354">
        <v>94</v>
      </c>
      <c r="Y354">
        <v>93</v>
      </c>
      <c r="Z354">
        <v>87</v>
      </c>
      <c r="AA354">
        <v>2.9</v>
      </c>
      <c r="AB354">
        <v>61.3</v>
      </c>
      <c r="AC354">
        <v>83.243899999999996</v>
      </c>
      <c r="AD354">
        <v>99.161299999999997</v>
      </c>
      <c r="AE354">
        <v>8</v>
      </c>
      <c r="AF354">
        <v>96.7453</v>
      </c>
      <c r="AG354">
        <v>5.5</v>
      </c>
      <c r="AH354">
        <v>0.27</v>
      </c>
      <c r="AI354">
        <v>3.4</v>
      </c>
      <c r="AJ354">
        <v>3.1</v>
      </c>
      <c r="AK354">
        <v>3.7</v>
      </c>
      <c r="AL354">
        <v>58.277799999999999</v>
      </c>
      <c r="AM354">
        <v>2.1</v>
      </c>
      <c r="AN354">
        <v>84568</v>
      </c>
      <c r="AO354">
        <v>0</v>
      </c>
      <c r="AP354">
        <v>99.917000000000002</v>
      </c>
      <c r="AQ354">
        <v>99.885400000000004</v>
      </c>
      <c r="AR354">
        <v>93.994600000000005</v>
      </c>
      <c r="AS354">
        <v>78.071799999999996</v>
      </c>
      <c r="AT354">
        <v>79.405699999999996</v>
      </c>
      <c r="AU354">
        <v>15.7011</v>
      </c>
      <c r="AV354" s="19">
        <v>58.571399999999997</v>
      </c>
      <c r="AW354">
        <v>1.6</v>
      </c>
      <c r="AX354">
        <v>20.3</v>
      </c>
      <c r="AY354">
        <v>3</v>
      </c>
      <c r="AZ354">
        <v>5</v>
      </c>
      <c r="BA354">
        <v>79.003600000000006</v>
      </c>
      <c r="BB354">
        <v>30.952400000000001</v>
      </c>
      <c r="BC354">
        <v>6.4916999999999998</v>
      </c>
      <c r="BD354" s="19">
        <v>1.236</v>
      </c>
      <c r="BE354" s="19">
        <v>73.8095</v>
      </c>
      <c r="BF354">
        <v>37.9133</v>
      </c>
      <c r="BG354">
        <v>16.100000000000001</v>
      </c>
      <c r="BH354" s="20">
        <v>1.3664000000000001</v>
      </c>
      <c r="BI354" s="20">
        <v>2209.5925000000002</v>
      </c>
      <c r="BJ354" s="19">
        <v>62.857100000000003</v>
      </c>
      <c r="BK354">
        <v>1</v>
      </c>
      <c r="BL354">
        <v>1.0026999999999999</v>
      </c>
      <c r="BM354">
        <v>1.0044999999999999</v>
      </c>
      <c r="BN354">
        <v>8</v>
      </c>
      <c r="BO354">
        <v>19.974</v>
      </c>
      <c r="BP354">
        <v>6.62</v>
      </c>
      <c r="BQ354" s="19">
        <v>102.6615</v>
      </c>
      <c r="BR354">
        <v>56.151000000000003</v>
      </c>
      <c r="BS354" s="20">
        <v>11.688000000000001</v>
      </c>
      <c r="BT354" s="20">
        <v>11.688000000000001</v>
      </c>
      <c r="BU354" s="20">
        <v>37.758000000000003</v>
      </c>
      <c r="BV354" s="20">
        <v>37.768999999999998</v>
      </c>
      <c r="BW354" s="1">
        <v>81.773399999999995</v>
      </c>
      <c r="BX354">
        <v>36.36</v>
      </c>
      <c r="BY354" s="5">
        <v>116944243</v>
      </c>
      <c r="BZ354" s="6">
        <v>402962113</v>
      </c>
      <c r="CA354" s="7">
        <f t="shared" si="25"/>
        <v>3.4457627212995856</v>
      </c>
      <c r="CB354">
        <v>60627498</v>
      </c>
      <c r="CC354" s="8">
        <f t="shared" si="26"/>
        <v>6.6465238760141476</v>
      </c>
      <c r="CD354" s="8">
        <f t="shared" si="27"/>
        <v>1.9288977255831998</v>
      </c>
      <c r="CE354">
        <v>302072</v>
      </c>
      <c r="CF354" s="8">
        <f t="shared" si="28"/>
        <v>387.14029436690589</v>
      </c>
      <c r="CG354" s="8">
        <f t="shared" si="29"/>
        <v>1333.9935942424322</v>
      </c>
      <c r="CH354">
        <v>99.84102</v>
      </c>
    </row>
    <row r="355" spans="1:86" ht="15.5" x14ac:dyDescent="0.35">
      <c r="A355" t="s">
        <v>100</v>
      </c>
      <c r="B355">
        <v>2017</v>
      </c>
      <c r="C355" s="2">
        <v>56.13</v>
      </c>
      <c r="D355">
        <v>656841.6</v>
      </c>
      <c r="E355">
        <v>0.11799999999999999</v>
      </c>
      <c r="F355">
        <v>5.7145000000000001</v>
      </c>
      <c r="G355">
        <v>430000</v>
      </c>
      <c r="H355">
        <v>12</v>
      </c>
      <c r="I355" s="19">
        <v>101.267</v>
      </c>
      <c r="J355" s="19">
        <v>102.1</v>
      </c>
      <c r="K355" s="19">
        <v>3.3260000000000001</v>
      </c>
      <c r="L355" s="19">
        <v>60.476199999999999</v>
      </c>
      <c r="M355" s="19">
        <v>48052000000</v>
      </c>
      <c r="N355" s="19">
        <v>111.035</v>
      </c>
      <c r="O355">
        <v>22.356000000000002</v>
      </c>
      <c r="P355">
        <v>27.465299999999999</v>
      </c>
      <c r="Q355" s="19">
        <v>32797.298000000003</v>
      </c>
      <c r="R355" s="19">
        <v>31356.223999999998</v>
      </c>
      <c r="S355" s="19">
        <v>1.7561</v>
      </c>
      <c r="T355" s="19">
        <v>48417.946100000001</v>
      </c>
      <c r="U355" s="19">
        <v>41770.283799999997</v>
      </c>
      <c r="V355">
        <v>35.9</v>
      </c>
      <c r="W355" s="19">
        <v>69.047600000000003</v>
      </c>
      <c r="X355">
        <v>95</v>
      </c>
      <c r="Y355">
        <v>94</v>
      </c>
      <c r="Z355">
        <v>92</v>
      </c>
      <c r="AA355">
        <v>2.8</v>
      </c>
      <c r="AB355">
        <v>63.1</v>
      </c>
      <c r="AC355">
        <v>82.946299999999994</v>
      </c>
      <c r="AD355">
        <v>99.391499999999994</v>
      </c>
      <c r="AE355">
        <v>8</v>
      </c>
      <c r="AF355">
        <v>96.896900000000002</v>
      </c>
      <c r="AG355">
        <v>5.7</v>
      </c>
      <c r="AH355">
        <v>0.22</v>
      </c>
      <c r="AI355">
        <v>3.3</v>
      </c>
      <c r="AJ355">
        <v>3</v>
      </c>
      <c r="AK355">
        <v>3.6</v>
      </c>
      <c r="AL355">
        <v>58.058999999999997</v>
      </c>
      <c r="AM355">
        <v>2</v>
      </c>
      <c r="AN355">
        <v>95147</v>
      </c>
      <c r="AO355">
        <v>0</v>
      </c>
      <c r="AP355">
        <v>99.917000000000002</v>
      </c>
      <c r="AQ355">
        <v>99.885300000000001</v>
      </c>
      <c r="AR355">
        <v>93.737799999999993</v>
      </c>
      <c r="AS355">
        <v>78.075299999999999</v>
      </c>
      <c r="AT355">
        <v>79.409400000000005</v>
      </c>
      <c r="AU355">
        <v>15.965999999999999</v>
      </c>
      <c r="AV355" s="19">
        <v>57.619</v>
      </c>
      <c r="AW355">
        <v>1.4</v>
      </c>
      <c r="AX355">
        <v>20.3</v>
      </c>
      <c r="AY355">
        <v>3</v>
      </c>
      <c r="AZ355">
        <v>5</v>
      </c>
      <c r="BA355">
        <v>79.011099999999999</v>
      </c>
      <c r="BB355">
        <v>30.952400000000001</v>
      </c>
      <c r="BC355">
        <v>6.3986000000000001</v>
      </c>
      <c r="BD355" s="19">
        <v>1.6040000000000001</v>
      </c>
      <c r="BE355" s="19">
        <v>74.761899999999997</v>
      </c>
      <c r="BF355">
        <v>35.7423</v>
      </c>
      <c r="BG355">
        <v>16.399999999999999</v>
      </c>
      <c r="BH355" s="20">
        <v>1.3701000000000001</v>
      </c>
      <c r="BI355" s="20">
        <v>2322.4238</v>
      </c>
      <c r="BJ355" s="19">
        <v>62.381</v>
      </c>
      <c r="BK355">
        <v>0.97</v>
      </c>
      <c r="BL355">
        <v>0.98399999999999999</v>
      </c>
      <c r="BM355">
        <v>0.99299999999999999</v>
      </c>
      <c r="BN355">
        <v>8</v>
      </c>
      <c r="BO355">
        <v>20.2</v>
      </c>
      <c r="BP355">
        <v>7.06</v>
      </c>
      <c r="BQ355" s="19">
        <v>99.740600000000001</v>
      </c>
      <c r="BR355">
        <v>59.100200000000001</v>
      </c>
      <c r="BS355" s="20">
        <v>11.211</v>
      </c>
      <c r="BT355" s="20">
        <v>11.211</v>
      </c>
      <c r="BU355" s="20">
        <v>34.725999999999999</v>
      </c>
      <c r="BV355" s="20">
        <v>34.741999999999997</v>
      </c>
      <c r="BW355" s="1">
        <v>78.817700000000002</v>
      </c>
      <c r="BX355">
        <v>34.25</v>
      </c>
      <c r="BY355" s="5">
        <v>123195556</v>
      </c>
      <c r="BZ355" s="6">
        <v>420629155</v>
      </c>
      <c r="CA355" s="7">
        <f t="shared" si="25"/>
        <v>3.4143208461188324</v>
      </c>
      <c r="CB355">
        <v>60536709</v>
      </c>
      <c r="CC355" s="8">
        <f t="shared" si="26"/>
        <v>6.9483320442807681</v>
      </c>
      <c r="CD355" s="8">
        <f t="shared" si="27"/>
        <v>2.0350553909364315</v>
      </c>
      <c r="CE355">
        <v>302072</v>
      </c>
      <c r="CF355" s="8">
        <f t="shared" si="28"/>
        <v>407.83507243306229</v>
      </c>
      <c r="CG355" s="8">
        <f t="shared" si="29"/>
        <v>1392.4797895865886</v>
      </c>
      <c r="CH355">
        <v>99.485579999999999</v>
      </c>
    </row>
    <row r="356" spans="1:86" ht="15.5" x14ac:dyDescent="0.35">
      <c r="A356" t="s">
        <v>100</v>
      </c>
      <c r="B356">
        <v>2018</v>
      </c>
      <c r="C356" s="2">
        <v>56.307899999999997</v>
      </c>
      <c r="D356">
        <v>554839.30000000005</v>
      </c>
      <c r="E356">
        <v>0.1153</v>
      </c>
      <c r="F356">
        <v>5.6372</v>
      </c>
      <c r="G356">
        <v>430000</v>
      </c>
      <c r="H356">
        <v>12</v>
      </c>
      <c r="I356" s="19">
        <v>102.52500000000001</v>
      </c>
      <c r="J356" s="19">
        <v>103.3</v>
      </c>
      <c r="K356" s="19">
        <v>3.5790000000000002</v>
      </c>
      <c r="L356" s="19">
        <v>60.952399999999997</v>
      </c>
      <c r="M356" s="19">
        <v>52535000000</v>
      </c>
      <c r="N356" s="19">
        <v>120.2492</v>
      </c>
      <c r="O356">
        <v>23.161000000000001</v>
      </c>
      <c r="P356">
        <v>28.4649</v>
      </c>
      <c r="Q356" s="19">
        <v>35042.792999999998</v>
      </c>
      <c r="R356" s="19">
        <v>31675.575799999999</v>
      </c>
      <c r="S356" s="19">
        <v>1.0185</v>
      </c>
      <c r="T356" s="19">
        <v>48911.065300000002</v>
      </c>
      <c r="U356" s="19">
        <v>43190.595800000003</v>
      </c>
      <c r="V356">
        <v>35.200000000000003</v>
      </c>
      <c r="W356" s="19">
        <v>67.619</v>
      </c>
      <c r="X356">
        <v>95</v>
      </c>
      <c r="Y356">
        <v>95</v>
      </c>
      <c r="Z356">
        <v>93</v>
      </c>
      <c r="AA356">
        <v>2.7</v>
      </c>
      <c r="AB356">
        <v>74.400000000000006</v>
      </c>
      <c r="AC356">
        <v>83.346299999999999</v>
      </c>
      <c r="AD356">
        <v>99.1708</v>
      </c>
      <c r="AE356">
        <v>7</v>
      </c>
      <c r="AF356">
        <v>96.989400000000003</v>
      </c>
      <c r="AG356">
        <v>5.6</v>
      </c>
      <c r="AH356">
        <v>0.34</v>
      </c>
      <c r="AI356">
        <v>3.2</v>
      </c>
      <c r="AJ356">
        <v>2.9</v>
      </c>
      <c r="AK356">
        <v>3.4</v>
      </c>
      <c r="AL356">
        <v>58.7575</v>
      </c>
      <c r="AM356">
        <v>1.9</v>
      </c>
      <c r="AN356">
        <v>83686</v>
      </c>
      <c r="AO356">
        <v>0</v>
      </c>
      <c r="AP356">
        <v>99.917000000000002</v>
      </c>
      <c r="AQ356">
        <v>99.885300000000001</v>
      </c>
      <c r="AR356">
        <v>93.480999999999995</v>
      </c>
      <c r="AS356">
        <v>78.075299999999999</v>
      </c>
      <c r="AT356">
        <v>79.409400000000005</v>
      </c>
      <c r="AU356">
        <v>16.3354</v>
      </c>
      <c r="AV356" s="19">
        <v>57.075499999999998</v>
      </c>
      <c r="AW356">
        <v>1.5</v>
      </c>
      <c r="AX356">
        <v>20.100000000000001</v>
      </c>
      <c r="AY356">
        <v>3</v>
      </c>
      <c r="AZ356">
        <v>5</v>
      </c>
      <c r="BA356">
        <v>79.015000000000001</v>
      </c>
      <c r="BB356">
        <v>35.714300000000001</v>
      </c>
      <c r="BC356">
        <v>6.4124999999999996</v>
      </c>
      <c r="BD356" s="19">
        <v>0.82699999999999996</v>
      </c>
      <c r="BE356" s="19">
        <v>75.238100000000003</v>
      </c>
      <c r="BF356">
        <v>40.0899</v>
      </c>
      <c r="BG356">
        <v>17.100000000000001</v>
      </c>
      <c r="BH356" s="20">
        <v>1.4244000000000001</v>
      </c>
      <c r="BI356" s="20">
        <v>2524.3126999999999</v>
      </c>
      <c r="BJ356" s="19">
        <v>60</v>
      </c>
      <c r="BK356">
        <v>0.96740000000000004</v>
      </c>
      <c r="BL356">
        <v>0.97899999999999998</v>
      </c>
      <c r="BM356">
        <v>0.98629999999999995</v>
      </c>
      <c r="BN356">
        <v>8</v>
      </c>
      <c r="BO356">
        <v>19.356000000000002</v>
      </c>
      <c r="BP356">
        <v>6.89</v>
      </c>
      <c r="BQ356" s="19">
        <v>98.552899999999994</v>
      </c>
      <c r="BR356">
        <v>61.839500000000001</v>
      </c>
      <c r="BS356" s="20">
        <v>10.61</v>
      </c>
      <c r="BT356" s="20">
        <v>10.61</v>
      </c>
      <c r="BU356" s="20">
        <v>32.167999999999999</v>
      </c>
      <c r="BV356" s="20">
        <v>32.19</v>
      </c>
      <c r="BW356" s="1">
        <v>78.155299999999997</v>
      </c>
      <c r="BX356">
        <v>32.61</v>
      </c>
      <c r="BY356" s="5">
        <v>128100932</v>
      </c>
      <c r="BZ356" s="6">
        <v>428844937</v>
      </c>
      <c r="CA356" s="7">
        <f t="shared" si="25"/>
        <v>3.3477112953401464</v>
      </c>
      <c r="CB356">
        <v>60421760</v>
      </c>
      <c r="CC356" s="8">
        <f t="shared" si="26"/>
        <v>7.0975247493618197</v>
      </c>
      <c r="CD356" s="8">
        <f t="shared" si="27"/>
        <v>2.1201125554767026</v>
      </c>
      <c r="CE356">
        <v>302072</v>
      </c>
      <c r="CF356" s="8">
        <f t="shared" si="28"/>
        <v>424.07416774808655</v>
      </c>
      <c r="CG356" s="8">
        <f t="shared" si="29"/>
        <v>1419.6778814322413</v>
      </c>
      <c r="CH356">
        <v>99.062110000000004</v>
      </c>
    </row>
    <row r="357" spans="1:86" ht="15.5" x14ac:dyDescent="0.35">
      <c r="A357" t="s">
        <v>100</v>
      </c>
      <c r="B357">
        <v>2019</v>
      </c>
      <c r="C357" s="2">
        <v>56.563299999999998</v>
      </c>
      <c r="D357">
        <v>554608.69999999995</v>
      </c>
      <c r="E357">
        <v>0.112</v>
      </c>
      <c r="F357">
        <v>5.5666000000000002</v>
      </c>
      <c r="G357">
        <v>430000</v>
      </c>
      <c r="H357">
        <v>12</v>
      </c>
      <c r="I357" s="19">
        <v>103.175</v>
      </c>
      <c r="J357" s="19">
        <v>103.8</v>
      </c>
      <c r="K357" s="19">
        <v>3.831</v>
      </c>
      <c r="L357" s="19">
        <v>61.428600000000003</v>
      </c>
      <c r="M357" s="19">
        <v>63767000000</v>
      </c>
      <c r="N357" s="19">
        <v>117.6652</v>
      </c>
      <c r="O357">
        <v>23.271000000000001</v>
      </c>
      <c r="P357">
        <v>29.054500000000001</v>
      </c>
      <c r="Q357" s="19">
        <v>33767.023999999998</v>
      </c>
      <c r="R357" s="19">
        <v>32180.434099999999</v>
      </c>
      <c r="S357" s="19">
        <v>1.5938000000000001</v>
      </c>
      <c r="T357" s="19">
        <v>49690.6299</v>
      </c>
      <c r="U357" s="19">
        <v>46661.910499999998</v>
      </c>
      <c r="V357">
        <v>34.6</v>
      </c>
      <c r="W357" s="19">
        <v>68.571399999999997</v>
      </c>
      <c r="X357">
        <v>96</v>
      </c>
      <c r="Y357">
        <v>95</v>
      </c>
      <c r="Z357">
        <v>94</v>
      </c>
      <c r="AA357">
        <v>2.6</v>
      </c>
      <c r="AB357">
        <v>67.900000000000006</v>
      </c>
      <c r="AC357">
        <v>83.497600000000006</v>
      </c>
      <c r="AD357">
        <v>99.069299999999998</v>
      </c>
      <c r="AE357">
        <v>7</v>
      </c>
      <c r="AF357">
        <v>97.067800000000005</v>
      </c>
      <c r="AG357">
        <v>5.3</v>
      </c>
      <c r="AH357">
        <v>0.28000000000000003</v>
      </c>
      <c r="AI357">
        <v>3.1</v>
      </c>
      <c r="AJ357">
        <v>2.8</v>
      </c>
      <c r="AK357">
        <v>3.3</v>
      </c>
      <c r="AL357">
        <v>58.826900000000002</v>
      </c>
      <c r="AM357">
        <v>1.8</v>
      </c>
      <c r="AN357">
        <v>46634</v>
      </c>
      <c r="AO357">
        <v>0</v>
      </c>
      <c r="AP357">
        <v>99.917000000000002</v>
      </c>
      <c r="AQ357">
        <v>99.885199999999998</v>
      </c>
      <c r="AR357">
        <v>93.224199999999996</v>
      </c>
      <c r="AS357">
        <v>78.075299999999999</v>
      </c>
      <c r="AT357">
        <v>79.409400000000005</v>
      </c>
      <c r="AU357">
        <v>14.893700000000001</v>
      </c>
      <c r="AV357" s="19">
        <v>58.962299999999999</v>
      </c>
      <c r="AW357">
        <v>1</v>
      </c>
      <c r="AX357">
        <v>20</v>
      </c>
      <c r="AY357">
        <v>3</v>
      </c>
      <c r="AZ357">
        <v>5</v>
      </c>
      <c r="BA357">
        <v>79.019000000000005</v>
      </c>
      <c r="BB357">
        <v>35.714300000000001</v>
      </c>
      <c r="BC357">
        <v>6.3836000000000004</v>
      </c>
      <c r="BD357" s="19">
        <v>0.42899999999999999</v>
      </c>
      <c r="BE357" s="19">
        <v>77.142899999999997</v>
      </c>
      <c r="BF357">
        <v>40.052199999999999</v>
      </c>
      <c r="BG357">
        <v>17.3</v>
      </c>
      <c r="BH357" s="20">
        <v>1.4616</v>
      </c>
      <c r="BI357" s="20">
        <v>2670.6536000000001</v>
      </c>
      <c r="BJ357" s="19">
        <v>60.476199999999999</v>
      </c>
      <c r="BK357">
        <v>0.98109999999999997</v>
      </c>
      <c r="BL357">
        <v>0.98340000000000005</v>
      </c>
      <c r="BM357">
        <v>0.98480000000000001</v>
      </c>
      <c r="BN357">
        <v>8</v>
      </c>
      <c r="BO357">
        <v>18.242000000000001</v>
      </c>
      <c r="BP357">
        <v>6.77</v>
      </c>
      <c r="BQ357" s="19">
        <v>100.94159999999999</v>
      </c>
      <c r="BR357">
        <v>65.023700000000005</v>
      </c>
      <c r="BS357" s="20">
        <v>9.9510000000000005</v>
      </c>
      <c r="BT357" s="20">
        <v>9.952</v>
      </c>
      <c r="BU357" s="20">
        <v>29.152000000000001</v>
      </c>
      <c r="BV357" s="20">
        <v>29.155999999999999</v>
      </c>
      <c r="BW357" s="1">
        <v>76.811599999999999</v>
      </c>
      <c r="BX357">
        <v>32.19</v>
      </c>
      <c r="BY357" s="5">
        <v>131381653</v>
      </c>
      <c r="BZ357" s="6">
        <v>436739271</v>
      </c>
      <c r="CA357" s="7">
        <f t="shared" si="25"/>
        <v>3.3242028930782292</v>
      </c>
      <c r="CB357">
        <v>59729081</v>
      </c>
      <c r="CC357" s="8">
        <f t="shared" si="26"/>
        <v>7.3120038629089237</v>
      </c>
      <c r="CD357" s="8">
        <f t="shared" si="27"/>
        <v>2.1996262256236623</v>
      </c>
      <c r="CE357">
        <v>302072</v>
      </c>
      <c r="CF357" s="8">
        <f t="shared" si="28"/>
        <v>434.93489300564102</v>
      </c>
      <c r="CG357" s="8">
        <f t="shared" si="29"/>
        <v>1445.811829630022</v>
      </c>
      <c r="CH357">
        <v>98.376840000000001</v>
      </c>
    </row>
    <row r="358" spans="1:86" ht="15.5" x14ac:dyDescent="0.35">
      <c r="A358" t="s">
        <v>100</v>
      </c>
      <c r="B358">
        <v>2020</v>
      </c>
      <c r="C358" s="2">
        <v>56.752600000000001</v>
      </c>
      <c r="D358">
        <v>557902.80000000005</v>
      </c>
      <c r="E358">
        <v>0.1094</v>
      </c>
      <c r="F358">
        <v>4.9778000000000002</v>
      </c>
      <c r="G358">
        <v>430000</v>
      </c>
      <c r="H358">
        <v>12</v>
      </c>
      <c r="I358" s="19">
        <v>103.02500000000001</v>
      </c>
      <c r="J358" s="19">
        <v>103.5</v>
      </c>
      <c r="K358" s="19">
        <v>2.9140000000000001</v>
      </c>
      <c r="L358" s="19">
        <v>67.142899999999997</v>
      </c>
      <c r="M358" s="19">
        <v>71680000000</v>
      </c>
      <c r="N358" s="19">
        <v>109.36620000000001</v>
      </c>
      <c r="O358">
        <v>22.988</v>
      </c>
      <c r="P358">
        <v>30.258600000000001</v>
      </c>
      <c r="Q358" s="19">
        <v>31956.874</v>
      </c>
      <c r="R358" s="19">
        <v>29469.798900000002</v>
      </c>
      <c r="S358" s="19">
        <v>-8.4231999999999996</v>
      </c>
      <c r="T358" s="19">
        <v>45505.068899999998</v>
      </c>
      <c r="U358" s="19">
        <v>44435.643400000001</v>
      </c>
      <c r="V358">
        <v>35.200000000000003</v>
      </c>
      <c r="W358" s="19">
        <v>65.238100000000003</v>
      </c>
      <c r="X358">
        <v>94</v>
      </c>
      <c r="Y358">
        <v>94</v>
      </c>
      <c r="Z358">
        <v>92</v>
      </c>
      <c r="AA358">
        <v>2.5</v>
      </c>
      <c r="AB358">
        <v>70.5</v>
      </c>
      <c r="AC358">
        <v>82.195099999999996</v>
      </c>
      <c r="AD358">
        <v>99.724599999999995</v>
      </c>
      <c r="AE358">
        <v>8</v>
      </c>
      <c r="AF358">
        <v>97.108500000000006</v>
      </c>
      <c r="AH358">
        <v>0.28999999999999998</v>
      </c>
      <c r="AI358">
        <v>3</v>
      </c>
      <c r="AJ358">
        <v>2.7</v>
      </c>
      <c r="AK358">
        <v>3.2</v>
      </c>
      <c r="AL358">
        <v>58.961599999999997</v>
      </c>
      <c r="AM358">
        <v>1.8</v>
      </c>
      <c r="AN358">
        <v>85281</v>
      </c>
      <c r="AO358">
        <v>0</v>
      </c>
      <c r="AP358">
        <v>99.917000000000002</v>
      </c>
      <c r="AQ358">
        <v>99.885199999999998</v>
      </c>
      <c r="AR358">
        <v>92.967399999999998</v>
      </c>
      <c r="AS358">
        <v>78.075299999999999</v>
      </c>
      <c r="AT358">
        <v>79.409400000000005</v>
      </c>
      <c r="AU358">
        <v>14.6586</v>
      </c>
      <c r="AV358" s="19">
        <v>58.018900000000002</v>
      </c>
      <c r="AW358">
        <v>0.8</v>
      </c>
      <c r="AX358">
        <v>20.100000000000001</v>
      </c>
      <c r="AY358">
        <v>3</v>
      </c>
      <c r="AZ358">
        <v>5</v>
      </c>
      <c r="BA358">
        <v>79.022999999999996</v>
      </c>
      <c r="BB358">
        <v>35.714300000000001</v>
      </c>
      <c r="BC358">
        <v>7.3079999999999998</v>
      </c>
      <c r="BD358" s="19">
        <v>-8.8680000000000003</v>
      </c>
      <c r="BE358" s="19">
        <v>68.095200000000006</v>
      </c>
      <c r="BF358">
        <v>42.3735</v>
      </c>
      <c r="BG358">
        <v>18.7</v>
      </c>
      <c r="BH358" s="20">
        <v>1.5065999999999999</v>
      </c>
      <c r="BI358" s="20">
        <v>2614.6819</v>
      </c>
      <c r="BJ358" s="19">
        <v>57.619</v>
      </c>
      <c r="BK358">
        <v>0.99919999999999998</v>
      </c>
      <c r="BL358">
        <v>0.99039999999999995</v>
      </c>
      <c r="BM358">
        <v>0.98529999999999995</v>
      </c>
      <c r="BN358">
        <v>8</v>
      </c>
      <c r="BO358">
        <v>19.018999999999998</v>
      </c>
      <c r="BP358">
        <v>6.77</v>
      </c>
      <c r="BQ358" s="19">
        <v>104.71510000000001</v>
      </c>
      <c r="BR358">
        <v>65.023700000000005</v>
      </c>
      <c r="BS358" s="20">
        <v>9.1639999999999997</v>
      </c>
      <c r="BT358" s="20">
        <v>9.1639999999999997</v>
      </c>
      <c r="BU358" s="20">
        <v>29.39</v>
      </c>
      <c r="BV358" s="20">
        <v>29.381</v>
      </c>
      <c r="BW358" s="1">
        <v>81.159400000000005</v>
      </c>
      <c r="BX358">
        <v>34.69</v>
      </c>
      <c r="BY358" s="5">
        <v>55702138</v>
      </c>
      <c r="BZ358" s="6">
        <v>208447085</v>
      </c>
      <c r="CA358" s="7">
        <f t="shared" si="25"/>
        <v>3.7421738641342635</v>
      </c>
      <c r="CB358">
        <v>59438851</v>
      </c>
      <c r="CC358" s="8">
        <f t="shared" si="26"/>
        <v>3.5069164610870422</v>
      </c>
      <c r="CD358" s="8">
        <f t="shared" si="27"/>
        <v>0.93713349203200447</v>
      </c>
      <c r="CE358">
        <v>302072</v>
      </c>
      <c r="CF358" s="8">
        <f t="shared" si="28"/>
        <v>184.40020260070446</v>
      </c>
      <c r="CG358" s="8">
        <f t="shared" si="29"/>
        <v>690.05761871341929</v>
      </c>
      <c r="CH358">
        <v>97.895539999999997</v>
      </c>
    </row>
    <row r="359" spans="1:86" ht="15.5" x14ac:dyDescent="0.35">
      <c r="A359" t="s">
        <v>100</v>
      </c>
      <c r="B359">
        <v>2021</v>
      </c>
      <c r="C359" s="2">
        <v>56.928400000000003</v>
      </c>
      <c r="D359">
        <v>561117.19999999995</v>
      </c>
      <c r="E359">
        <v>0.1135</v>
      </c>
      <c r="F359">
        <v>5.6528999999999998</v>
      </c>
      <c r="G359">
        <v>430000</v>
      </c>
      <c r="H359">
        <v>12</v>
      </c>
      <c r="I359" s="19">
        <v>105.02500000000001</v>
      </c>
      <c r="J359" s="19">
        <v>107.8</v>
      </c>
      <c r="K359" s="19">
        <v>6.2510000000000003</v>
      </c>
      <c r="L359" s="19">
        <v>67.619</v>
      </c>
      <c r="M359" s="19">
        <v>45792000000</v>
      </c>
      <c r="N359" s="19">
        <v>133.5445</v>
      </c>
      <c r="O359">
        <v>24.045999999999999</v>
      </c>
      <c r="P359">
        <v>31.285299999999999</v>
      </c>
      <c r="Q359" s="19">
        <v>36812.887000000002</v>
      </c>
      <c r="R359" s="19">
        <v>32267.7091</v>
      </c>
      <c r="S359" s="19">
        <v>9.4941999999999993</v>
      </c>
      <c r="T359" s="19">
        <v>49825.393400000001</v>
      </c>
      <c r="U359" s="19">
        <v>49825.393400000001</v>
      </c>
      <c r="V359">
        <v>34.799999999999997</v>
      </c>
      <c r="W359" s="19">
        <v>63.8095</v>
      </c>
      <c r="X359">
        <v>94</v>
      </c>
      <c r="Y359">
        <v>94</v>
      </c>
      <c r="Z359">
        <v>94</v>
      </c>
      <c r="AA359">
        <v>2.5</v>
      </c>
      <c r="AB359">
        <v>74.900000000000006</v>
      </c>
      <c r="AC359">
        <v>82.646299999999997</v>
      </c>
      <c r="AD359">
        <v>99.6601</v>
      </c>
      <c r="AE359">
        <v>7</v>
      </c>
      <c r="AH359">
        <v>0.31</v>
      </c>
      <c r="AI359">
        <v>2.9</v>
      </c>
      <c r="AJ359">
        <v>2.6</v>
      </c>
      <c r="AK359">
        <v>3.1</v>
      </c>
      <c r="AL359">
        <v>59.357199999999999</v>
      </c>
      <c r="AM359">
        <v>1.7</v>
      </c>
      <c r="AN359">
        <v>157327</v>
      </c>
      <c r="AO359">
        <v>0</v>
      </c>
      <c r="AP359">
        <v>99.917000000000002</v>
      </c>
      <c r="AQ359">
        <v>99.885099999999994</v>
      </c>
      <c r="AR359">
        <v>92.710599999999999</v>
      </c>
      <c r="AS359">
        <v>78.075299999999999</v>
      </c>
      <c r="AT359">
        <v>79.409400000000005</v>
      </c>
      <c r="AV359" s="19">
        <v>63.679200000000002</v>
      </c>
      <c r="AW359">
        <v>0.8</v>
      </c>
      <c r="AX359">
        <v>20.100000000000001</v>
      </c>
      <c r="AY359">
        <v>3</v>
      </c>
      <c r="AZ359">
        <v>5</v>
      </c>
      <c r="BA359">
        <v>79.027100000000004</v>
      </c>
      <c r="BB359">
        <v>35.714300000000001</v>
      </c>
      <c r="BC359">
        <v>6.9564000000000004</v>
      </c>
      <c r="BD359" s="19">
        <v>8.9309999999999992</v>
      </c>
      <c r="BE359" s="19">
        <v>68.571399999999997</v>
      </c>
      <c r="BF359">
        <v>40.973599999999998</v>
      </c>
      <c r="BG359">
        <v>17.5</v>
      </c>
      <c r="BH359" s="20">
        <v>1.4266000000000001</v>
      </c>
      <c r="BI359" s="20">
        <v>2658.895</v>
      </c>
      <c r="BJ359" s="19">
        <v>58.095199999999998</v>
      </c>
      <c r="BN359">
        <v>8</v>
      </c>
      <c r="BO359">
        <v>19.768000000000001</v>
      </c>
      <c r="BP359">
        <v>6.99</v>
      </c>
      <c r="BQ359" s="19">
        <v>99.136899999999997</v>
      </c>
      <c r="BS359" s="20">
        <v>9.4969999999999999</v>
      </c>
      <c r="BT359" s="20">
        <v>9.4969999999999999</v>
      </c>
      <c r="BU359" s="20">
        <v>29.664999999999999</v>
      </c>
      <c r="BV359" s="20">
        <v>29.675999999999998</v>
      </c>
      <c r="BW359" s="1">
        <v>83.5749</v>
      </c>
      <c r="BX359">
        <v>33.04</v>
      </c>
      <c r="BY359" s="5">
        <v>78670967</v>
      </c>
      <c r="BZ359" s="6">
        <v>289178142</v>
      </c>
      <c r="CA359" s="7">
        <f t="shared" si="25"/>
        <v>3.6757923923828213</v>
      </c>
      <c r="CB359">
        <v>59133173</v>
      </c>
      <c r="CC359" s="8">
        <f t="shared" si="26"/>
        <v>4.8902862357817325</v>
      </c>
      <c r="CD359" s="8">
        <f t="shared" si="27"/>
        <v>1.3304032746560039</v>
      </c>
      <c r="CE359">
        <v>302072</v>
      </c>
      <c r="CF359" s="8">
        <f t="shared" si="28"/>
        <v>260.43779959744694</v>
      </c>
      <c r="CG359" s="8">
        <f t="shared" si="29"/>
        <v>957.31528244921742</v>
      </c>
      <c r="CH359">
        <v>96.959180000000003</v>
      </c>
    </row>
    <row r="360" spans="1:86" ht="15.5" x14ac:dyDescent="0.35">
      <c r="A360" t="s">
        <v>100</v>
      </c>
      <c r="B360">
        <v>2022</v>
      </c>
      <c r="C360" s="2">
        <v>57.032600000000002</v>
      </c>
      <c r="E360">
        <v>0.1079</v>
      </c>
      <c r="F360">
        <v>5.6387999999999998</v>
      </c>
      <c r="H360">
        <v>12</v>
      </c>
      <c r="I360" s="19">
        <v>114.2</v>
      </c>
      <c r="J360" s="19">
        <v>121.1</v>
      </c>
      <c r="K360" s="19">
        <v>8.7970000000000006</v>
      </c>
      <c r="L360" s="19">
        <v>68.867900000000006</v>
      </c>
      <c r="M360" s="19">
        <v>-36326000000</v>
      </c>
      <c r="N360" s="19"/>
      <c r="O360">
        <v>23.145</v>
      </c>
      <c r="P360">
        <v>31.191400000000002</v>
      </c>
      <c r="Q360" s="19">
        <v>35671.989000000001</v>
      </c>
      <c r="R360" s="19">
        <v>33840.343200000003</v>
      </c>
      <c r="S360" s="19">
        <v>4.8737000000000004</v>
      </c>
      <c r="T360" s="19">
        <v>52253.7379</v>
      </c>
      <c r="U360" s="19">
        <v>56218.766499999998</v>
      </c>
      <c r="W360" s="19">
        <v>67.452799999999996</v>
      </c>
      <c r="X360">
        <v>95</v>
      </c>
      <c r="Y360">
        <v>95</v>
      </c>
      <c r="Z360">
        <v>94</v>
      </c>
      <c r="AA360">
        <v>2.4</v>
      </c>
      <c r="AB360">
        <v>85.1</v>
      </c>
      <c r="AC360">
        <v>82.7</v>
      </c>
      <c r="AD360">
        <v>95.928700000000006</v>
      </c>
      <c r="AE360">
        <v>10</v>
      </c>
      <c r="AI360">
        <v>2.8</v>
      </c>
      <c r="AJ360">
        <v>2.6</v>
      </c>
      <c r="AK360">
        <v>3</v>
      </c>
      <c r="AL360">
        <v>59.5777</v>
      </c>
      <c r="AM360">
        <v>1.7</v>
      </c>
      <c r="AN360">
        <v>231228</v>
      </c>
      <c r="AO360">
        <v>0</v>
      </c>
      <c r="AP360">
        <v>99.917000000000002</v>
      </c>
      <c r="AQ360">
        <v>99.885000000000005</v>
      </c>
      <c r="AR360">
        <v>92.710599999999999</v>
      </c>
      <c r="AS360">
        <v>78.075299999999999</v>
      </c>
      <c r="AT360">
        <v>79.409400000000005</v>
      </c>
      <c r="AV360" s="19">
        <v>60.377400000000002</v>
      </c>
      <c r="AY360">
        <v>3</v>
      </c>
      <c r="AZ360">
        <v>5</v>
      </c>
      <c r="BA360">
        <v>79.031199999999998</v>
      </c>
      <c r="BB360">
        <v>32.25</v>
      </c>
      <c r="BC360">
        <v>6.7201000000000004</v>
      </c>
      <c r="BD360" s="19">
        <v>4.8209999999999997</v>
      </c>
      <c r="BE360" s="19">
        <v>68.867900000000006</v>
      </c>
      <c r="BG360" s="23">
        <v>19.131</v>
      </c>
      <c r="BH360" s="20">
        <v>1.3900999999999999</v>
      </c>
      <c r="BI360" s="20">
        <v>2795.5342000000001</v>
      </c>
      <c r="BJ360" s="19">
        <v>58.490600000000001</v>
      </c>
      <c r="BN360">
        <v>8</v>
      </c>
      <c r="BO360">
        <v>15.858000000000001</v>
      </c>
      <c r="BQ360" s="19"/>
      <c r="BS360" s="20">
        <v>8.0690000000000008</v>
      </c>
      <c r="BT360" s="20">
        <v>8.0690000000000008</v>
      </c>
      <c r="BU360" s="20">
        <v>23.704000000000001</v>
      </c>
      <c r="BV360" s="20">
        <v>23.702999999999999</v>
      </c>
      <c r="BW360" s="1">
        <v>83.091800000000006</v>
      </c>
      <c r="BX360">
        <v>37.01</v>
      </c>
      <c r="BY360" s="5">
        <v>118514633</v>
      </c>
      <c r="BZ360" s="6">
        <v>412008532</v>
      </c>
      <c r="CA360" s="7">
        <f t="shared" si="25"/>
        <v>3.4764359604438044</v>
      </c>
      <c r="CB360">
        <v>59013667</v>
      </c>
      <c r="CC360" s="8">
        <f t="shared" si="26"/>
        <v>6.98157821644942</v>
      </c>
      <c r="CD360" s="8">
        <f t="shared" si="27"/>
        <v>2.0082573923088018</v>
      </c>
      <c r="CE360">
        <v>302072</v>
      </c>
      <c r="CF360" s="8">
        <f t="shared" si="28"/>
        <v>392.33902182261181</v>
      </c>
      <c r="CG360" s="8">
        <f t="shared" si="29"/>
        <v>1363.9414841494743</v>
      </c>
      <c r="CH360">
        <v>96.816900000000004</v>
      </c>
    </row>
    <row r="361" spans="1:86" ht="15.5" x14ac:dyDescent="0.35">
      <c r="A361" t="s">
        <v>100</v>
      </c>
      <c r="B361">
        <v>2023</v>
      </c>
      <c r="C361" s="26">
        <v>57.141800000000003</v>
      </c>
      <c r="E361">
        <v>9.8400000000000001E-2</v>
      </c>
      <c r="F361">
        <v>5.1783999999999999</v>
      </c>
      <c r="H361">
        <v>12</v>
      </c>
      <c r="I361" s="19">
        <v>120.94199999999999</v>
      </c>
      <c r="J361" s="19">
        <v>121.7</v>
      </c>
      <c r="K361" s="19">
        <v>6.0270000000000001</v>
      </c>
      <c r="L361" s="19">
        <v>67.924499999999995</v>
      </c>
      <c r="M361" s="19">
        <v>3178000000</v>
      </c>
      <c r="N361" s="19"/>
      <c r="P361">
        <v>33.793199999999999</v>
      </c>
      <c r="Q361" s="19">
        <v>39074.241999999998</v>
      </c>
      <c r="R361" s="19">
        <v>34088.088100000001</v>
      </c>
      <c r="S361" s="19">
        <v>0.73209999999999997</v>
      </c>
      <c r="T361" s="19">
        <v>52636.287100000001</v>
      </c>
      <c r="U361" s="19">
        <v>57801.366300000002</v>
      </c>
      <c r="W361" s="19">
        <v>70.283000000000001</v>
      </c>
      <c r="X361">
        <v>95</v>
      </c>
      <c r="Y361">
        <v>95</v>
      </c>
      <c r="Z361">
        <v>95</v>
      </c>
      <c r="AA361">
        <v>2.2999999999999998</v>
      </c>
      <c r="AB361">
        <v>87</v>
      </c>
      <c r="AC361">
        <v>83.7</v>
      </c>
      <c r="AE361">
        <v>6</v>
      </c>
      <c r="AI361">
        <v>2.8</v>
      </c>
      <c r="AJ361">
        <v>2.5</v>
      </c>
      <c r="AK361">
        <v>3</v>
      </c>
      <c r="AL361" s="24">
        <v>59.5777</v>
      </c>
      <c r="AM361">
        <v>1.6</v>
      </c>
      <c r="AN361">
        <v>150189</v>
      </c>
      <c r="AV361" s="19">
        <v>64.928899999999999</v>
      </c>
      <c r="AY361" s="25">
        <v>3</v>
      </c>
      <c r="AZ361">
        <v>5</v>
      </c>
      <c r="BB361">
        <v>32.25</v>
      </c>
      <c r="BD361" s="19">
        <v>0.71499999999999997</v>
      </c>
      <c r="BE361" s="19">
        <v>72.641499999999994</v>
      </c>
      <c r="BG361" s="23">
        <v>19.594000000000001</v>
      </c>
      <c r="BH361" s="20"/>
      <c r="BI361" s="20"/>
      <c r="BJ361" s="19">
        <v>60.8491</v>
      </c>
      <c r="BN361">
        <v>8</v>
      </c>
      <c r="BO361">
        <v>12.672000000000001</v>
      </c>
      <c r="BQ361" s="19"/>
      <c r="BS361" s="20">
        <v>7.6269999999999998</v>
      </c>
      <c r="BT361" s="20">
        <v>7.6269999999999998</v>
      </c>
      <c r="BU361" s="20">
        <v>22.727</v>
      </c>
      <c r="BV361" s="20">
        <v>22.725999999999999</v>
      </c>
      <c r="BW361" s="1">
        <v>85.784300000000002</v>
      </c>
      <c r="BX361">
        <v>35.14</v>
      </c>
      <c r="BY361" s="5">
        <v>133636709</v>
      </c>
      <c r="BZ361" s="6">
        <v>447170049</v>
      </c>
      <c r="CA361" s="7">
        <f t="shared" si="25"/>
        <v>3.3461617870281435</v>
      </c>
      <c r="CB361">
        <v>58993475</v>
      </c>
      <c r="CC361" s="8">
        <f t="shared" si="26"/>
        <v>7.5799916685701261</v>
      </c>
      <c r="CD361" s="8">
        <f t="shared" si="27"/>
        <v>2.2652794906555345</v>
      </c>
      <c r="CE361">
        <v>302072</v>
      </c>
      <c r="CF361" s="8">
        <f t="shared" si="28"/>
        <v>442.40018604835933</v>
      </c>
      <c r="CG361" s="8">
        <f t="shared" si="29"/>
        <v>1480.3425971291613</v>
      </c>
      <c r="CH361">
        <v>96.814999999999998</v>
      </c>
    </row>
    <row r="362" spans="1:86" ht="15.5" x14ac:dyDescent="0.35">
      <c r="A362" t="s">
        <v>101</v>
      </c>
      <c r="B362">
        <v>2000</v>
      </c>
      <c r="C362" s="2">
        <v>48.493299999999998</v>
      </c>
      <c r="D362">
        <v>13259.38</v>
      </c>
      <c r="E362">
        <v>0.20979999999999999</v>
      </c>
      <c r="F362">
        <v>3.0537000000000001</v>
      </c>
      <c r="G362">
        <v>10700</v>
      </c>
      <c r="H362">
        <v>11</v>
      </c>
      <c r="I362" s="19">
        <v>55.183999999999997</v>
      </c>
      <c r="J362" s="19">
        <v>55.46</v>
      </c>
      <c r="K362" s="19">
        <v>4.9669999999999996</v>
      </c>
      <c r="L362" s="19">
        <v>56.914900000000003</v>
      </c>
      <c r="M362" s="19">
        <v>-374000000</v>
      </c>
      <c r="N362" s="19">
        <v>15.2075</v>
      </c>
      <c r="O362">
        <v>37.073999999999998</v>
      </c>
      <c r="P362">
        <v>1.2E-2</v>
      </c>
      <c r="Q362" s="19">
        <v>3260.181</v>
      </c>
      <c r="R362" s="19">
        <v>6336.3831</v>
      </c>
      <c r="S362" s="19">
        <v>6.8662000000000001</v>
      </c>
      <c r="T362" s="19">
        <v>14554.2608</v>
      </c>
      <c r="U362" s="19">
        <v>7840.8815000000004</v>
      </c>
      <c r="W362" s="19">
        <v>60.655700000000003</v>
      </c>
      <c r="X362">
        <v>96</v>
      </c>
      <c r="Y362">
        <v>95</v>
      </c>
      <c r="Z362">
        <v>97</v>
      </c>
      <c r="AA362">
        <v>11.6</v>
      </c>
      <c r="AB362">
        <v>6.32</v>
      </c>
      <c r="AC362">
        <v>70.314599999999999</v>
      </c>
      <c r="AE362">
        <v>34</v>
      </c>
      <c r="AF362">
        <v>69.414100000000005</v>
      </c>
      <c r="AG362">
        <v>29.2</v>
      </c>
      <c r="AH362">
        <v>6.37</v>
      </c>
      <c r="AI362">
        <v>14.2</v>
      </c>
      <c r="AJ362">
        <v>12.9</v>
      </c>
      <c r="AK362">
        <v>15.6</v>
      </c>
      <c r="AL362">
        <v>53.6661</v>
      </c>
      <c r="AM362">
        <v>7.2</v>
      </c>
      <c r="AN362">
        <v>-15679</v>
      </c>
      <c r="AO362">
        <v>0</v>
      </c>
      <c r="AP362">
        <v>97.802700000000002</v>
      </c>
      <c r="AQ362">
        <v>87.535399999999996</v>
      </c>
      <c r="AR362">
        <v>92.384500000000003</v>
      </c>
      <c r="AU362">
        <v>22.4971</v>
      </c>
      <c r="AV362" s="19">
        <v>63.492100000000001</v>
      </c>
      <c r="AY362">
        <v>6</v>
      </c>
      <c r="AZ362">
        <v>4</v>
      </c>
      <c r="BA362">
        <v>66.772599999999997</v>
      </c>
      <c r="BB362">
        <v>17</v>
      </c>
      <c r="BC362">
        <v>2.7576000000000001</v>
      </c>
      <c r="BD362" s="19">
        <v>5.8410000000000002</v>
      </c>
      <c r="BE362" s="19">
        <v>71.195700000000002</v>
      </c>
      <c r="BF362">
        <v>68.2684</v>
      </c>
      <c r="BG362">
        <v>35.799999999999997</v>
      </c>
      <c r="BH362" s="20">
        <v>0.43480000000000002</v>
      </c>
      <c r="BI362" s="20">
        <v>1600.9966999999999</v>
      </c>
      <c r="BJ362" s="19">
        <v>56.218899999999998</v>
      </c>
      <c r="BK362">
        <v>0.97960000000000003</v>
      </c>
      <c r="BL362">
        <v>1.0122</v>
      </c>
      <c r="BM362">
        <v>1.0290999999999999</v>
      </c>
      <c r="BN362">
        <v>8</v>
      </c>
      <c r="BO362">
        <v>69.738</v>
      </c>
      <c r="BP362">
        <v>34.82</v>
      </c>
      <c r="BQ362" s="19">
        <v>94.584000000000003</v>
      </c>
      <c r="BR362">
        <v>65.522000000000006</v>
      </c>
      <c r="BS362" s="20">
        <v>14.211</v>
      </c>
      <c r="BT362" s="20">
        <v>14.211</v>
      </c>
      <c r="BU362" s="20">
        <v>21.265999999999998</v>
      </c>
      <c r="BV362" s="20">
        <v>21.271999999999998</v>
      </c>
      <c r="BW362" s="19">
        <v>70.149299999999997</v>
      </c>
      <c r="BX362">
        <v>36.090000000000003</v>
      </c>
      <c r="BY362" s="5">
        <v>513567</v>
      </c>
      <c r="BZ362" s="6">
        <v>1483854</v>
      </c>
      <c r="CA362" s="7">
        <f t="shared" si="25"/>
        <v>2.8893094766602996</v>
      </c>
      <c r="CB362">
        <v>2367550</v>
      </c>
      <c r="CC362" s="8">
        <f t="shared" si="26"/>
        <v>0.62674663681865217</v>
      </c>
      <c r="CD362" s="8">
        <f t="shared" si="27"/>
        <v>0.2169191780532618</v>
      </c>
      <c r="CE362">
        <v>64585</v>
      </c>
      <c r="CF362" s="8">
        <f t="shared" si="28"/>
        <v>7.9517999535495862</v>
      </c>
      <c r="CG362" s="8">
        <f t="shared" si="29"/>
        <v>22.975210962297748</v>
      </c>
      <c r="CH362">
        <v>92.817279999999997</v>
      </c>
    </row>
    <row r="363" spans="1:86" ht="15.5" x14ac:dyDescent="0.35">
      <c r="A363" t="s">
        <v>101</v>
      </c>
      <c r="B363">
        <v>2001</v>
      </c>
      <c r="C363" s="2">
        <v>47.778300000000002</v>
      </c>
      <c r="D363">
        <v>14130.31</v>
      </c>
      <c r="E363">
        <v>0.20899999999999999</v>
      </c>
      <c r="F363">
        <v>3.2805</v>
      </c>
      <c r="G363">
        <v>11200</v>
      </c>
      <c r="H363">
        <v>11</v>
      </c>
      <c r="I363" s="19">
        <v>56.578000000000003</v>
      </c>
      <c r="J363" s="19">
        <v>57.22</v>
      </c>
      <c r="K363" s="19">
        <v>3.9790000000000001</v>
      </c>
      <c r="L363" s="19"/>
      <c r="M363" s="19">
        <v>-628000000</v>
      </c>
      <c r="N363" s="19">
        <v>16.283799999999999</v>
      </c>
      <c r="O363">
        <v>39.978999999999999</v>
      </c>
      <c r="P363">
        <v>0.13830000000000001</v>
      </c>
      <c r="Q363" s="19">
        <v>3480.7820000000002</v>
      </c>
      <c r="R363" s="19">
        <v>6833.4353000000001</v>
      </c>
      <c r="S363" s="19">
        <v>7.8444000000000003</v>
      </c>
      <c r="T363" s="19">
        <v>15695.957399999999</v>
      </c>
      <c r="U363" s="19">
        <v>8861.6535000000003</v>
      </c>
      <c r="W363" s="19"/>
      <c r="X363">
        <v>97</v>
      </c>
      <c r="Y363">
        <v>96</v>
      </c>
      <c r="Z363">
        <v>98</v>
      </c>
      <c r="AA363">
        <v>10.8</v>
      </c>
      <c r="AB363">
        <v>7.22</v>
      </c>
      <c r="AC363">
        <v>70.760999999999996</v>
      </c>
      <c r="AE363">
        <v>32</v>
      </c>
      <c r="AF363">
        <v>69.722200000000001</v>
      </c>
      <c r="AG363">
        <v>25.9</v>
      </c>
      <c r="AH363">
        <v>5.23</v>
      </c>
      <c r="AI363">
        <v>13.3</v>
      </c>
      <c r="AJ363">
        <v>12</v>
      </c>
      <c r="AK363">
        <v>14.5</v>
      </c>
      <c r="AL363">
        <v>54.470199999999998</v>
      </c>
      <c r="AM363">
        <v>6.6</v>
      </c>
      <c r="AN363">
        <v>-18634</v>
      </c>
      <c r="AO363">
        <v>0</v>
      </c>
      <c r="AP363">
        <v>97.799300000000002</v>
      </c>
      <c r="AQ363">
        <v>87.509600000000006</v>
      </c>
      <c r="AR363">
        <v>92.365300000000005</v>
      </c>
      <c r="AU363">
        <v>21.6068</v>
      </c>
      <c r="AV363" s="19"/>
      <c r="AY363">
        <v>6</v>
      </c>
      <c r="AZ363">
        <v>4</v>
      </c>
      <c r="BA363">
        <v>66.760499999999993</v>
      </c>
      <c r="BB363">
        <v>17</v>
      </c>
      <c r="BC363">
        <v>2.8117999999999999</v>
      </c>
      <c r="BD363" s="19">
        <v>6.4610000000000003</v>
      </c>
      <c r="BE363" s="19"/>
      <c r="BF363">
        <v>66.344399999999993</v>
      </c>
      <c r="BG363">
        <v>35.4</v>
      </c>
      <c r="BH363" s="20">
        <v>0.40260000000000001</v>
      </c>
      <c r="BI363" s="20">
        <v>1485.33</v>
      </c>
      <c r="BJ363" s="19"/>
      <c r="BK363">
        <v>0.97660000000000002</v>
      </c>
      <c r="BL363">
        <v>1.0025999999999999</v>
      </c>
      <c r="BM363">
        <v>1.0145</v>
      </c>
      <c r="BN363">
        <v>8</v>
      </c>
      <c r="BO363">
        <v>71.676000000000002</v>
      </c>
      <c r="BP363">
        <v>32.29</v>
      </c>
      <c r="BQ363" s="19">
        <v>95.635800000000003</v>
      </c>
      <c r="BR363">
        <v>63.807200000000002</v>
      </c>
      <c r="BS363" s="20">
        <v>13.821</v>
      </c>
      <c r="BT363" s="20">
        <v>13.821</v>
      </c>
      <c r="BU363" s="20">
        <v>24.164999999999999</v>
      </c>
      <c r="BV363" s="20">
        <v>24.19</v>
      </c>
      <c r="BW363" s="19"/>
      <c r="BX363">
        <v>36.39</v>
      </c>
      <c r="BY363" s="5">
        <v>584969</v>
      </c>
      <c r="BZ363" s="6">
        <v>1615645</v>
      </c>
      <c r="CA363" s="7">
        <f t="shared" si="25"/>
        <v>2.7619326836122942</v>
      </c>
      <c r="CB363">
        <v>2337170</v>
      </c>
      <c r="CC363" s="8">
        <f t="shared" si="26"/>
        <v>0.691282619578379</v>
      </c>
      <c r="CD363" s="8">
        <f t="shared" si="27"/>
        <v>0.25028945262860641</v>
      </c>
      <c r="CE363">
        <v>64585</v>
      </c>
      <c r="CF363" s="8">
        <f t="shared" si="28"/>
        <v>9.0573507780444373</v>
      </c>
      <c r="CG363" s="8">
        <f t="shared" si="29"/>
        <v>25.015793140822172</v>
      </c>
      <c r="CH363">
        <v>93.090180000000004</v>
      </c>
    </row>
    <row r="364" spans="1:86" ht="15.5" x14ac:dyDescent="0.35">
      <c r="A364" t="s">
        <v>101</v>
      </c>
      <c r="B364">
        <v>2002</v>
      </c>
      <c r="C364" s="2">
        <v>47.174399999999999</v>
      </c>
      <c r="D364">
        <v>14320.11</v>
      </c>
      <c r="E364">
        <v>0.19409999999999999</v>
      </c>
      <c r="F364">
        <v>3.3176999999999999</v>
      </c>
      <c r="G364">
        <v>11200</v>
      </c>
      <c r="H364">
        <v>11</v>
      </c>
      <c r="I364" s="19">
        <v>57.689</v>
      </c>
      <c r="J364" s="19">
        <v>58.05</v>
      </c>
      <c r="K364" s="19">
        <v>4.1139999999999999</v>
      </c>
      <c r="L364" s="19">
        <v>57.142899999999997</v>
      </c>
      <c r="M364" s="19">
        <v>-619000000</v>
      </c>
      <c r="N364" s="19">
        <v>18.598700000000001</v>
      </c>
      <c r="O364">
        <v>38.088999999999999</v>
      </c>
      <c r="P364">
        <v>0.43259999999999998</v>
      </c>
      <c r="Q364" s="19">
        <v>3987.8910000000001</v>
      </c>
      <c r="R364" s="19">
        <v>7443.2294000000002</v>
      </c>
      <c r="S364" s="19">
        <v>8.9237000000000002</v>
      </c>
      <c r="T364" s="19">
        <v>17096.6149</v>
      </c>
      <c r="U364" s="19">
        <v>9756.2980000000007</v>
      </c>
      <c r="W364" s="19">
        <v>67.027000000000001</v>
      </c>
      <c r="X364">
        <v>97</v>
      </c>
      <c r="Y364">
        <v>98</v>
      </c>
      <c r="Z364">
        <v>98</v>
      </c>
      <c r="AA364">
        <v>10.3</v>
      </c>
      <c r="AB364">
        <v>21.9</v>
      </c>
      <c r="AC364">
        <v>70.960999999999999</v>
      </c>
      <c r="AE364">
        <v>29</v>
      </c>
      <c r="AF364">
        <v>70.087199999999996</v>
      </c>
      <c r="AG364">
        <v>25.8</v>
      </c>
      <c r="AH364">
        <v>5.65</v>
      </c>
      <c r="AI364">
        <v>12.6</v>
      </c>
      <c r="AJ364">
        <v>11.4</v>
      </c>
      <c r="AK364">
        <v>13.7</v>
      </c>
      <c r="AL364">
        <v>55.490900000000003</v>
      </c>
      <c r="AM364">
        <v>6.2</v>
      </c>
      <c r="AN364">
        <v>-9160</v>
      </c>
      <c r="AO364">
        <v>0</v>
      </c>
      <c r="AP364">
        <v>97.848600000000005</v>
      </c>
      <c r="AQ364">
        <v>87.929000000000002</v>
      </c>
      <c r="AR364">
        <v>92.394000000000005</v>
      </c>
      <c r="AU364">
        <v>20.507999999999999</v>
      </c>
      <c r="AV364" s="19">
        <v>82.010599999999997</v>
      </c>
      <c r="AY364">
        <v>6</v>
      </c>
      <c r="AZ364">
        <v>4</v>
      </c>
      <c r="BA364">
        <v>66.957499999999996</v>
      </c>
      <c r="BB364">
        <v>18</v>
      </c>
      <c r="BC364">
        <v>2.8572000000000002</v>
      </c>
      <c r="BD364" s="19">
        <v>7.665</v>
      </c>
      <c r="BE364" s="19">
        <v>74.054100000000005</v>
      </c>
      <c r="BF364">
        <v>62.511699999999998</v>
      </c>
      <c r="BG364">
        <v>34.4</v>
      </c>
      <c r="BH364" s="20">
        <v>0.40839999999999999</v>
      </c>
      <c r="BI364" s="20">
        <v>1486.0632000000001</v>
      </c>
      <c r="BJ364" s="19">
        <v>60.6965</v>
      </c>
      <c r="BK364">
        <v>0.97270000000000001</v>
      </c>
      <c r="BL364">
        <v>0.99260000000000004</v>
      </c>
      <c r="BM364">
        <v>1.0006999999999999</v>
      </c>
      <c r="BN364">
        <v>8</v>
      </c>
      <c r="BO364">
        <v>12.827999999999999</v>
      </c>
      <c r="BP364">
        <v>31.6</v>
      </c>
      <c r="BQ364" s="19">
        <v>98.913499999999999</v>
      </c>
      <c r="BR364">
        <v>62.964399999999998</v>
      </c>
      <c r="BS364" s="20">
        <v>13.829000000000001</v>
      </c>
      <c r="BT364" s="20">
        <v>13.829000000000001</v>
      </c>
      <c r="BU364" s="20">
        <v>25.251999999999999</v>
      </c>
      <c r="BV364" s="20">
        <v>25.289000000000001</v>
      </c>
      <c r="BW364" s="19">
        <v>72.636799999999994</v>
      </c>
      <c r="BX364">
        <v>35.979999999999997</v>
      </c>
      <c r="BY364" s="5">
        <v>666218</v>
      </c>
      <c r="BZ364" s="6">
        <v>1692929</v>
      </c>
      <c r="CA364" s="7">
        <f t="shared" si="25"/>
        <v>2.5411036627650407</v>
      </c>
      <c r="CB364">
        <v>2310173</v>
      </c>
      <c r="CC364" s="8">
        <f t="shared" si="26"/>
        <v>0.73281481516752212</v>
      </c>
      <c r="CD364" s="8">
        <f t="shared" si="27"/>
        <v>0.28838446298177667</v>
      </c>
      <c r="CE364">
        <v>64585</v>
      </c>
      <c r="CF364" s="8">
        <f t="shared" si="28"/>
        <v>10.31536734535883</v>
      </c>
      <c r="CG364" s="8">
        <f t="shared" si="29"/>
        <v>26.212417744058218</v>
      </c>
      <c r="CH364">
        <v>89.317549999999997</v>
      </c>
    </row>
    <row r="365" spans="1:86" ht="15.5" x14ac:dyDescent="0.35">
      <c r="A365" t="s">
        <v>101</v>
      </c>
      <c r="B365">
        <v>2003</v>
      </c>
      <c r="C365" s="2">
        <v>46.731000000000002</v>
      </c>
      <c r="D365">
        <v>14965.76</v>
      </c>
      <c r="E365">
        <v>0.18479999999999999</v>
      </c>
      <c r="F365">
        <v>3.4590999999999998</v>
      </c>
      <c r="G365">
        <v>11400</v>
      </c>
      <c r="H365">
        <v>11</v>
      </c>
      <c r="I365" s="19">
        <v>59.384999999999998</v>
      </c>
      <c r="J365" s="19">
        <v>60.13</v>
      </c>
      <c r="K365" s="19">
        <v>3.5779999999999998</v>
      </c>
      <c r="L365" s="19">
        <v>62.963000000000001</v>
      </c>
      <c r="M365" s="19">
        <v>-915000000</v>
      </c>
      <c r="N365" s="19">
        <v>23.542300000000001</v>
      </c>
      <c r="O365">
        <v>45.384</v>
      </c>
      <c r="P365">
        <v>0.85329999999999995</v>
      </c>
      <c r="Q365" s="19">
        <v>4892.1729999999998</v>
      </c>
      <c r="R365" s="19">
        <v>8149.0019000000002</v>
      </c>
      <c r="S365" s="19">
        <v>9.4821000000000009</v>
      </c>
      <c r="T365" s="19">
        <v>18717.7287</v>
      </c>
      <c r="U365" s="19">
        <v>10565.7335</v>
      </c>
      <c r="W365" s="19">
        <v>71.351299999999995</v>
      </c>
      <c r="X365">
        <v>98</v>
      </c>
      <c r="Y365">
        <v>98</v>
      </c>
      <c r="Z365">
        <v>98</v>
      </c>
      <c r="AA365">
        <v>9.6999999999999993</v>
      </c>
      <c r="AB365">
        <v>27</v>
      </c>
      <c r="AC365">
        <v>71.265900000000002</v>
      </c>
      <c r="AE365">
        <v>30</v>
      </c>
      <c r="AF365">
        <v>70.269000000000005</v>
      </c>
      <c r="AG365">
        <v>24.6</v>
      </c>
      <c r="AH365">
        <v>5.04</v>
      </c>
      <c r="AI365">
        <v>11.9</v>
      </c>
      <c r="AJ365">
        <v>10.8</v>
      </c>
      <c r="AK365">
        <v>12.9</v>
      </c>
      <c r="AL365">
        <v>55.747399999999999</v>
      </c>
      <c r="AM365">
        <v>5.8</v>
      </c>
      <c r="AN365">
        <v>-11422</v>
      </c>
      <c r="AO365">
        <v>0</v>
      </c>
      <c r="AP365">
        <v>97.899600000000007</v>
      </c>
      <c r="AQ365">
        <v>88.262699999999995</v>
      </c>
      <c r="AR365">
        <v>92.430999999999997</v>
      </c>
      <c r="AU365">
        <v>19.415800000000001</v>
      </c>
      <c r="AV365" s="19">
        <v>81.909499999999994</v>
      </c>
      <c r="AY365">
        <v>6</v>
      </c>
      <c r="AZ365">
        <v>4</v>
      </c>
      <c r="BA365">
        <v>67.085999999999999</v>
      </c>
      <c r="BB365">
        <v>21</v>
      </c>
      <c r="BC365">
        <v>2.7303999999999999</v>
      </c>
      <c r="BD365" s="19">
        <v>8.4290000000000003</v>
      </c>
      <c r="BE365" s="19">
        <v>77.297300000000007</v>
      </c>
      <c r="BF365">
        <v>58.8337</v>
      </c>
      <c r="BG365">
        <v>34.299999999999997</v>
      </c>
      <c r="BH365" s="20">
        <v>0.35930000000000001</v>
      </c>
      <c r="BI365" s="20">
        <v>1392.3308</v>
      </c>
      <c r="BJ365" s="19">
        <v>67.661699999999996</v>
      </c>
      <c r="BK365">
        <v>0.97009999999999996</v>
      </c>
      <c r="BL365">
        <v>0.98480000000000001</v>
      </c>
      <c r="BM365">
        <v>0.99050000000000005</v>
      </c>
      <c r="BN365">
        <v>8</v>
      </c>
      <c r="BO365">
        <v>12.734999999999999</v>
      </c>
      <c r="BP365">
        <v>29.37</v>
      </c>
      <c r="BQ365" s="19">
        <v>98.362700000000004</v>
      </c>
      <c r="BR365">
        <v>68.985600000000005</v>
      </c>
      <c r="BS365" s="20">
        <v>12.061</v>
      </c>
      <c r="BT365" s="20">
        <v>12.061</v>
      </c>
      <c r="BU365" s="20">
        <v>20.417999999999999</v>
      </c>
      <c r="BV365" s="20">
        <v>20.442</v>
      </c>
      <c r="BW365" s="19">
        <v>71.641800000000003</v>
      </c>
      <c r="BX365">
        <v>32.65</v>
      </c>
      <c r="BY365" s="5">
        <v>759476</v>
      </c>
      <c r="BZ365" s="6">
        <v>1807337</v>
      </c>
      <c r="CA365" s="7">
        <f t="shared" si="25"/>
        <v>2.3797157513864824</v>
      </c>
      <c r="CB365">
        <v>2287955</v>
      </c>
      <c r="CC365" s="8">
        <f t="shared" si="26"/>
        <v>0.78993555380241309</v>
      </c>
      <c r="CD365" s="8">
        <f t="shared" si="27"/>
        <v>0.33194533983404395</v>
      </c>
      <c r="CE365">
        <v>64585</v>
      </c>
      <c r="CF365" s="8">
        <f t="shared" si="28"/>
        <v>11.759324920647209</v>
      </c>
      <c r="CG365" s="8">
        <f t="shared" si="29"/>
        <v>27.983850739335757</v>
      </c>
      <c r="CH365">
        <v>82.301670000000001</v>
      </c>
    </row>
    <row r="366" spans="1:86" ht="15.5" x14ac:dyDescent="0.35">
      <c r="A366" t="s">
        <v>101</v>
      </c>
      <c r="B366">
        <v>2004</v>
      </c>
      <c r="C366" s="2">
        <v>46.419899999999998</v>
      </c>
      <c r="D366">
        <v>15615.74</v>
      </c>
      <c r="E366">
        <v>0.1709</v>
      </c>
      <c r="F366">
        <v>3.5158999999999998</v>
      </c>
      <c r="G366">
        <v>11400</v>
      </c>
      <c r="H366">
        <v>11</v>
      </c>
      <c r="I366" s="19">
        <v>63.058999999999997</v>
      </c>
      <c r="J366" s="19">
        <v>64.540000000000006</v>
      </c>
      <c r="K366" s="19">
        <v>4.0730000000000004</v>
      </c>
      <c r="L366" s="19">
        <v>59.605899999999998</v>
      </c>
      <c r="M366" s="19">
        <v>-1767000000</v>
      </c>
      <c r="N366" s="19">
        <v>32.630699999999997</v>
      </c>
      <c r="O366">
        <v>42.475000000000001</v>
      </c>
      <c r="P366">
        <v>2.1705999999999999</v>
      </c>
      <c r="Q366" s="19">
        <v>6075.4110000000001</v>
      </c>
      <c r="R366" s="19">
        <v>8957.2338999999993</v>
      </c>
      <c r="S366" s="19">
        <v>9.9182000000000006</v>
      </c>
      <c r="T366" s="19">
        <v>20574.185000000001</v>
      </c>
      <c r="U366" s="19">
        <v>11761.314200000001</v>
      </c>
      <c r="V366">
        <v>36.4</v>
      </c>
      <c r="W366" s="19">
        <v>71.641800000000003</v>
      </c>
      <c r="X366">
        <v>99</v>
      </c>
      <c r="Y366">
        <v>98</v>
      </c>
      <c r="Z366">
        <v>98</v>
      </c>
      <c r="AA366">
        <v>9.1999999999999993</v>
      </c>
      <c r="AB366">
        <v>38.6</v>
      </c>
      <c r="AC366">
        <v>72.026799999999994</v>
      </c>
      <c r="AE366">
        <v>28</v>
      </c>
      <c r="AF366">
        <v>70.825699999999998</v>
      </c>
      <c r="AG366">
        <v>23.5</v>
      </c>
      <c r="AH366">
        <v>4.03</v>
      </c>
      <c r="AI366">
        <v>11.2</v>
      </c>
      <c r="AJ366">
        <v>10.199999999999999</v>
      </c>
      <c r="AK366">
        <v>12.1</v>
      </c>
      <c r="AL366">
        <v>55.713700000000003</v>
      </c>
      <c r="AM366">
        <v>5.6</v>
      </c>
      <c r="AN366">
        <v>-15136</v>
      </c>
      <c r="AO366">
        <v>0</v>
      </c>
      <c r="AP366">
        <v>97.954400000000007</v>
      </c>
      <c r="AQ366">
        <v>88.544799999999995</v>
      </c>
      <c r="AR366">
        <v>92.492099999999994</v>
      </c>
      <c r="AU366">
        <v>18.545200000000001</v>
      </c>
      <c r="AV366" s="19">
        <v>66.019400000000005</v>
      </c>
      <c r="AW366">
        <v>2.5</v>
      </c>
      <c r="AX366">
        <v>19.399999999999999</v>
      </c>
      <c r="AY366">
        <v>6</v>
      </c>
      <c r="AZ366">
        <v>4</v>
      </c>
      <c r="BA366">
        <v>67.166700000000006</v>
      </c>
      <c r="BB366">
        <v>21</v>
      </c>
      <c r="BC366">
        <v>3.4841000000000002</v>
      </c>
      <c r="BD366" s="19">
        <v>8.7249999999999996</v>
      </c>
      <c r="BE366" s="19">
        <v>78.606999999999999</v>
      </c>
      <c r="BF366">
        <v>68.1708</v>
      </c>
      <c r="BG366">
        <v>36.1</v>
      </c>
      <c r="BH366" s="20">
        <v>0.39839999999999998</v>
      </c>
      <c r="BI366" s="20">
        <v>1459.4893</v>
      </c>
      <c r="BJ366" s="19">
        <v>66.826899999999995</v>
      </c>
      <c r="BK366">
        <v>0.97270000000000001</v>
      </c>
      <c r="BL366">
        <v>0.98619999999999997</v>
      </c>
      <c r="BM366">
        <v>0.9909</v>
      </c>
      <c r="BN366">
        <v>8</v>
      </c>
      <c r="BO366">
        <v>12.34</v>
      </c>
      <c r="BP366">
        <v>26.96</v>
      </c>
      <c r="BQ366" s="19">
        <v>100.8391</v>
      </c>
      <c r="BR366">
        <v>68.387799999999999</v>
      </c>
      <c r="BS366" s="20">
        <v>11.708</v>
      </c>
      <c r="BT366" s="20">
        <v>11.708</v>
      </c>
      <c r="BU366" s="20">
        <v>21.797999999999998</v>
      </c>
      <c r="BV366" s="20">
        <v>21.82</v>
      </c>
      <c r="BW366" s="19">
        <v>71.153800000000004</v>
      </c>
      <c r="BX366">
        <v>35.49</v>
      </c>
      <c r="BY366" s="5">
        <v>901420</v>
      </c>
      <c r="BZ366" s="6">
        <v>2065904</v>
      </c>
      <c r="CA366" s="7">
        <f t="shared" si="25"/>
        <v>2.2918328858911496</v>
      </c>
      <c r="CB366">
        <v>2263122</v>
      </c>
      <c r="CC366" s="8">
        <f t="shared" si="26"/>
        <v>0.91285578064284645</v>
      </c>
      <c r="CD366" s="8">
        <f t="shared" si="27"/>
        <v>0.39830817781807609</v>
      </c>
      <c r="CE366">
        <v>64585</v>
      </c>
      <c r="CF366" s="8">
        <f t="shared" si="28"/>
        <v>13.957110784237827</v>
      </c>
      <c r="CG366" s="8">
        <f t="shared" si="29"/>
        <v>31.987365487342263</v>
      </c>
      <c r="CH366">
        <v>82.702640000000002</v>
      </c>
    </row>
    <row r="367" spans="1:86" ht="15.5" x14ac:dyDescent="0.35">
      <c r="A367" t="s">
        <v>101</v>
      </c>
      <c r="B367">
        <v>2005</v>
      </c>
      <c r="C367" s="2">
        <v>46.1935</v>
      </c>
      <c r="D367">
        <v>15988.84</v>
      </c>
      <c r="E367">
        <v>0.1545</v>
      </c>
      <c r="F367">
        <v>3.5863</v>
      </c>
      <c r="G367">
        <v>11600</v>
      </c>
      <c r="H367">
        <v>11</v>
      </c>
      <c r="I367" s="19">
        <v>67.403999999999996</v>
      </c>
      <c r="J367" s="19">
        <v>69.14</v>
      </c>
      <c r="K367" s="19">
        <v>3.875</v>
      </c>
      <c r="L367" s="19">
        <v>65.853700000000003</v>
      </c>
      <c r="M367" s="19">
        <v>-2007000000</v>
      </c>
      <c r="N367" s="19">
        <v>42.007899999999999</v>
      </c>
      <c r="O367">
        <v>41.997</v>
      </c>
      <c r="P367">
        <v>2.7132000000000001</v>
      </c>
      <c r="Q367" s="19">
        <v>7259.7430000000004</v>
      </c>
      <c r="R367" s="19">
        <v>10106.262500000001</v>
      </c>
      <c r="S367" s="19">
        <v>12.8279</v>
      </c>
      <c r="T367" s="19">
        <v>23213.429100000001</v>
      </c>
      <c r="U367" s="19">
        <v>13343.8894</v>
      </c>
      <c r="V367">
        <v>39</v>
      </c>
      <c r="W367" s="19">
        <v>69.117599999999996</v>
      </c>
      <c r="X367">
        <v>99</v>
      </c>
      <c r="Y367">
        <v>99</v>
      </c>
      <c r="Z367">
        <v>98</v>
      </c>
      <c r="AA367">
        <v>8.6</v>
      </c>
      <c r="AB367">
        <v>46</v>
      </c>
      <c r="AC367">
        <v>71.356099999999998</v>
      </c>
      <c r="AE367">
        <v>27</v>
      </c>
      <c r="AF367">
        <v>72.995000000000005</v>
      </c>
      <c r="AG367">
        <v>21.4</v>
      </c>
      <c r="AH367">
        <v>5.98</v>
      </c>
      <c r="AI367">
        <v>10.5</v>
      </c>
      <c r="AJ367">
        <v>9.5</v>
      </c>
      <c r="AK367">
        <v>11.4</v>
      </c>
      <c r="AL367">
        <v>56.121299999999998</v>
      </c>
      <c r="AM367">
        <v>5.4</v>
      </c>
      <c r="AN367">
        <v>-11134</v>
      </c>
      <c r="AO367">
        <v>0</v>
      </c>
      <c r="AP367">
        <v>98.008899999999997</v>
      </c>
      <c r="AQ367">
        <v>88.824200000000005</v>
      </c>
      <c r="AR367">
        <v>92.552999999999997</v>
      </c>
      <c r="AU367">
        <v>18.1113</v>
      </c>
      <c r="AV367" s="19">
        <v>71.359200000000001</v>
      </c>
      <c r="AW367">
        <v>2.4</v>
      </c>
      <c r="AX367">
        <v>23.5</v>
      </c>
      <c r="AY367">
        <v>6</v>
      </c>
      <c r="AZ367">
        <v>4</v>
      </c>
      <c r="BA367">
        <v>67.246099999999998</v>
      </c>
      <c r="BB367">
        <v>21</v>
      </c>
      <c r="BC367">
        <v>3.2486000000000002</v>
      </c>
      <c r="BD367" s="19">
        <v>11.615</v>
      </c>
      <c r="BE367" s="19">
        <v>75.490200000000002</v>
      </c>
      <c r="BF367">
        <v>69.570700000000002</v>
      </c>
      <c r="BG367">
        <v>36.299999999999997</v>
      </c>
      <c r="BH367" s="20">
        <v>0.52710000000000001</v>
      </c>
      <c r="BI367" s="20">
        <v>1458.1229000000001</v>
      </c>
      <c r="BJ367" s="19">
        <v>66.985600000000005</v>
      </c>
      <c r="BK367">
        <v>0.97629999999999995</v>
      </c>
      <c r="BL367">
        <v>0.99019999999999997</v>
      </c>
      <c r="BM367">
        <v>0.99480000000000002</v>
      </c>
      <c r="BN367">
        <v>8</v>
      </c>
      <c r="BO367">
        <v>10.891</v>
      </c>
      <c r="BP367">
        <v>26.72</v>
      </c>
      <c r="BQ367" s="19">
        <v>98.000600000000006</v>
      </c>
      <c r="BR367">
        <v>75.682400000000001</v>
      </c>
      <c r="BS367" s="20">
        <v>10.032999999999999</v>
      </c>
      <c r="BT367" s="20">
        <v>10.032999999999999</v>
      </c>
      <c r="BU367" s="20">
        <v>15.141</v>
      </c>
      <c r="BV367" s="20">
        <v>15.146000000000001</v>
      </c>
      <c r="BW367" s="19">
        <v>72.115399999999994</v>
      </c>
      <c r="BX367">
        <v>33.06</v>
      </c>
      <c r="BY367" s="5">
        <v>1154657</v>
      </c>
      <c r="BZ367" s="6">
        <v>2634207</v>
      </c>
      <c r="CA367" s="7">
        <f t="shared" si="25"/>
        <v>2.2813762008977556</v>
      </c>
      <c r="CB367">
        <v>2238799</v>
      </c>
      <c r="CC367" s="8">
        <f t="shared" si="26"/>
        <v>1.1766161231981969</v>
      </c>
      <c r="CD367" s="8">
        <f t="shared" si="27"/>
        <v>0.51574839903001568</v>
      </c>
      <c r="CE367">
        <v>64585</v>
      </c>
      <c r="CF367" s="8">
        <f t="shared" si="28"/>
        <v>17.878098629712781</v>
      </c>
      <c r="CG367" s="8">
        <f t="shared" si="29"/>
        <v>40.786668731129517</v>
      </c>
      <c r="CH367">
        <v>82.39828</v>
      </c>
    </row>
    <row r="368" spans="1:86" ht="15.5" x14ac:dyDescent="0.35">
      <c r="A368" t="s">
        <v>101</v>
      </c>
      <c r="B368">
        <v>2006</v>
      </c>
      <c r="C368" s="2">
        <v>46.165500000000002</v>
      </c>
      <c r="D368">
        <v>17801.2</v>
      </c>
      <c r="E368">
        <v>0.14560000000000001</v>
      </c>
      <c r="F368">
        <v>3.8488000000000002</v>
      </c>
      <c r="G368">
        <v>12100</v>
      </c>
      <c r="H368">
        <v>11</v>
      </c>
      <c r="I368" s="19">
        <v>71.832999999999998</v>
      </c>
      <c r="J368" s="19">
        <v>73.8</v>
      </c>
      <c r="K368" s="19">
        <v>3.7789999999999999</v>
      </c>
      <c r="L368" s="19">
        <v>68.292699999999996</v>
      </c>
      <c r="M368" s="19">
        <v>-4484000000</v>
      </c>
      <c r="N368" s="19">
        <v>50.094099999999997</v>
      </c>
      <c r="O368">
        <v>40.856000000000002</v>
      </c>
      <c r="P368">
        <v>4.9424000000000001</v>
      </c>
      <c r="Q368" s="19">
        <v>9180.4850000000006</v>
      </c>
      <c r="R368" s="19">
        <v>11507.4647</v>
      </c>
      <c r="S368" s="19">
        <v>13.864699999999999</v>
      </c>
      <c r="T368" s="19">
        <v>26431.899600000001</v>
      </c>
      <c r="U368" s="19">
        <v>15024.6361</v>
      </c>
      <c r="V368">
        <v>35.6</v>
      </c>
      <c r="W368" s="19">
        <v>72.195099999999996</v>
      </c>
      <c r="X368">
        <v>96</v>
      </c>
      <c r="Y368">
        <v>94</v>
      </c>
      <c r="Z368">
        <v>98</v>
      </c>
      <c r="AA368">
        <v>8.1</v>
      </c>
      <c r="AB368">
        <v>53.6</v>
      </c>
      <c r="AC368">
        <v>70.865899999999996</v>
      </c>
      <c r="AE368">
        <v>28</v>
      </c>
      <c r="AF368">
        <v>72.828800000000001</v>
      </c>
      <c r="AG368">
        <v>20</v>
      </c>
      <c r="AH368">
        <v>4.53</v>
      </c>
      <c r="AI368">
        <v>9.9</v>
      </c>
      <c r="AJ368">
        <v>9</v>
      </c>
      <c r="AK368">
        <v>10.7</v>
      </c>
      <c r="AL368">
        <v>56.907400000000003</v>
      </c>
      <c r="AM368">
        <v>5.2</v>
      </c>
      <c r="AN368">
        <v>-9211</v>
      </c>
      <c r="AO368">
        <v>0</v>
      </c>
      <c r="AP368">
        <v>98.060199999999995</v>
      </c>
      <c r="AQ368">
        <v>89.075599999999994</v>
      </c>
      <c r="AR368">
        <v>92.636300000000006</v>
      </c>
      <c r="AU368">
        <v>18.008700000000001</v>
      </c>
      <c r="AV368" s="19">
        <v>72.946899999999999</v>
      </c>
      <c r="AW368">
        <v>1.6</v>
      </c>
      <c r="AX368">
        <v>21.2</v>
      </c>
      <c r="AY368">
        <v>6</v>
      </c>
      <c r="AZ368">
        <v>4</v>
      </c>
      <c r="BA368">
        <v>68.327200000000005</v>
      </c>
      <c r="BB368">
        <v>19</v>
      </c>
      <c r="BC368">
        <v>3.5102000000000002</v>
      </c>
      <c r="BD368" s="19">
        <v>12.824999999999999</v>
      </c>
      <c r="BE368" s="19">
        <v>77.450999999999993</v>
      </c>
      <c r="BF368">
        <v>56.9726</v>
      </c>
      <c r="BG368">
        <v>34</v>
      </c>
      <c r="BH368" s="20">
        <v>0.64690000000000003</v>
      </c>
      <c r="BI368" s="20">
        <v>1765.5811000000001</v>
      </c>
      <c r="BJ368" s="19">
        <v>66.985600000000005</v>
      </c>
      <c r="BK368">
        <v>0.97799999999999998</v>
      </c>
      <c r="BL368">
        <v>0.99460000000000004</v>
      </c>
      <c r="BM368">
        <v>0.99970000000000003</v>
      </c>
      <c r="BN368">
        <v>8</v>
      </c>
      <c r="BO368">
        <v>11.464</v>
      </c>
      <c r="BP368">
        <v>23.22</v>
      </c>
      <c r="BQ368" s="19">
        <v>97.018799999999999</v>
      </c>
      <c r="BR368">
        <v>80.7727</v>
      </c>
      <c r="BS368" s="20">
        <v>7.03</v>
      </c>
      <c r="BT368" s="20">
        <v>7.03</v>
      </c>
      <c r="BU368" s="20">
        <v>13.615</v>
      </c>
      <c r="BV368" s="20">
        <v>13.616</v>
      </c>
      <c r="BW368" s="19">
        <v>74.038499999999999</v>
      </c>
      <c r="BX368">
        <v>33.74</v>
      </c>
      <c r="BY368" s="5">
        <v>1329890</v>
      </c>
      <c r="BZ368" s="6">
        <v>3113846</v>
      </c>
      <c r="CA368" s="7">
        <f t="shared" si="25"/>
        <v>2.3414312461932942</v>
      </c>
      <c r="CB368">
        <v>2218357</v>
      </c>
      <c r="CC368" s="8">
        <f t="shared" si="26"/>
        <v>1.4036721772014153</v>
      </c>
      <c r="CD368" s="8">
        <f t="shared" si="27"/>
        <v>0.59949322854707332</v>
      </c>
      <c r="CE368">
        <v>64585</v>
      </c>
      <c r="CF368" s="8">
        <f t="shared" si="28"/>
        <v>20.591313772547807</v>
      </c>
      <c r="CG368" s="8">
        <f t="shared" si="29"/>
        <v>48.213145467213749</v>
      </c>
      <c r="CH368">
        <v>85.705719999999999</v>
      </c>
    </row>
    <row r="369" spans="1:86" ht="15.5" x14ac:dyDescent="0.35">
      <c r="A369" t="s">
        <v>101</v>
      </c>
      <c r="B369">
        <v>2007</v>
      </c>
      <c r="C369" s="2">
        <v>46.238300000000002</v>
      </c>
      <c r="D369">
        <v>19377.91</v>
      </c>
      <c r="E369">
        <v>0.13769999999999999</v>
      </c>
      <c r="F369">
        <v>4.0503999999999998</v>
      </c>
      <c r="G369">
        <v>12600</v>
      </c>
      <c r="H369">
        <v>11</v>
      </c>
      <c r="I369" s="19">
        <v>79.075000000000003</v>
      </c>
      <c r="J369" s="19">
        <v>84.15</v>
      </c>
      <c r="K369" s="19">
        <v>5.1950000000000003</v>
      </c>
      <c r="L369" s="19">
        <v>68.446600000000004</v>
      </c>
      <c r="M369" s="19">
        <v>-6426000000</v>
      </c>
      <c r="N369" s="19">
        <v>67.621799999999993</v>
      </c>
      <c r="O369">
        <v>42.104999999999997</v>
      </c>
      <c r="P369">
        <v>15.383599999999999</v>
      </c>
      <c r="Q369" s="19">
        <v>13338.82</v>
      </c>
      <c r="R369" s="19">
        <v>12810.040800000001</v>
      </c>
      <c r="S369" s="19">
        <v>11.3194</v>
      </c>
      <c r="T369" s="19">
        <v>29423.832399999999</v>
      </c>
      <c r="U369" s="19">
        <v>17281.042300000001</v>
      </c>
      <c r="V369">
        <v>37.5</v>
      </c>
      <c r="W369" s="19">
        <v>67.475700000000003</v>
      </c>
      <c r="X369">
        <v>94</v>
      </c>
      <c r="Y369">
        <v>91</v>
      </c>
      <c r="Z369">
        <v>95</v>
      </c>
      <c r="AA369">
        <v>7.7</v>
      </c>
      <c r="AB369">
        <v>59.2</v>
      </c>
      <c r="AC369">
        <v>71.019499999999994</v>
      </c>
      <c r="AE369">
        <v>27</v>
      </c>
      <c r="AF369">
        <v>73.162700000000001</v>
      </c>
      <c r="AG369">
        <v>20.100000000000001</v>
      </c>
      <c r="AH369">
        <v>4.7699999999999996</v>
      </c>
      <c r="AI369">
        <v>9.3000000000000007</v>
      </c>
      <c r="AJ369">
        <v>8.5</v>
      </c>
      <c r="AK369">
        <v>10.1</v>
      </c>
      <c r="AL369">
        <v>57.8613</v>
      </c>
      <c r="AM369">
        <v>5</v>
      </c>
      <c r="AN369">
        <v>-8027</v>
      </c>
      <c r="AO369">
        <v>0</v>
      </c>
      <c r="AP369">
        <v>98.110900000000001</v>
      </c>
      <c r="AQ369">
        <v>89.319699999999997</v>
      </c>
      <c r="AR369">
        <v>92.899500000000003</v>
      </c>
      <c r="AU369">
        <v>17.9604</v>
      </c>
      <c r="AV369" s="19">
        <v>64.251199999999997</v>
      </c>
      <c r="AW369">
        <v>0.6</v>
      </c>
      <c r="AX369">
        <v>25.9</v>
      </c>
      <c r="AY369">
        <v>6</v>
      </c>
      <c r="AZ369">
        <v>6</v>
      </c>
      <c r="BA369">
        <v>69.414100000000005</v>
      </c>
      <c r="BB369">
        <v>20</v>
      </c>
      <c r="BC369">
        <v>3.3555000000000001</v>
      </c>
      <c r="BD369" s="19">
        <v>10.414999999999999</v>
      </c>
      <c r="BE369" s="19">
        <v>79.126199999999997</v>
      </c>
      <c r="BF369">
        <v>59.281700000000001</v>
      </c>
      <c r="BG369">
        <v>33.1</v>
      </c>
      <c r="BH369" s="20">
        <v>0.55110000000000003</v>
      </c>
      <c r="BI369" s="20">
        <v>1881.5608</v>
      </c>
      <c r="BJ369" s="19">
        <v>71.291899999999998</v>
      </c>
      <c r="BK369">
        <v>0.96709999999999996</v>
      </c>
      <c r="BL369">
        <v>0.99990000000000001</v>
      </c>
      <c r="BM369">
        <v>1.0207999999999999</v>
      </c>
      <c r="BN369">
        <v>6</v>
      </c>
      <c r="BO369">
        <v>11.94</v>
      </c>
      <c r="BP369">
        <v>20.95</v>
      </c>
      <c r="BQ369" s="19">
        <v>102.7608</v>
      </c>
      <c r="BR369">
        <v>84.391199999999998</v>
      </c>
      <c r="BS369" s="20">
        <v>6.0519999999999996</v>
      </c>
      <c r="BT369" s="20">
        <v>6.0519999999999996</v>
      </c>
      <c r="BU369" s="20">
        <v>10.56</v>
      </c>
      <c r="BV369" s="20">
        <v>10.553000000000001</v>
      </c>
      <c r="BW369" s="19">
        <v>72.115399999999994</v>
      </c>
      <c r="BX369">
        <v>33.39</v>
      </c>
      <c r="BY369" s="5">
        <v>1487379</v>
      </c>
      <c r="BZ369" s="6">
        <v>3324690</v>
      </c>
      <c r="CA369" s="7">
        <f t="shared" si="25"/>
        <v>2.2352675410907374</v>
      </c>
      <c r="CB369">
        <v>2200325</v>
      </c>
      <c r="CC369" s="8">
        <f t="shared" si="26"/>
        <v>1.5109995114358106</v>
      </c>
      <c r="CD369" s="8">
        <f t="shared" si="27"/>
        <v>0.67598150273255087</v>
      </c>
      <c r="CE369">
        <v>64585</v>
      </c>
      <c r="CF369" s="8">
        <f t="shared" si="28"/>
        <v>23.029790198962608</v>
      </c>
      <c r="CG369" s="8">
        <f t="shared" si="29"/>
        <v>51.477742509870716</v>
      </c>
      <c r="CH369">
        <v>91.067300000000003</v>
      </c>
    </row>
    <row r="370" spans="1:86" ht="15.5" x14ac:dyDescent="0.35">
      <c r="A370" t="s">
        <v>101</v>
      </c>
      <c r="B370">
        <v>2008</v>
      </c>
      <c r="C370" s="2">
        <v>46.557400000000001</v>
      </c>
      <c r="D370">
        <v>18618.89</v>
      </c>
      <c r="E370">
        <v>0.13550000000000001</v>
      </c>
      <c r="F370">
        <v>3.8934000000000002</v>
      </c>
      <c r="G370">
        <v>12200</v>
      </c>
      <c r="H370">
        <v>11</v>
      </c>
      <c r="I370" s="19">
        <v>91.137</v>
      </c>
      <c r="J370" s="19">
        <v>92.9</v>
      </c>
      <c r="K370" s="19">
        <v>4.5810000000000004</v>
      </c>
      <c r="L370" s="19">
        <v>63.1068</v>
      </c>
      <c r="M370" s="19">
        <v>-4416000000</v>
      </c>
      <c r="N370" s="19">
        <v>82.564099999999996</v>
      </c>
      <c r="O370">
        <v>41.244999999999997</v>
      </c>
      <c r="P370">
        <v>18.9239</v>
      </c>
      <c r="Q370" s="19">
        <v>15647.205</v>
      </c>
      <c r="R370" s="19">
        <v>12506.6945</v>
      </c>
      <c r="S370" s="19">
        <v>-2.3679999999999999</v>
      </c>
      <c r="T370" s="19">
        <v>28727.065699999999</v>
      </c>
      <c r="U370" s="19">
        <v>18634.731</v>
      </c>
      <c r="V370">
        <v>37.200000000000003</v>
      </c>
      <c r="W370" s="19">
        <v>69.417500000000004</v>
      </c>
      <c r="X370">
        <v>94</v>
      </c>
      <c r="Y370">
        <v>93</v>
      </c>
      <c r="Z370">
        <v>96</v>
      </c>
      <c r="AA370">
        <v>7.3</v>
      </c>
      <c r="AB370">
        <v>63.4</v>
      </c>
      <c r="AC370">
        <v>72.419499999999999</v>
      </c>
      <c r="AE370">
        <v>25</v>
      </c>
      <c r="AF370">
        <v>73.739099999999993</v>
      </c>
      <c r="AG370">
        <v>18.5</v>
      </c>
      <c r="AH370">
        <v>3.51</v>
      </c>
      <c r="AI370">
        <v>8.8000000000000007</v>
      </c>
      <c r="AJ370">
        <v>8.1</v>
      </c>
      <c r="AK370">
        <v>9.5</v>
      </c>
      <c r="AL370">
        <v>58.518000000000001</v>
      </c>
      <c r="AM370">
        <v>4.8</v>
      </c>
      <c r="AN370">
        <v>-22445</v>
      </c>
      <c r="AO370">
        <v>0</v>
      </c>
      <c r="AP370">
        <v>98.161699999999996</v>
      </c>
      <c r="AQ370">
        <v>89.563500000000005</v>
      </c>
      <c r="AR370">
        <v>93.164299999999997</v>
      </c>
      <c r="AU370">
        <v>17.9236</v>
      </c>
      <c r="AV370" s="19">
        <v>51.442300000000003</v>
      </c>
      <c r="AW370">
        <v>1.3</v>
      </c>
      <c r="AX370">
        <v>26.4</v>
      </c>
      <c r="AY370">
        <v>6</v>
      </c>
      <c r="AZ370">
        <v>6</v>
      </c>
      <c r="BA370">
        <v>70.510000000000005</v>
      </c>
      <c r="BB370">
        <v>20</v>
      </c>
      <c r="BC370">
        <v>3.3691</v>
      </c>
      <c r="BD370" s="19">
        <v>-3.3889999999999998</v>
      </c>
      <c r="BE370" s="19">
        <v>78.640799999999999</v>
      </c>
      <c r="BF370">
        <v>60.905200000000001</v>
      </c>
      <c r="BG370">
        <v>33.700000000000003</v>
      </c>
      <c r="BH370" s="20">
        <v>0.57720000000000005</v>
      </c>
      <c r="BI370" s="20">
        <v>1993.4167</v>
      </c>
      <c r="BJ370" s="19">
        <v>73.076899999999995</v>
      </c>
      <c r="BK370">
        <v>0.96609999999999996</v>
      </c>
      <c r="BL370">
        <v>0.99650000000000005</v>
      </c>
      <c r="BM370">
        <v>1.0163</v>
      </c>
      <c r="BN370">
        <v>6</v>
      </c>
      <c r="BO370">
        <v>11.821999999999999</v>
      </c>
      <c r="BP370">
        <v>26.54</v>
      </c>
      <c r="BQ370" s="19">
        <v>98.655799999999999</v>
      </c>
      <c r="BR370">
        <v>79.829499999999996</v>
      </c>
      <c r="BS370" s="20">
        <v>7.7389999999999999</v>
      </c>
      <c r="BT370" s="20">
        <v>7.7389999999999999</v>
      </c>
      <c r="BU370" s="20">
        <v>13.648</v>
      </c>
      <c r="BV370" s="20">
        <v>13.622</v>
      </c>
      <c r="BW370" s="19">
        <v>71.153800000000004</v>
      </c>
      <c r="BX370">
        <v>33.96</v>
      </c>
      <c r="BY370" s="5">
        <v>1555936</v>
      </c>
      <c r="BZ370" s="6">
        <v>3501063</v>
      </c>
      <c r="CA370" s="7">
        <f t="shared" si="25"/>
        <v>2.2501330388910596</v>
      </c>
      <c r="CB370">
        <v>2177322</v>
      </c>
      <c r="CC370" s="8">
        <f t="shared" si="26"/>
        <v>1.607967494013288</v>
      </c>
      <c r="CD370" s="8">
        <f t="shared" si="27"/>
        <v>0.71460996582039771</v>
      </c>
      <c r="CE370">
        <v>64585</v>
      </c>
      <c r="CF370" s="8">
        <f t="shared" si="28"/>
        <v>24.091290547340712</v>
      </c>
      <c r="CG370" s="8">
        <f t="shared" si="29"/>
        <v>54.208608810095221</v>
      </c>
      <c r="CH370">
        <v>99.709329999999994</v>
      </c>
    </row>
    <row r="371" spans="1:86" ht="15.5" x14ac:dyDescent="0.35">
      <c r="A371" t="s">
        <v>101</v>
      </c>
      <c r="B371">
        <v>2009</v>
      </c>
      <c r="C371" s="2">
        <v>47.280700000000003</v>
      </c>
      <c r="D371">
        <v>16042.31</v>
      </c>
      <c r="E371">
        <v>0.14760000000000001</v>
      </c>
      <c r="F371">
        <v>3.6190000000000002</v>
      </c>
      <c r="G371">
        <v>11400</v>
      </c>
      <c r="H371">
        <v>11</v>
      </c>
      <c r="I371" s="19">
        <v>94.106999999999999</v>
      </c>
      <c r="J371" s="19">
        <v>91.63</v>
      </c>
      <c r="K371" s="19">
        <v>3.16</v>
      </c>
      <c r="L371" s="19">
        <v>64.593299999999999</v>
      </c>
      <c r="M371" s="19">
        <v>2028000000</v>
      </c>
      <c r="N371" s="19">
        <v>62.686700000000002</v>
      </c>
      <c r="O371">
        <v>41.456000000000003</v>
      </c>
      <c r="P371">
        <v>21.228100000000001</v>
      </c>
      <c r="Q371" s="19">
        <v>11909.596</v>
      </c>
      <c r="R371" s="19">
        <v>10675.4252</v>
      </c>
      <c r="S371" s="19">
        <v>-14.642300000000001</v>
      </c>
      <c r="T371" s="19">
        <v>24520.758999999998</v>
      </c>
      <c r="U371" s="19">
        <v>16559.522799999999</v>
      </c>
      <c r="V371">
        <v>35.9</v>
      </c>
      <c r="W371" s="19">
        <v>70.813400000000001</v>
      </c>
      <c r="X371">
        <v>94</v>
      </c>
      <c r="Y371">
        <v>92</v>
      </c>
      <c r="Z371">
        <v>92</v>
      </c>
      <c r="AA371">
        <v>6.9</v>
      </c>
      <c r="AB371">
        <v>66.8</v>
      </c>
      <c r="AC371">
        <v>73.080500000000001</v>
      </c>
      <c r="AE371">
        <v>24</v>
      </c>
      <c r="AF371">
        <v>74.005399999999995</v>
      </c>
      <c r="AG371">
        <v>12.3</v>
      </c>
      <c r="AH371">
        <v>3.78</v>
      </c>
      <c r="AI371">
        <v>8.3000000000000007</v>
      </c>
      <c r="AJ371">
        <v>7.6</v>
      </c>
      <c r="AK371">
        <v>9</v>
      </c>
      <c r="AL371">
        <v>58.657699999999998</v>
      </c>
      <c r="AM371">
        <v>4.5</v>
      </c>
      <c r="AN371">
        <v>-34807</v>
      </c>
      <c r="AO371">
        <v>0</v>
      </c>
      <c r="AP371">
        <v>98.2136</v>
      </c>
      <c r="AQ371">
        <v>89.814400000000006</v>
      </c>
      <c r="AR371">
        <v>93.436999999999998</v>
      </c>
      <c r="AU371">
        <v>17.855699999999999</v>
      </c>
      <c r="AV371" s="19">
        <v>54.976300000000002</v>
      </c>
      <c r="AW371">
        <v>1.7</v>
      </c>
      <c r="AX371">
        <v>20.9</v>
      </c>
      <c r="AY371">
        <v>6</v>
      </c>
      <c r="AZ371">
        <v>6</v>
      </c>
      <c r="BA371">
        <v>71.618399999999994</v>
      </c>
      <c r="BB371">
        <v>22</v>
      </c>
      <c r="BC371">
        <v>3.6371000000000002</v>
      </c>
      <c r="BD371" s="19">
        <v>-16.04</v>
      </c>
      <c r="BE371" s="19">
        <v>77.512</v>
      </c>
      <c r="BF371">
        <v>63.856900000000003</v>
      </c>
      <c r="BG371">
        <v>38.4</v>
      </c>
      <c r="BH371" s="20">
        <v>0.4486</v>
      </c>
      <c r="BI371" s="20">
        <v>1673.9036000000001</v>
      </c>
      <c r="BJ371" s="19">
        <v>72.511799999999994</v>
      </c>
      <c r="BK371">
        <v>0.97070000000000001</v>
      </c>
      <c r="BL371">
        <v>0.99160000000000004</v>
      </c>
      <c r="BM371">
        <v>1.0072000000000001</v>
      </c>
      <c r="BN371">
        <v>6</v>
      </c>
      <c r="BO371">
        <v>17.486999999999998</v>
      </c>
      <c r="BP371">
        <v>26.42</v>
      </c>
      <c r="BQ371" s="19">
        <v>98.571600000000004</v>
      </c>
      <c r="BR371">
        <v>51.947499999999998</v>
      </c>
      <c r="BS371" s="20">
        <v>17.515000000000001</v>
      </c>
      <c r="BT371" s="20">
        <v>17.515000000000001</v>
      </c>
      <c r="BU371" s="20">
        <v>33.432000000000002</v>
      </c>
      <c r="BV371" s="20">
        <v>33.338000000000001</v>
      </c>
      <c r="BW371" s="19">
        <v>72.037899999999993</v>
      </c>
      <c r="BX371">
        <v>27.57</v>
      </c>
      <c r="BY371" s="5">
        <v>1113898</v>
      </c>
      <c r="BZ371" s="6">
        <v>2543111</v>
      </c>
      <c r="CA371" s="7">
        <f t="shared" si="25"/>
        <v>2.2830734950596914</v>
      </c>
      <c r="CB371">
        <v>2141669</v>
      </c>
      <c r="CC371" s="8">
        <f t="shared" si="26"/>
        <v>1.1874435311899272</v>
      </c>
      <c r="CD371" s="8">
        <f t="shared" si="27"/>
        <v>0.52010744891017235</v>
      </c>
      <c r="CE371">
        <v>64585</v>
      </c>
      <c r="CF371" s="8">
        <f t="shared" si="28"/>
        <v>17.247007819153055</v>
      </c>
      <c r="CG371" s="8">
        <f t="shared" si="29"/>
        <v>39.376186420995587</v>
      </c>
      <c r="CH371">
        <v>103.62249</v>
      </c>
    </row>
    <row r="372" spans="1:86" ht="15.5" x14ac:dyDescent="0.35">
      <c r="A372" t="s">
        <v>101</v>
      </c>
      <c r="B372">
        <v>2010</v>
      </c>
      <c r="C372" s="2">
        <v>47.9985</v>
      </c>
      <c r="D372">
        <v>16817.34</v>
      </c>
      <c r="E372">
        <v>0.17549999999999999</v>
      </c>
      <c r="F372">
        <v>4.2328000000000001</v>
      </c>
      <c r="G372">
        <v>12600</v>
      </c>
      <c r="H372">
        <v>11</v>
      </c>
      <c r="I372" s="19">
        <v>92.954999999999998</v>
      </c>
      <c r="J372" s="19">
        <v>93.83</v>
      </c>
      <c r="K372" s="19">
        <v>4.1509999999999998</v>
      </c>
      <c r="L372" s="19">
        <v>63.333300000000001</v>
      </c>
      <c r="M372" s="19">
        <v>407000000</v>
      </c>
      <c r="N372" s="19">
        <v>77.584900000000005</v>
      </c>
      <c r="O372">
        <v>39.082000000000001</v>
      </c>
      <c r="P372">
        <v>20.729800000000001</v>
      </c>
      <c r="Q372" s="19">
        <v>11086.477000000001</v>
      </c>
      <c r="R372" s="19">
        <v>10500.866599999999</v>
      </c>
      <c r="S372" s="19">
        <v>-1.6351</v>
      </c>
      <c r="T372" s="19">
        <v>24119.8092</v>
      </c>
      <c r="U372" s="19">
        <v>17343.465899999999</v>
      </c>
      <c r="V372">
        <v>35</v>
      </c>
      <c r="W372" s="19">
        <v>72.7273</v>
      </c>
      <c r="X372">
        <v>92</v>
      </c>
      <c r="Y372">
        <v>91</v>
      </c>
      <c r="Z372">
        <v>95</v>
      </c>
      <c r="AA372">
        <v>6.5</v>
      </c>
      <c r="AB372">
        <v>68.400000000000006</v>
      </c>
      <c r="AC372">
        <v>73.482900000000001</v>
      </c>
      <c r="AE372">
        <v>22</v>
      </c>
      <c r="AF372">
        <v>79.474100000000007</v>
      </c>
      <c r="AG372">
        <v>11.8</v>
      </c>
      <c r="AH372">
        <v>2.2999999999999998</v>
      </c>
      <c r="AI372">
        <v>7.8</v>
      </c>
      <c r="AJ372">
        <v>7.2</v>
      </c>
      <c r="AK372">
        <v>8.4</v>
      </c>
      <c r="AL372">
        <v>58.194899999999997</v>
      </c>
      <c r="AM372">
        <v>4.2</v>
      </c>
      <c r="AN372">
        <v>-36128</v>
      </c>
      <c r="AO372">
        <v>0</v>
      </c>
      <c r="AP372">
        <v>98.266400000000004</v>
      </c>
      <c r="AQ372">
        <v>90.071799999999996</v>
      </c>
      <c r="AR372">
        <v>93.716700000000003</v>
      </c>
      <c r="AU372">
        <v>17.713799999999999</v>
      </c>
      <c r="AV372" s="19">
        <v>64.454999999999998</v>
      </c>
      <c r="AW372">
        <v>1.7</v>
      </c>
      <c r="AX372">
        <v>19</v>
      </c>
      <c r="AY372">
        <v>6</v>
      </c>
      <c r="AZ372">
        <v>6</v>
      </c>
      <c r="BA372">
        <v>72.738799999999998</v>
      </c>
      <c r="BB372">
        <v>20</v>
      </c>
      <c r="BC372">
        <v>3.6697000000000002</v>
      </c>
      <c r="BD372" s="19">
        <v>-3.661</v>
      </c>
      <c r="BE372" s="19">
        <v>78.947400000000002</v>
      </c>
      <c r="BF372">
        <v>54.86</v>
      </c>
      <c r="BG372">
        <v>33.1</v>
      </c>
      <c r="BH372" s="20">
        <v>0.60570000000000002</v>
      </c>
      <c r="BI372" s="20">
        <v>1836.9751000000001</v>
      </c>
      <c r="BJ372" s="19">
        <v>71.09</v>
      </c>
      <c r="BK372">
        <v>0.98080000000000001</v>
      </c>
      <c r="BL372">
        <v>0.98409999999999997</v>
      </c>
      <c r="BM372">
        <v>0.98660000000000003</v>
      </c>
      <c r="BN372">
        <v>6</v>
      </c>
      <c r="BO372">
        <v>17.814</v>
      </c>
      <c r="BP372">
        <v>22.72</v>
      </c>
      <c r="BQ372" s="19">
        <v>101.0086</v>
      </c>
      <c r="BR372">
        <v>47.245100000000001</v>
      </c>
      <c r="BS372" s="20">
        <v>19.481999999999999</v>
      </c>
      <c r="BT372" s="20">
        <v>19.481999999999999</v>
      </c>
      <c r="BU372" s="20">
        <v>36.24</v>
      </c>
      <c r="BV372" s="20">
        <v>36.151000000000003</v>
      </c>
      <c r="BW372" s="19">
        <v>72.037899999999993</v>
      </c>
      <c r="BX372">
        <v>30.05</v>
      </c>
      <c r="BY372" s="5">
        <v>1311538</v>
      </c>
      <c r="BZ372" s="6">
        <v>2834104</v>
      </c>
      <c r="CA372" s="7">
        <f t="shared" si="25"/>
        <v>2.1609011709916146</v>
      </c>
      <c r="CB372">
        <v>2097555</v>
      </c>
      <c r="CC372" s="8">
        <f t="shared" si="26"/>
        <v>1.3511464538474558</v>
      </c>
      <c r="CD372" s="8">
        <f t="shared" si="27"/>
        <v>0.62526989757121987</v>
      </c>
      <c r="CE372">
        <v>64585</v>
      </c>
      <c r="CF372" s="8">
        <f t="shared" si="28"/>
        <v>20.307161105519857</v>
      </c>
      <c r="CG372" s="8">
        <f t="shared" si="29"/>
        <v>43.881768212433229</v>
      </c>
      <c r="CH372">
        <v>98.932410000000004</v>
      </c>
    </row>
    <row r="373" spans="1:86" ht="15.5" x14ac:dyDescent="0.35">
      <c r="A373" t="s">
        <v>101</v>
      </c>
      <c r="B373">
        <v>2011</v>
      </c>
      <c r="C373" s="2">
        <v>48.624299999999998</v>
      </c>
      <c r="D373">
        <v>16868.91</v>
      </c>
      <c r="E373">
        <v>0.15790000000000001</v>
      </c>
      <c r="F373">
        <v>3.9965999999999999</v>
      </c>
      <c r="G373">
        <v>11800</v>
      </c>
      <c r="H373">
        <v>11</v>
      </c>
      <c r="I373" s="19">
        <v>96.88</v>
      </c>
      <c r="J373" s="19">
        <v>97.47</v>
      </c>
      <c r="K373" s="19">
        <v>4.6689999999999996</v>
      </c>
      <c r="L373" s="19">
        <v>65.402799999999999</v>
      </c>
      <c r="M373" s="19">
        <v>-945000000</v>
      </c>
      <c r="N373" s="19">
        <v>106.8682</v>
      </c>
      <c r="O373">
        <v>44.344999999999999</v>
      </c>
      <c r="P373">
        <v>22.2056</v>
      </c>
      <c r="Q373" s="19">
        <v>12933.575000000001</v>
      </c>
      <c r="R373" s="19">
        <v>11018.5154</v>
      </c>
      <c r="S373" s="19">
        <v>4.9295999999999998</v>
      </c>
      <c r="T373" s="19">
        <v>25308.8148</v>
      </c>
      <c r="U373" s="19">
        <v>18618.701499999999</v>
      </c>
      <c r="V373">
        <v>35.799999999999997</v>
      </c>
      <c r="W373" s="19">
        <v>72.037899999999993</v>
      </c>
      <c r="X373">
        <v>92</v>
      </c>
      <c r="Y373">
        <v>89</v>
      </c>
      <c r="Z373">
        <v>92</v>
      </c>
      <c r="AA373">
        <v>6</v>
      </c>
      <c r="AB373">
        <v>69.8</v>
      </c>
      <c r="AC373">
        <v>73.575599999999994</v>
      </c>
      <c r="AE373">
        <v>22</v>
      </c>
      <c r="AF373">
        <v>79.608900000000006</v>
      </c>
      <c r="AG373">
        <v>9</v>
      </c>
      <c r="AH373">
        <v>1.28</v>
      </c>
      <c r="AI373">
        <v>7.2</v>
      </c>
      <c r="AJ373">
        <v>6.6</v>
      </c>
      <c r="AK373">
        <v>7.8</v>
      </c>
      <c r="AL373">
        <v>57.957500000000003</v>
      </c>
      <c r="AM373">
        <v>3.9</v>
      </c>
      <c r="AN373">
        <v>-20202</v>
      </c>
      <c r="AO373">
        <v>0</v>
      </c>
      <c r="AP373">
        <v>98.319000000000003</v>
      </c>
      <c r="AQ373">
        <v>90.327399999999997</v>
      </c>
      <c r="AR373">
        <v>93.996700000000004</v>
      </c>
      <c r="AU373">
        <v>15.525600000000001</v>
      </c>
      <c r="AV373" s="19">
        <v>57.819899999999997</v>
      </c>
      <c r="AW373">
        <v>1</v>
      </c>
      <c r="AX373">
        <v>19.2</v>
      </c>
      <c r="AY373">
        <v>6</v>
      </c>
      <c r="AZ373">
        <v>6</v>
      </c>
      <c r="BA373">
        <v>73.867400000000004</v>
      </c>
      <c r="BB373">
        <v>23</v>
      </c>
      <c r="BC373">
        <v>3.6345999999999998</v>
      </c>
      <c r="BD373" s="19">
        <v>3.036</v>
      </c>
      <c r="BE373" s="19">
        <v>78.199100000000001</v>
      </c>
      <c r="BF373">
        <v>50.4983</v>
      </c>
      <c r="BG373">
        <v>35.5</v>
      </c>
      <c r="BH373" s="20">
        <v>0.71560000000000001</v>
      </c>
      <c r="BI373" s="20">
        <v>1902.3667</v>
      </c>
      <c r="BJ373" s="19">
        <v>70.891999999999996</v>
      </c>
      <c r="BK373">
        <v>0.98529999999999995</v>
      </c>
      <c r="BL373">
        <v>0.97750000000000004</v>
      </c>
      <c r="BM373">
        <v>0.97109999999999996</v>
      </c>
      <c r="BN373">
        <v>6</v>
      </c>
      <c r="BO373">
        <v>16.035</v>
      </c>
      <c r="BP373">
        <v>22.78</v>
      </c>
      <c r="BQ373" s="19">
        <v>99.833500000000001</v>
      </c>
      <c r="BR373">
        <v>55.470999999999997</v>
      </c>
      <c r="BS373" s="20">
        <v>16.206</v>
      </c>
      <c r="BT373" s="20">
        <v>16.206</v>
      </c>
      <c r="BU373" s="20">
        <v>31.068999999999999</v>
      </c>
      <c r="BV373" s="20">
        <v>31</v>
      </c>
      <c r="BW373" s="19">
        <v>69.953000000000003</v>
      </c>
      <c r="BX373">
        <v>31.04</v>
      </c>
      <c r="BY373" s="5">
        <v>1584996</v>
      </c>
      <c r="BZ373" s="6">
        <v>3294232</v>
      </c>
      <c r="CA373" s="7">
        <f t="shared" si="25"/>
        <v>2.0783850558613399</v>
      </c>
      <c r="CB373">
        <v>2059709</v>
      </c>
      <c r="CC373" s="8">
        <f t="shared" si="26"/>
        <v>1.599367677667088</v>
      </c>
      <c r="CD373" s="8">
        <f t="shared" si="27"/>
        <v>0.76952423861817376</v>
      </c>
      <c r="CE373">
        <v>64585</v>
      </c>
      <c r="CF373" s="8">
        <f t="shared" si="28"/>
        <v>24.541240226058683</v>
      </c>
      <c r="CG373" s="8">
        <f t="shared" si="29"/>
        <v>51.00614693814353</v>
      </c>
      <c r="CH373">
        <v>100.23457000000001</v>
      </c>
    </row>
    <row r="374" spans="1:86" ht="15.5" x14ac:dyDescent="0.35">
      <c r="A374" s="9" t="s">
        <v>101</v>
      </c>
      <c r="B374" s="9">
        <v>2012</v>
      </c>
      <c r="C374" s="10">
        <v>49.340400000000002</v>
      </c>
      <c r="D374" s="9">
        <v>16690.919999999998</v>
      </c>
      <c r="E374" s="9">
        <v>0.14349999999999999</v>
      </c>
      <c r="F374" s="9">
        <v>3.9451000000000001</v>
      </c>
      <c r="G374" s="9">
        <v>11700</v>
      </c>
      <c r="H374" s="9">
        <v>11</v>
      </c>
      <c r="I374" s="21">
        <v>99.093999999999994</v>
      </c>
      <c r="J374" s="21">
        <v>99.02</v>
      </c>
      <c r="K374" s="21">
        <v>3.8420000000000001</v>
      </c>
      <c r="L374" s="21">
        <v>64.454999999999998</v>
      </c>
      <c r="M374" s="21">
        <v>-1051000000</v>
      </c>
      <c r="N374" s="21">
        <v>114.85469999999999</v>
      </c>
      <c r="O374" s="9">
        <v>44.639000000000003</v>
      </c>
      <c r="P374" s="9">
        <v>23.401800000000001</v>
      </c>
      <c r="Q374" s="21">
        <v>13270.873</v>
      </c>
      <c r="R374" s="21">
        <v>11971.010899999999</v>
      </c>
      <c r="S374" s="21">
        <v>8.6445000000000007</v>
      </c>
      <c r="T374" s="21">
        <v>27496.635200000001</v>
      </c>
      <c r="U374" s="21">
        <v>20494.0465</v>
      </c>
      <c r="V374" s="9">
        <v>35.200000000000003</v>
      </c>
      <c r="W374" s="21">
        <v>74.881500000000003</v>
      </c>
      <c r="X374" s="9">
        <v>91</v>
      </c>
      <c r="Y374" s="9">
        <v>90</v>
      </c>
      <c r="Z374" s="9">
        <v>90</v>
      </c>
      <c r="AA374" s="9">
        <v>5.5</v>
      </c>
      <c r="AB374" s="9">
        <v>73.099999999999994</v>
      </c>
      <c r="AC374" s="9">
        <v>73.778000000000006</v>
      </c>
      <c r="AD374" s="9"/>
      <c r="AE374" s="9">
        <v>20</v>
      </c>
      <c r="AF374" s="9">
        <v>80.010199999999998</v>
      </c>
      <c r="AG374" s="9">
        <v>10.1</v>
      </c>
      <c r="AH374" s="9">
        <v>1.83</v>
      </c>
      <c r="AI374" s="9">
        <v>6.6</v>
      </c>
      <c r="AJ374" s="9">
        <v>6.1</v>
      </c>
      <c r="AK374" s="9">
        <v>7.1</v>
      </c>
      <c r="AL374" s="9">
        <v>59.319099999999999</v>
      </c>
      <c r="AM374" s="9">
        <v>3.5</v>
      </c>
      <c r="AN374" s="9">
        <v>-11914</v>
      </c>
      <c r="AO374" s="9">
        <v>0</v>
      </c>
      <c r="AP374" s="9">
        <v>98.371600000000001</v>
      </c>
      <c r="AQ374" s="9">
        <v>90.581299999999999</v>
      </c>
      <c r="AR374" s="9">
        <v>94.277000000000001</v>
      </c>
      <c r="AS374" s="9"/>
      <c r="AT374" s="9"/>
      <c r="AU374" s="9">
        <v>14.9825</v>
      </c>
      <c r="AV374" s="21">
        <v>61.1374</v>
      </c>
      <c r="AW374" s="9">
        <v>1.1000000000000001</v>
      </c>
      <c r="AX374" s="9">
        <v>19.399999999999999</v>
      </c>
      <c r="AY374" s="9">
        <v>6</v>
      </c>
      <c r="AZ374" s="9">
        <v>6</v>
      </c>
      <c r="BA374" s="9">
        <v>75.004000000000005</v>
      </c>
      <c r="BB374" s="9">
        <v>23</v>
      </c>
      <c r="BC374" s="9">
        <v>3.2650999999999999</v>
      </c>
      <c r="BD374" s="21">
        <v>7.3049999999999997</v>
      </c>
      <c r="BE374" s="21">
        <v>79.620800000000003</v>
      </c>
      <c r="BF374" s="9">
        <v>66.6327</v>
      </c>
      <c r="BG374" s="9">
        <v>40.4</v>
      </c>
      <c r="BH374" s="22">
        <v>0.66310000000000002</v>
      </c>
      <c r="BI374" s="22">
        <v>1908.954</v>
      </c>
      <c r="BJ374" s="21">
        <v>71.831000000000003</v>
      </c>
      <c r="BK374" s="9">
        <v>0.99019999999999997</v>
      </c>
      <c r="BL374" s="9">
        <v>0.98099999999999998</v>
      </c>
      <c r="BM374" s="9">
        <v>0.97289999999999999</v>
      </c>
      <c r="BN374" s="9">
        <v>6</v>
      </c>
      <c r="BO374" s="9">
        <v>14.895</v>
      </c>
      <c r="BP374" s="9">
        <v>23.62</v>
      </c>
      <c r="BQ374" s="21">
        <v>97.089699999999993</v>
      </c>
      <c r="BR374" s="9">
        <v>58.88</v>
      </c>
      <c r="BS374" s="22">
        <v>15.047000000000001</v>
      </c>
      <c r="BT374" s="22">
        <v>15.047000000000001</v>
      </c>
      <c r="BU374" s="22">
        <v>28.564</v>
      </c>
      <c r="BV374" s="22">
        <v>28.53</v>
      </c>
      <c r="BW374" s="21">
        <v>71.831000000000003</v>
      </c>
      <c r="BX374" s="9">
        <v>32.01</v>
      </c>
      <c r="BY374" s="14">
        <v>1644758</v>
      </c>
      <c r="BZ374" s="6">
        <v>3546736</v>
      </c>
      <c r="CA374" s="7">
        <f t="shared" si="25"/>
        <v>2.1563877482280067</v>
      </c>
      <c r="CB374">
        <v>2034319</v>
      </c>
      <c r="CC374" s="8">
        <f t="shared" si="26"/>
        <v>1.7434512483047153</v>
      </c>
      <c r="CD374" s="8">
        <f t="shared" si="27"/>
        <v>0.80850545071839763</v>
      </c>
      <c r="CE374">
        <v>64585</v>
      </c>
      <c r="CF374" s="8">
        <f t="shared" si="28"/>
        <v>25.466563443524038</v>
      </c>
      <c r="CG374" s="8">
        <f t="shared" si="29"/>
        <v>54.915785399086474</v>
      </c>
      <c r="CH374" s="9">
        <v>101.08889000000001</v>
      </c>
    </row>
    <row r="375" spans="1:86" ht="15.5" x14ac:dyDescent="0.35">
      <c r="A375" t="s">
        <v>101</v>
      </c>
      <c r="B375">
        <v>2013</v>
      </c>
      <c r="C375" s="2">
        <v>50.381599999999999</v>
      </c>
      <c r="D375">
        <v>16584.77</v>
      </c>
      <c r="E375">
        <v>0.13619999999999999</v>
      </c>
      <c r="F375">
        <v>3.8643000000000001</v>
      </c>
      <c r="G375">
        <v>11500</v>
      </c>
      <c r="H375">
        <v>11</v>
      </c>
      <c r="I375" s="19">
        <v>99.105000000000004</v>
      </c>
      <c r="J375" s="19">
        <v>98.62</v>
      </c>
      <c r="K375" s="19">
        <v>3.1909999999999998</v>
      </c>
      <c r="L375" s="19">
        <v>66.824600000000004</v>
      </c>
      <c r="M375" s="19">
        <v>-843000000</v>
      </c>
      <c r="N375" s="19">
        <v>117.8291</v>
      </c>
      <c r="O375">
        <v>42.225000000000001</v>
      </c>
      <c r="P375">
        <v>24.639700000000001</v>
      </c>
      <c r="Q375" s="19">
        <v>14407</v>
      </c>
      <c r="R375" s="19">
        <v>12353.5389</v>
      </c>
      <c r="S375" s="19">
        <v>3.1955</v>
      </c>
      <c r="T375" s="19">
        <v>28375.277099999999</v>
      </c>
      <c r="U375" s="19">
        <v>21850.1266</v>
      </c>
      <c r="V375">
        <v>35.5</v>
      </c>
      <c r="W375" s="19">
        <v>75.829400000000007</v>
      </c>
      <c r="X375">
        <v>94</v>
      </c>
      <c r="Y375">
        <v>94</v>
      </c>
      <c r="Z375">
        <v>96</v>
      </c>
      <c r="AA375">
        <v>5</v>
      </c>
      <c r="AB375">
        <v>75.2</v>
      </c>
      <c r="AC375">
        <v>73.982900000000001</v>
      </c>
      <c r="AD375">
        <v>104.6512</v>
      </c>
      <c r="AE375">
        <v>24</v>
      </c>
      <c r="AF375">
        <v>79.795500000000004</v>
      </c>
      <c r="AG375">
        <v>9.9</v>
      </c>
      <c r="AH375">
        <v>1</v>
      </c>
      <c r="AI375">
        <v>6</v>
      </c>
      <c r="AJ375">
        <v>5.6</v>
      </c>
      <c r="AK375">
        <v>6.5</v>
      </c>
      <c r="AL375">
        <v>60.126899999999999</v>
      </c>
      <c r="AM375">
        <v>3.2</v>
      </c>
      <c r="AN375">
        <v>-14386</v>
      </c>
      <c r="AO375">
        <v>0</v>
      </c>
      <c r="AP375">
        <v>98.424199999999999</v>
      </c>
      <c r="AQ375">
        <v>90.833200000000005</v>
      </c>
      <c r="AR375">
        <v>94.557500000000005</v>
      </c>
      <c r="AU375">
        <v>15.4094</v>
      </c>
      <c r="AV375" s="19">
        <v>65.402799999999999</v>
      </c>
      <c r="AW375">
        <v>1.2</v>
      </c>
      <c r="AX375">
        <v>21.2</v>
      </c>
      <c r="AY375">
        <v>6</v>
      </c>
      <c r="AZ375">
        <v>6</v>
      </c>
      <c r="BA375">
        <v>76.148499999999999</v>
      </c>
      <c r="BB375">
        <v>23</v>
      </c>
      <c r="BC375">
        <v>3.246</v>
      </c>
      <c r="BD375" s="19">
        <v>2.0960000000000001</v>
      </c>
      <c r="BE375" s="19">
        <v>80.094800000000006</v>
      </c>
      <c r="BF375">
        <v>56.919600000000003</v>
      </c>
      <c r="BG375">
        <v>39.6</v>
      </c>
      <c r="BH375" s="20">
        <v>0.61319999999999997</v>
      </c>
      <c r="BI375" s="20">
        <v>1790.8593000000001</v>
      </c>
      <c r="BJ375" s="19">
        <v>72.3005</v>
      </c>
      <c r="BK375">
        <v>0.99360000000000004</v>
      </c>
      <c r="BL375">
        <v>0.98040000000000005</v>
      </c>
      <c r="BM375">
        <v>0.96930000000000005</v>
      </c>
      <c r="BN375">
        <v>6</v>
      </c>
      <c r="BO375">
        <v>13.03</v>
      </c>
      <c r="BP375">
        <v>20.75</v>
      </c>
      <c r="BQ375" s="19">
        <v>98.2273</v>
      </c>
      <c r="BR375">
        <v>67.095299999999995</v>
      </c>
      <c r="BS375" s="20">
        <v>11.867000000000001</v>
      </c>
      <c r="BT375" s="20">
        <v>11.867000000000001</v>
      </c>
      <c r="BU375" s="20">
        <v>23.236999999999998</v>
      </c>
      <c r="BV375" s="20">
        <v>23.218</v>
      </c>
      <c r="BW375" s="19">
        <v>71.361500000000007</v>
      </c>
      <c r="BX375">
        <v>31.32</v>
      </c>
      <c r="BY375" s="5">
        <v>1839241</v>
      </c>
      <c r="BZ375" s="6">
        <v>3775192</v>
      </c>
      <c r="CA375" s="7">
        <f t="shared" si="25"/>
        <v>2.052581472466088</v>
      </c>
      <c r="CB375">
        <v>2012647</v>
      </c>
      <c r="CC375" s="8">
        <f t="shared" si="26"/>
        <v>1.8757347910488029</v>
      </c>
      <c r="CD375" s="8">
        <f t="shared" si="27"/>
        <v>0.91384182124336755</v>
      </c>
      <c r="CE375">
        <v>64585</v>
      </c>
      <c r="CF375" s="8">
        <f t="shared" si="28"/>
        <v>28.477835410699079</v>
      </c>
      <c r="CG375" s="8">
        <f t="shared" si="29"/>
        <v>58.453077339939611</v>
      </c>
      <c r="CH375">
        <v>99.172849999999997</v>
      </c>
    </row>
    <row r="376" spans="1:86" ht="15.5" x14ac:dyDescent="0.35">
      <c r="A376" t="s">
        <v>101</v>
      </c>
      <c r="B376">
        <v>2014</v>
      </c>
      <c r="C376" s="2">
        <v>51.716999999999999</v>
      </c>
      <c r="D376">
        <v>15765.41</v>
      </c>
      <c r="E376">
        <v>0.12989999999999999</v>
      </c>
      <c r="F376">
        <v>3.7976999999999999</v>
      </c>
      <c r="G376">
        <v>11500</v>
      </c>
      <c r="H376">
        <v>11</v>
      </c>
      <c r="I376" s="19">
        <v>99.789000000000001</v>
      </c>
      <c r="J376" s="19">
        <v>98.89</v>
      </c>
      <c r="K376" s="19">
        <v>2.8130000000000002</v>
      </c>
      <c r="L376" s="19">
        <v>66.826899999999995</v>
      </c>
      <c r="M376" s="19">
        <v>-444000000</v>
      </c>
      <c r="N376" s="19">
        <v>119.7627</v>
      </c>
      <c r="O376">
        <v>42.054000000000002</v>
      </c>
      <c r="P376">
        <v>25.324100000000001</v>
      </c>
      <c r="Q376" s="19">
        <v>15131.397000000001</v>
      </c>
      <c r="R376" s="19">
        <v>12731.6774</v>
      </c>
      <c r="S376" s="19">
        <v>3.0609999999999999</v>
      </c>
      <c r="T376" s="19">
        <v>29243.836800000001</v>
      </c>
      <c r="U376" s="19">
        <v>22973.693299999999</v>
      </c>
      <c r="V376">
        <v>35.1</v>
      </c>
      <c r="W376" s="19">
        <v>77.884600000000006</v>
      </c>
      <c r="X376">
        <v>92</v>
      </c>
      <c r="Y376">
        <v>92</v>
      </c>
      <c r="Z376">
        <v>95</v>
      </c>
      <c r="AA376">
        <v>4.5999999999999996</v>
      </c>
      <c r="AB376">
        <v>75.8</v>
      </c>
      <c r="AC376">
        <v>74.124399999999994</v>
      </c>
      <c r="AD376">
        <v>99.873599999999996</v>
      </c>
      <c r="AE376">
        <v>22</v>
      </c>
      <c r="AF376">
        <v>80.061000000000007</v>
      </c>
      <c r="AG376">
        <v>12.4</v>
      </c>
      <c r="AH376">
        <v>1.44</v>
      </c>
      <c r="AI376">
        <v>5.5</v>
      </c>
      <c r="AJ376">
        <v>5.0999999999999996</v>
      </c>
      <c r="AK376">
        <v>5.9</v>
      </c>
      <c r="AL376">
        <v>60.671300000000002</v>
      </c>
      <c r="AM376">
        <v>2.9</v>
      </c>
      <c r="AN376">
        <v>-8799</v>
      </c>
      <c r="AO376">
        <v>0</v>
      </c>
      <c r="AP376">
        <v>98.476600000000005</v>
      </c>
      <c r="AQ376">
        <v>91.083200000000005</v>
      </c>
      <c r="AR376">
        <v>94.838099999999997</v>
      </c>
      <c r="AU376">
        <v>16.099299999999999</v>
      </c>
      <c r="AV376" s="19">
        <v>61.904800000000002</v>
      </c>
      <c r="AW376">
        <v>0.8</v>
      </c>
      <c r="AX376">
        <v>22.5</v>
      </c>
      <c r="AY376">
        <v>6</v>
      </c>
      <c r="AZ376">
        <v>6</v>
      </c>
      <c r="BA376">
        <v>77.300899999999999</v>
      </c>
      <c r="BB376">
        <v>18</v>
      </c>
      <c r="BC376">
        <v>3.2601</v>
      </c>
      <c r="BD376" s="19">
        <v>2.0950000000000002</v>
      </c>
      <c r="BE376" s="19">
        <v>85.096199999999996</v>
      </c>
      <c r="BF376">
        <v>54.533000000000001</v>
      </c>
      <c r="BG376">
        <v>40.200000000000003</v>
      </c>
      <c r="BH376" s="20">
        <v>0.68910000000000005</v>
      </c>
      <c r="BI376" s="20">
        <v>1872.2662</v>
      </c>
      <c r="BJ376" s="19">
        <v>77.884600000000006</v>
      </c>
      <c r="BK376">
        <v>0.99850000000000005</v>
      </c>
      <c r="BL376">
        <v>0.9859</v>
      </c>
      <c r="BM376">
        <v>0.97460000000000002</v>
      </c>
      <c r="BN376">
        <v>6</v>
      </c>
      <c r="BO376">
        <v>12.023999999999999</v>
      </c>
      <c r="BP376">
        <v>20.92</v>
      </c>
      <c r="BQ376" s="19">
        <v>98.577600000000004</v>
      </c>
      <c r="BR376">
        <v>71.204099999999997</v>
      </c>
      <c r="BS376" s="20">
        <v>10.846</v>
      </c>
      <c r="BT376" s="20">
        <v>10.846</v>
      </c>
      <c r="BU376" s="20">
        <v>19.594999999999999</v>
      </c>
      <c r="BV376" s="20">
        <v>19.620999999999999</v>
      </c>
      <c r="BW376" s="19">
        <v>72.413799999999995</v>
      </c>
      <c r="BX376">
        <v>30.32</v>
      </c>
      <c r="BY376" s="5">
        <v>2098381</v>
      </c>
      <c r="BZ376" s="6">
        <v>4158418</v>
      </c>
      <c r="CA376" s="7">
        <f t="shared" si="25"/>
        <v>1.9817268646637574</v>
      </c>
      <c r="CB376">
        <v>1993782</v>
      </c>
      <c r="CC376" s="8">
        <f t="shared" si="26"/>
        <v>2.0856934208454083</v>
      </c>
      <c r="CD376" s="8">
        <f t="shared" si="27"/>
        <v>1.0524626062428089</v>
      </c>
      <c r="CE376">
        <v>64585</v>
      </c>
      <c r="CF376" s="8">
        <f t="shared" si="28"/>
        <v>32.49022218781451</v>
      </c>
      <c r="CG376" s="8">
        <f t="shared" si="29"/>
        <v>64.386746148486495</v>
      </c>
      <c r="CH376">
        <v>99.727999999999994</v>
      </c>
    </row>
    <row r="377" spans="1:86" ht="15.5" x14ac:dyDescent="0.35">
      <c r="A377" t="s">
        <v>101</v>
      </c>
      <c r="B377">
        <v>2015</v>
      </c>
      <c r="C377" s="2">
        <v>53.002200000000002</v>
      </c>
      <c r="D377">
        <v>15916.47</v>
      </c>
      <c r="E377">
        <v>0.12640000000000001</v>
      </c>
      <c r="F377">
        <v>3.8664999999999998</v>
      </c>
      <c r="G377">
        <v>11600</v>
      </c>
      <c r="H377">
        <v>11</v>
      </c>
      <c r="I377" s="19">
        <v>100.002</v>
      </c>
      <c r="J377" s="19">
        <v>99.29</v>
      </c>
      <c r="K377" s="19">
        <v>2.79</v>
      </c>
      <c r="L377" s="19">
        <v>65.238100000000003</v>
      </c>
      <c r="M377" s="19">
        <v>-28000000</v>
      </c>
      <c r="N377" s="19">
        <v>100</v>
      </c>
      <c r="O377">
        <v>44.261000000000003</v>
      </c>
      <c r="P377">
        <v>25.456900000000001</v>
      </c>
      <c r="Q377" s="19">
        <v>13265.841</v>
      </c>
      <c r="R377" s="19">
        <v>13321.9753</v>
      </c>
      <c r="S377" s="19">
        <v>4.6364999999999998</v>
      </c>
      <c r="T377" s="19">
        <v>30599.712800000001</v>
      </c>
      <c r="U377" s="19">
        <v>24137.876400000001</v>
      </c>
      <c r="V377">
        <v>34.200000000000003</v>
      </c>
      <c r="W377" s="19">
        <v>82.381</v>
      </c>
      <c r="X377">
        <v>94</v>
      </c>
      <c r="Y377">
        <v>94</v>
      </c>
      <c r="Z377">
        <v>96</v>
      </c>
      <c r="AA377">
        <v>4.3</v>
      </c>
      <c r="AB377">
        <v>79.2</v>
      </c>
      <c r="AC377">
        <v>74.480500000000006</v>
      </c>
      <c r="AD377">
        <v>95.575599999999994</v>
      </c>
      <c r="AE377">
        <v>22</v>
      </c>
      <c r="AF377">
        <v>82.963499999999996</v>
      </c>
      <c r="AG377">
        <v>11.2</v>
      </c>
      <c r="AH377">
        <v>0.85</v>
      </c>
      <c r="AI377">
        <v>5.0999999999999996</v>
      </c>
      <c r="AJ377">
        <v>4.7</v>
      </c>
      <c r="AK377">
        <v>5.5</v>
      </c>
      <c r="AL377">
        <v>60.704300000000003</v>
      </c>
      <c r="AM377">
        <v>2.7</v>
      </c>
      <c r="AN377">
        <v>-10826</v>
      </c>
      <c r="AO377">
        <v>0</v>
      </c>
      <c r="AP377">
        <v>98.528999999999996</v>
      </c>
      <c r="AQ377">
        <v>91.519300000000001</v>
      </c>
      <c r="AR377">
        <v>95.119</v>
      </c>
      <c r="AU377">
        <v>13.6554</v>
      </c>
      <c r="AV377" s="19">
        <v>60.476199999999999</v>
      </c>
      <c r="AW377">
        <v>0.7</v>
      </c>
      <c r="AX377">
        <v>21.8</v>
      </c>
      <c r="AY377">
        <v>6</v>
      </c>
      <c r="AZ377">
        <v>6</v>
      </c>
      <c r="BA377">
        <v>78.622399999999999</v>
      </c>
      <c r="BB377">
        <v>18</v>
      </c>
      <c r="BC377">
        <v>3.3168000000000002</v>
      </c>
      <c r="BD377" s="19">
        <v>3.7829999999999999</v>
      </c>
      <c r="BE377" s="19">
        <v>80.952399999999997</v>
      </c>
      <c r="BF377">
        <v>50.185099999999998</v>
      </c>
      <c r="BG377">
        <v>38.1</v>
      </c>
      <c r="BH377" s="20">
        <v>0.61939999999999995</v>
      </c>
      <c r="BI377" s="20">
        <v>1818.8262</v>
      </c>
      <c r="BJ377" s="19">
        <v>75.238100000000003</v>
      </c>
      <c r="BK377">
        <v>1.0006999999999999</v>
      </c>
      <c r="BL377">
        <v>0.99019999999999997</v>
      </c>
      <c r="BM377">
        <v>0.97970000000000002</v>
      </c>
      <c r="BN377">
        <v>6</v>
      </c>
      <c r="BO377">
        <v>10.518000000000001</v>
      </c>
      <c r="BP377">
        <v>21.68</v>
      </c>
      <c r="BQ377" s="19">
        <v>100</v>
      </c>
      <c r="BR377">
        <v>74.995999999999995</v>
      </c>
      <c r="BS377" s="20">
        <v>9.8729999999999993</v>
      </c>
      <c r="BT377" s="20">
        <v>9.8729999999999993</v>
      </c>
      <c r="BU377" s="20">
        <v>16.315999999999999</v>
      </c>
      <c r="BV377" s="20">
        <v>16.326000000000001</v>
      </c>
      <c r="BW377" s="19">
        <v>73.399000000000001</v>
      </c>
      <c r="BX377">
        <v>28.61</v>
      </c>
      <c r="BY377" s="5">
        <v>2139393</v>
      </c>
      <c r="BZ377" s="6">
        <v>4109910</v>
      </c>
      <c r="CA377" s="7">
        <f t="shared" si="25"/>
        <v>1.9210635914018603</v>
      </c>
      <c r="CB377">
        <v>1977527</v>
      </c>
      <c r="CC377" s="8">
        <f t="shared" si="26"/>
        <v>2.0783079067946986</v>
      </c>
      <c r="CD377" s="8">
        <f t="shared" si="27"/>
        <v>1.0818527382938388</v>
      </c>
      <c r="CE377">
        <v>64585</v>
      </c>
      <c r="CF377" s="8">
        <f t="shared" si="28"/>
        <v>33.125230316636987</v>
      </c>
      <c r="CG377" s="8">
        <f t="shared" si="29"/>
        <v>63.635673918092436</v>
      </c>
      <c r="CH377">
        <v>100</v>
      </c>
    </row>
    <row r="378" spans="1:86" ht="15.5" x14ac:dyDescent="0.35">
      <c r="A378" t="s">
        <v>101</v>
      </c>
      <c r="B378">
        <v>2016</v>
      </c>
      <c r="C378" s="2">
        <v>54.275799999999997</v>
      </c>
      <c r="D378">
        <v>17306.18</v>
      </c>
      <c r="E378">
        <v>0.1205</v>
      </c>
      <c r="F378">
        <v>3.8165</v>
      </c>
      <c r="G378">
        <v>11600</v>
      </c>
      <c r="H378">
        <v>11</v>
      </c>
      <c r="I378" s="19">
        <v>100.101</v>
      </c>
      <c r="J378" s="19">
        <v>101.38</v>
      </c>
      <c r="K378" s="19">
        <v>2.9319999999999999</v>
      </c>
      <c r="L378" s="19">
        <v>64.761899999999997</v>
      </c>
      <c r="M378" s="19">
        <v>482000000</v>
      </c>
      <c r="N378" s="19">
        <v>100.0577</v>
      </c>
      <c r="O378">
        <v>46.298999999999999</v>
      </c>
      <c r="P378">
        <v>26.4893</v>
      </c>
      <c r="Q378" s="19">
        <v>13768.519</v>
      </c>
      <c r="R378" s="19">
        <v>13787.3367</v>
      </c>
      <c r="S378" s="19">
        <v>3.4931999999999999</v>
      </c>
      <c r="T378" s="19">
        <v>31668.6178</v>
      </c>
      <c r="U378" s="19">
        <v>25802.155599999998</v>
      </c>
      <c r="V378">
        <v>34.299999999999997</v>
      </c>
      <c r="W378" s="19">
        <v>78.095200000000006</v>
      </c>
      <c r="X378">
        <v>98</v>
      </c>
      <c r="Y378">
        <v>98</v>
      </c>
      <c r="Z378">
        <v>93</v>
      </c>
      <c r="AA378">
        <v>4</v>
      </c>
      <c r="AB378">
        <v>79.8</v>
      </c>
      <c r="AC378">
        <v>74.580500000000001</v>
      </c>
      <c r="AD378">
        <v>96.213499999999996</v>
      </c>
      <c r="AE378">
        <v>23</v>
      </c>
      <c r="AF378">
        <v>83.085999999999999</v>
      </c>
      <c r="AG378">
        <v>9.3000000000000007</v>
      </c>
      <c r="AH378">
        <v>1.4</v>
      </c>
      <c r="AI378">
        <v>4.7</v>
      </c>
      <c r="AJ378">
        <v>4.4000000000000004</v>
      </c>
      <c r="AK378">
        <v>5.0999999999999996</v>
      </c>
      <c r="AL378">
        <v>60.228200000000001</v>
      </c>
      <c r="AM378">
        <v>2.6</v>
      </c>
      <c r="AN378">
        <v>-12327</v>
      </c>
      <c r="AO378">
        <v>0</v>
      </c>
      <c r="AP378">
        <v>98.581400000000002</v>
      </c>
      <c r="AQ378">
        <v>91.956800000000001</v>
      </c>
      <c r="AR378">
        <v>95.401300000000006</v>
      </c>
      <c r="AU378">
        <v>12.6031</v>
      </c>
      <c r="AV378" s="19">
        <v>61.904800000000002</v>
      </c>
      <c r="AW378">
        <v>0.6</v>
      </c>
      <c r="AX378">
        <v>22.1</v>
      </c>
      <c r="AY378">
        <v>6</v>
      </c>
      <c r="AZ378">
        <v>6</v>
      </c>
      <c r="BA378">
        <v>79.957599999999999</v>
      </c>
      <c r="BB378">
        <v>18</v>
      </c>
      <c r="BC378">
        <v>3.4251</v>
      </c>
      <c r="BD378" s="19">
        <v>2.552</v>
      </c>
      <c r="BE378" s="19">
        <v>82.857100000000003</v>
      </c>
      <c r="BF378">
        <v>54.184199999999997</v>
      </c>
      <c r="BG378">
        <v>38.5</v>
      </c>
      <c r="BH378" s="20">
        <v>0.43509999999999999</v>
      </c>
      <c r="BI378" s="20">
        <v>1600.5785000000001</v>
      </c>
      <c r="BJ378" s="19">
        <v>79.047600000000003</v>
      </c>
      <c r="BK378">
        <v>1.0007999999999999</v>
      </c>
      <c r="BL378">
        <v>0.99309999999999998</v>
      </c>
      <c r="BM378">
        <v>0.98499999999999999</v>
      </c>
      <c r="BN378">
        <v>6</v>
      </c>
      <c r="BO378">
        <v>11.205</v>
      </c>
      <c r="BP378">
        <v>21.04</v>
      </c>
      <c r="BQ378" s="19">
        <v>101.6219</v>
      </c>
      <c r="BR378">
        <v>74.569900000000004</v>
      </c>
      <c r="BS378" s="20">
        <v>9.6430000000000007</v>
      </c>
      <c r="BT378" s="20">
        <v>9.6430000000000007</v>
      </c>
      <c r="BU378" s="20">
        <v>17.271000000000001</v>
      </c>
      <c r="BV378" s="20">
        <v>17.286000000000001</v>
      </c>
      <c r="BW378" s="19">
        <v>73.891599999999997</v>
      </c>
      <c r="BX378">
        <v>26.71</v>
      </c>
      <c r="BY378" s="5">
        <v>2303643</v>
      </c>
      <c r="BZ378" s="6">
        <v>4416597</v>
      </c>
      <c r="CA378" s="7">
        <f t="shared" si="25"/>
        <v>1.9172228509365383</v>
      </c>
      <c r="CB378">
        <v>1959537</v>
      </c>
      <c r="CC378" s="8">
        <f t="shared" si="26"/>
        <v>2.2538982422888671</v>
      </c>
      <c r="CD378" s="8">
        <f t="shared" si="27"/>
        <v>1.1756057680972598</v>
      </c>
      <c r="CE378">
        <v>64585</v>
      </c>
      <c r="CF378" s="8">
        <f t="shared" si="28"/>
        <v>35.668390493148564</v>
      </c>
      <c r="CG378" s="8">
        <f t="shared" si="29"/>
        <v>68.384253309592012</v>
      </c>
      <c r="CH378">
        <v>100.1632</v>
      </c>
    </row>
    <row r="379" spans="1:86" ht="15.5" x14ac:dyDescent="0.35">
      <c r="A379" t="s">
        <v>101</v>
      </c>
      <c r="B379">
        <v>2017</v>
      </c>
      <c r="C379" s="2">
        <v>55.479799999999997</v>
      </c>
      <c r="D379">
        <v>17348.13</v>
      </c>
      <c r="E379">
        <v>0.1158</v>
      </c>
      <c r="F379">
        <v>3.8256000000000001</v>
      </c>
      <c r="G379">
        <v>11600</v>
      </c>
      <c r="H379">
        <v>11</v>
      </c>
      <c r="I379" s="19">
        <v>102.998</v>
      </c>
      <c r="J379" s="19">
        <v>103.57</v>
      </c>
      <c r="K379" s="19">
        <v>3.3260000000000001</v>
      </c>
      <c r="L379" s="19">
        <v>66.666700000000006</v>
      </c>
      <c r="M379" s="19">
        <v>433000000</v>
      </c>
      <c r="N379" s="19">
        <v>114.9734</v>
      </c>
      <c r="O379">
        <v>44.997999999999998</v>
      </c>
      <c r="P379">
        <v>27.0886</v>
      </c>
      <c r="Q379" s="19">
        <v>15066.124</v>
      </c>
      <c r="R379" s="19">
        <v>14382.8613</v>
      </c>
      <c r="S379" s="19">
        <v>4.3193999999999999</v>
      </c>
      <c r="T379" s="19">
        <v>33036.499199999998</v>
      </c>
      <c r="U379" s="19">
        <v>27645.8226</v>
      </c>
      <c r="V379">
        <v>35.6</v>
      </c>
      <c r="W379" s="19">
        <v>77.619</v>
      </c>
      <c r="X379">
        <v>98</v>
      </c>
      <c r="Y379">
        <v>98</v>
      </c>
      <c r="Z379">
        <v>96</v>
      </c>
      <c r="AA379">
        <v>3.7</v>
      </c>
      <c r="AB379">
        <v>80.099999999999994</v>
      </c>
      <c r="AC379">
        <v>74.629300000000001</v>
      </c>
      <c r="AD379">
        <v>98.808599999999998</v>
      </c>
      <c r="AE379">
        <v>23</v>
      </c>
      <c r="AF379">
        <v>83.525199999999998</v>
      </c>
      <c r="AG379">
        <v>8.1</v>
      </c>
      <c r="AH379">
        <v>1.27</v>
      </c>
      <c r="AI379">
        <v>4.5</v>
      </c>
      <c r="AJ379">
        <v>4.0999999999999996</v>
      </c>
      <c r="AK379">
        <v>4.8</v>
      </c>
      <c r="AL379">
        <v>60.516100000000002</v>
      </c>
      <c r="AM379">
        <v>2.4</v>
      </c>
      <c r="AN379">
        <v>-7867</v>
      </c>
      <c r="AO379">
        <v>0</v>
      </c>
      <c r="AP379">
        <v>98.633799999999994</v>
      </c>
      <c r="AQ379">
        <v>92.395399999999995</v>
      </c>
      <c r="AR379">
        <v>95.684799999999996</v>
      </c>
      <c r="AU379">
        <v>11.667999999999999</v>
      </c>
      <c r="AV379" s="19">
        <v>62.857100000000003</v>
      </c>
      <c r="AW379">
        <v>0.8</v>
      </c>
      <c r="AX379">
        <v>23.3</v>
      </c>
      <c r="AY379">
        <v>6</v>
      </c>
      <c r="AZ379">
        <v>6</v>
      </c>
      <c r="BA379">
        <v>81.3065</v>
      </c>
      <c r="BB379">
        <v>16</v>
      </c>
      <c r="BC379">
        <v>3.4102000000000001</v>
      </c>
      <c r="BD379" s="19">
        <v>3.399</v>
      </c>
      <c r="BE379" s="19">
        <v>82.381</v>
      </c>
      <c r="BF379">
        <v>72.522900000000007</v>
      </c>
      <c r="BG379">
        <v>42.6</v>
      </c>
      <c r="BH379" s="20">
        <v>0.51100000000000001</v>
      </c>
      <c r="BI379" s="20">
        <v>1785.24</v>
      </c>
      <c r="BJ379" s="19">
        <v>78.571399999999997</v>
      </c>
      <c r="BK379">
        <v>1.0019</v>
      </c>
      <c r="BL379">
        <v>0.99609999999999999</v>
      </c>
      <c r="BM379">
        <v>0.99009999999999998</v>
      </c>
      <c r="BN379">
        <v>6</v>
      </c>
      <c r="BO379">
        <v>11.956</v>
      </c>
      <c r="BP379">
        <v>21.04</v>
      </c>
      <c r="BQ379" s="19">
        <v>100.4207</v>
      </c>
      <c r="BR379">
        <v>76.007800000000003</v>
      </c>
      <c r="BS379" s="20">
        <v>8.7149999999999999</v>
      </c>
      <c r="BT379" s="20">
        <v>8.7149999999999999</v>
      </c>
      <c r="BU379" s="20">
        <v>16.971</v>
      </c>
      <c r="BV379" s="20">
        <v>16.986000000000001</v>
      </c>
      <c r="BW379" s="19">
        <v>73.891599999999997</v>
      </c>
      <c r="BX379">
        <v>27.04</v>
      </c>
      <c r="BY379" s="5">
        <v>2577338</v>
      </c>
      <c r="BZ379" s="6">
        <v>4950929</v>
      </c>
      <c r="CA379" s="7">
        <f t="shared" si="25"/>
        <v>1.9209467287565698</v>
      </c>
      <c r="CB379">
        <v>1942248</v>
      </c>
      <c r="CC379" s="8">
        <f t="shared" si="26"/>
        <v>2.5490714882960361</v>
      </c>
      <c r="CD379" s="8">
        <f t="shared" si="27"/>
        <v>1.3269870788900284</v>
      </c>
      <c r="CE379">
        <v>64585</v>
      </c>
      <c r="CF379" s="8">
        <f t="shared" si="28"/>
        <v>39.906139196407835</v>
      </c>
      <c r="CG379" s="8">
        <f t="shared" si="29"/>
        <v>76.657567546643961</v>
      </c>
      <c r="CH379">
        <v>101.075</v>
      </c>
    </row>
    <row r="380" spans="1:86" ht="15.5" x14ac:dyDescent="0.35">
      <c r="A380" t="s">
        <v>101</v>
      </c>
      <c r="B380">
        <v>2018</v>
      </c>
      <c r="C380" s="2">
        <v>56.325600000000001</v>
      </c>
      <c r="D380">
        <v>15966.39</v>
      </c>
      <c r="E380">
        <v>0.1211</v>
      </c>
      <c r="F380">
        <v>4.2061000000000002</v>
      </c>
      <c r="G380">
        <v>11600</v>
      </c>
      <c r="H380">
        <v>11</v>
      </c>
      <c r="I380" s="19">
        <v>105.628</v>
      </c>
      <c r="J380" s="19">
        <v>106.21</v>
      </c>
      <c r="K380" s="19">
        <v>3.5790000000000002</v>
      </c>
      <c r="L380" s="19">
        <v>62.381</v>
      </c>
      <c r="M380" s="19">
        <v>-131000000</v>
      </c>
      <c r="N380" s="19">
        <v>131.57400000000001</v>
      </c>
      <c r="O380">
        <v>43.63</v>
      </c>
      <c r="P380">
        <v>27.287700000000001</v>
      </c>
      <c r="Q380" s="19">
        <v>17195.705999999998</v>
      </c>
      <c r="R380" s="19">
        <v>15120.069600000001</v>
      </c>
      <c r="S380" s="19">
        <v>5.1256000000000004</v>
      </c>
      <c r="T380" s="19">
        <v>34729.818700000003</v>
      </c>
      <c r="U380" s="19">
        <v>29817.804700000001</v>
      </c>
      <c r="V380">
        <v>35.1</v>
      </c>
      <c r="W380" s="19">
        <v>79.523799999999994</v>
      </c>
      <c r="X380">
        <v>96</v>
      </c>
      <c r="Y380">
        <v>96</v>
      </c>
      <c r="Z380">
        <v>98</v>
      </c>
      <c r="AA380">
        <v>3.6</v>
      </c>
      <c r="AB380">
        <v>83.6</v>
      </c>
      <c r="AC380">
        <v>74.782899999999998</v>
      </c>
      <c r="AD380">
        <v>99.358999999999995</v>
      </c>
      <c r="AE380">
        <v>23</v>
      </c>
      <c r="AF380">
        <v>83.7577</v>
      </c>
      <c r="AG380">
        <v>9.1</v>
      </c>
      <c r="AH380">
        <v>1.03</v>
      </c>
      <c r="AI380">
        <v>4.2</v>
      </c>
      <c r="AJ380">
        <v>3.9</v>
      </c>
      <c r="AK380">
        <v>4.5</v>
      </c>
      <c r="AL380">
        <v>60.126800000000003</v>
      </c>
      <c r="AM380">
        <v>2.2999999999999998</v>
      </c>
      <c r="AN380">
        <v>-4972</v>
      </c>
      <c r="AO380">
        <v>0</v>
      </c>
      <c r="AP380">
        <v>98.686099999999996</v>
      </c>
      <c r="AQ380">
        <v>92.403499999999994</v>
      </c>
      <c r="AR380">
        <v>95.969300000000004</v>
      </c>
      <c r="AU380">
        <v>14.207599999999999</v>
      </c>
      <c r="AV380" s="19">
        <v>59.905700000000003</v>
      </c>
      <c r="AW380">
        <v>0.4</v>
      </c>
      <c r="AX380">
        <v>22.9</v>
      </c>
      <c r="AY380">
        <v>6</v>
      </c>
      <c r="AZ380">
        <v>6</v>
      </c>
      <c r="BA380">
        <v>82.450599999999994</v>
      </c>
      <c r="BB380">
        <v>31</v>
      </c>
      <c r="BC380">
        <v>3.6956000000000002</v>
      </c>
      <c r="BD380" s="19">
        <v>4.3099999999999996</v>
      </c>
      <c r="BE380" s="19">
        <v>83.333299999999994</v>
      </c>
      <c r="BF380">
        <v>52.031500000000001</v>
      </c>
      <c r="BG380">
        <v>41</v>
      </c>
      <c r="BH380" s="20">
        <v>0.63870000000000005</v>
      </c>
      <c r="BI380" s="20">
        <v>1786.2773</v>
      </c>
      <c r="BJ380" s="19">
        <v>78.571399999999997</v>
      </c>
      <c r="BK380">
        <v>1.0047999999999999</v>
      </c>
      <c r="BL380">
        <v>0.99739999999999995</v>
      </c>
      <c r="BM380">
        <v>0.98980000000000001</v>
      </c>
      <c r="BN380">
        <v>6</v>
      </c>
      <c r="BO380">
        <v>7.8970000000000002</v>
      </c>
      <c r="BP380">
        <v>18.059999999999999</v>
      </c>
      <c r="BQ380" s="19">
        <v>102.08929999999999</v>
      </c>
      <c r="BR380">
        <v>81.357500000000002</v>
      </c>
      <c r="BS380" s="20">
        <v>7.4119999999999999</v>
      </c>
      <c r="BT380" s="20">
        <v>7.4119999999999999</v>
      </c>
      <c r="BU380" s="20">
        <v>12.192</v>
      </c>
      <c r="BV380" s="20">
        <v>12.201000000000001</v>
      </c>
      <c r="BW380" s="19">
        <v>73.301000000000002</v>
      </c>
      <c r="BX380">
        <v>26.17</v>
      </c>
      <c r="BY380" s="5">
        <v>2808808</v>
      </c>
      <c r="BZ380" s="6">
        <v>5368739</v>
      </c>
      <c r="CA380" s="7">
        <f t="shared" si="25"/>
        <v>1.9113940860322243</v>
      </c>
      <c r="CB380">
        <v>1927174</v>
      </c>
      <c r="CC380" s="8">
        <f t="shared" si="26"/>
        <v>2.7858091692810301</v>
      </c>
      <c r="CD380" s="8">
        <f t="shared" si="27"/>
        <v>1.4574750385798065</v>
      </c>
      <c r="CE380">
        <v>64585</v>
      </c>
      <c r="CF380" s="8">
        <f t="shared" si="28"/>
        <v>43.490098320043352</v>
      </c>
      <c r="CG380" s="8">
        <f t="shared" si="29"/>
        <v>83.126716729890845</v>
      </c>
      <c r="CH380">
        <v>102.22796</v>
      </c>
    </row>
    <row r="381" spans="1:86" ht="15.5" x14ac:dyDescent="0.35">
      <c r="A381" t="s">
        <v>101</v>
      </c>
      <c r="B381">
        <v>2019</v>
      </c>
      <c r="C381" s="2">
        <v>57.102800000000002</v>
      </c>
      <c r="D381">
        <v>15799.95</v>
      </c>
      <c r="E381">
        <v>0.1166</v>
      </c>
      <c r="F381">
        <v>4.1040000000000001</v>
      </c>
      <c r="G381">
        <v>11600</v>
      </c>
      <c r="H381">
        <v>11</v>
      </c>
      <c r="I381" s="19">
        <v>108.53</v>
      </c>
      <c r="J381" s="19">
        <v>108.48</v>
      </c>
      <c r="K381" s="19">
        <v>3.831</v>
      </c>
      <c r="L381" s="19">
        <v>66.666700000000006</v>
      </c>
      <c r="M381" s="19">
        <v>-57000000</v>
      </c>
      <c r="N381" s="19">
        <v>127.8211</v>
      </c>
      <c r="O381">
        <v>41.738999999999997</v>
      </c>
      <c r="P381">
        <v>26.585899999999999</v>
      </c>
      <c r="Q381" s="19">
        <v>17241.514999999999</v>
      </c>
      <c r="R381" s="19">
        <v>15328.386200000001</v>
      </c>
      <c r="S381" s="19">
        <v>1.3776999999999999</v>
      </c>
      <c r="T381" s="19">
        <v>35208.308299999997</v>
      </c>
      <c r="U381" s="19">
        <v>32199.096000000001</v>
      </c>
      <c r="V381">
        <v>34.5</v>
      </c>
      <c r="W381" s="19">
        <v>82.381</v>
      </c>
      <c r="X381">
        <v>99</v>
      </c>
      <c r="Y381">
        <v>99</v>
      </c>
      <c r="Z381">
        <v>99</v>
      </c>
      <c r="AA381">
        <v>3.4</v>
      </c>
      <c r="AB381">
        <v>86.1</v>
      </c>
      <c r="AC381">
        <v>75.387799999999999</v>
      </c>
      <c r="AD381">
        <v>96.894499999999994</v>
      </c>
      <c r="AE381">
        <v>22</v>
      </c>
      <c r="AF381">
        <v>83.7577</v>
      </c>
      <c r="AG381">
        <v>8.1</v>
      </c>
      <c r="AH381">
        <v>0.65</v>
      </c>
      <c r="AI381">
        <v>4</v>
      </c>
      <c r="AJ381">
        <v>3.7</v>
      </c>
      <c r="AK381">
        <v>4.3</v>
      </c>
      <c r="AL381">
        <v>60.305199999999999</v>
      </c>
      <c r="AM381">
        <v>2.2000000000000002</v>
      </c>
      <c r="AN381">
        <v>-3416</v>
      </c>
      <c r="AO381">
        <v>0</v>
      </c>
      <c r="AP381">
        <v>98.738299999999995</v>
      </c>
      <c r="AQ381">
        <v>92.4131</v>
      </c>
      <c r="AR381">
        <v>96.254400000000004</v>
      </c>
      <c r="AU381">
        <v>12.486599999999999</v>
      </c>
      <c r="AV381" s="19">
        <v>59.905700000000003</v>
      </c>
      <c r="AW381">
        <v>0.2</v>
      </c>
      <c r="AX381">
        <v>21.6</v>
      </c>
      <c r="AY381">
        <v>6</v>
      </c>
      <c r="AZ381">
        <v>6</v>
      </c>
      <c r="BA381">
        <v>83.606099999999998</v>
      </c>
      <c r="BB381">
        <v>30</v>
      </c>
      <c r="BC381">
        <v>3.9727000000000001</v>
      </c>
      <c r="BD381" s="19">
        <v>0.67500000000000004</v>
      </c>
      <c r="BE381" s="19">
        <v>83.8095</v>
      </c>
      <c r="BF381">
        <v>49.582299999999996</v>
      </c>
      <c r="BG381">
        <v>41.5</v>
      </c>
      <c r="BH381" s="20">
        <v>0.63849999999999996</v>
      </c>
      <c r="BI381" s="20">
        <v>1891.2471</v>
      </c>
      <c r="BJ381" s="19">
        <v>80</v>
      </c>
      <c r="BK381">
        <v>1.0004</v>
      </c>
      <c r="BL381">
        <v>0.99990000000000001</v>
      </c>
      <c r="BM381">
        <v>0.99939999999999996</v>
      </c>
      <c r="BN381">
        <v>6</v>
      </c>
      <c r="BO381">
        <v>9.24</v>
      </c>
      <c r="BP381">
        <v>17.16</v>
      </c>
      <c r="BQ381" s="19">
        <v>102.5547</v>
      </c>
      <c r="BR381">
        <v>82.539000000000001</v>
      </c>
      <c r="BS381" s="20">
        <v>6.3120000000000003</v>
      </c>
      <c r="BT381" s="20">
        <v>6.3120000000000003</v>
      </c>
      <c r="BU381" s="20">
        <v>12.414999999999999</v>
      </c>
      <c r="BV381" s="20">
        <v>12.422000000000001</v>
      </c>
      <c r="BW381" s="19">
        <v>73.912999999999997</v>
      </c>
      <c r="BX381">
        <v>24.65</v>
      </c>
      <c r="BY381" s="5">
        <v>2853333</v>
      </c>
      <c r="BZ381" s="6">
        <v>5509682</v>
      </c>
      <c r="CA381" s="7">
        <f t="shared" si="25"/>
        <v>1.9309635433368626</v>
      </c>
      <c r="CB381">
        <v>1913822</v>
      </c>
      <c r="CC381" s="8">
        <f t="shared" si="26"/>
        <v>2.8788894682995596</v>
      </c>
      <c r="CD381" s="8">
        <f t="shared" si="27"/>
        <v>1.4909082453854121</v>
      </c>
      <c r="CE381">
        <v>64585</v>
      </c>
      <c r="CF381" s="8">
        <f t="shared" si="28"/>
        <v>44.179499883873966</v>
      </c>
      <c r="CG381" s="8">
        <f t="shared" si="29"/>
        <v>85.309003638615778</v>
      </c>
      <c r="CH381">
        <v>103.75228</v>
      </c>
    </row>
    <row r="382" spans="1:86" ht="15.5" x14ac:dyDescent="0.35">
      <c r="A382" t="s">
        <v>101</v>
      </c>
      <c r="B382">
        <v>2020</v>
      </c>
      <c r="C382" s="2">
        <v>57.903100000000002</v>
      </c>
      <c r="D382">
        <v>15734.68</v>
      </c>
      <c r="E382">
        <v>0.111</v>
      </c>
      <c r="F382">
        <v>3.8006000000000002</v>
      </c>
      <c r="G382">
        <v>11600</v>
      </c>
      <c r="H382">
        <v>11</v>
      </c>
      <c r="I382" s="19">
        <v>108.61799999999999</v>
      </c>
      <c r="J382" s="19">
        <v>107.95</v>
      </c>
      <c r="K382" s="19">
        <v>2.9140000000000001</v>
      </c>
      <c r="L382" s="19">
        <v>74.761899999999997</v>
      </c>
      <c r="M382" s="19">
        <v>1012999999.9999999</v>
      </c>
      <c r="N382" s="19">
        <v>132.96459999999999</v>
      </c>
      <c r="O382">
        <v>52.203000000000003</v>
      </c>
      <c r="P382">
        <v>25.804200000000002</v>
      </c>
      <c r="Q382" s="19">
        <v>17483.696</v>
      </c>
      <c r="R382" s="19">
        <v>14900.729499999999</v>
      </c>
      <c r="S382" s="19">
        <v>-2.79</v>
      </c>
      <c r="T382" s="19">
        <v>34226.008699999998</v>
      </c>
      <c r="U382" s="19">
        <v>32741.4208</v>
      </c>
      <c r="V382">
        <v>35.700000000000003</v>
      </c>
      <c r="W382" s="19">
        <v>76.1905</v>
      </c>
      <c r="X382">
        <v>99</v>
      </c>
      <c r="Y382">
        <v>99</v>
      </c>
      <c r="Z382">
        <v>99</v>
      </c>
      <c r="AA382">
        <v>3.2</v>
      </c>
      <c r="AB382">
        <v>88.9</v>
      </c>
      <c r="AC382">
        <v>75.185400000000001</v>
      </c>
      <c r="AD382">
        <v>98.348399999999998</v>
      </c>
      <c r="AE382">
        <v>21</v>
      </c>
      <c r="AF382">
        <v>83.7577</v>
      </c>
      <c r="AH382">
        <v>1.02</v>
      </c>
      <c r="AI382">
        <v>3.7</v>
      </c>
      <c r="AJ382">
        <v>3.4</v>
      </c>
      <c r="AK382">
        <v>4</v>
      </c>
      <c r="AL382">
        <v>60.503900000000002</v>
      </c>
      <c r="AM382">
        <v>2</v>
      </c>
      <c r="AN382">
        <v>-3147</v>
      </c>
      <c r="AO382">
        <v>0</v>
      </c>
      <c r="AP382">
        <v>98.790300000000002</v>
      </c>
      <c r="AQ382">
        <v>92.424400000000006</v>
      </c>
      <c r="AR382">
        <v>96.54</v>
      </c>
      <c r="AU382">
        <v>11.602</v>
      </c>
      <c r="AV382" s="19">
        <v>60.8491</v>
      </c>
      <c r="AW382">
        <v>0.5</v>
      </c>
      <c r="AX382">
        <v>23.4</v>
      </c>
      <c r="AY382">
        <v>6</v>
      </c>
      <c r="AZ382">
        <v>6</v>
      </c>
      <c r="BA382">
        <v>84.676599999999993</v>
      </c>
      <c r="BB382">
        <v>30</v>
      </c>
      <c r="BC382">
        <v>4.6218000000000004</v>
      </c>
      <c r="BD382" s="19">
        <v>-3.4689999999999999</v>
      </c>
      <c r="BE382" s="19">
        <v>84.285700000000006</v>
      </c>
      <c r="BF382">
        <v>63.758400000000002</v>
      </c>
      <c r="BG382">
        <v>43.8</v>
      </c>
      <c r="BH382" s="20">
        <v>0.73440000000000005</v>
      </c>
      <c r="BI382" s="20">
        <v>2134.0601000000001</v>
      </c>
      <c r="BJ382" s="19">
        <v>79.523799999999994</v>
      </c>
      <c r="BK382">
        <v>1.0013000000000001</v>
      </c>
      <c r="BL382">
        <v>1.0029999999999999</v>
      </c>
      <c r="BM382">
        <v>1.0044999999999999</v>
      </c>
      <c r="BN382">
        <v>6</v>
      </c>
      <c r="BO382">
        <v>8.5470000000000006</v>
      </c>
      <c r="BP382">
        <v>18.010000000000002</v>
      </c>
      <c r="BQ382" s="19">
        <v>103.8164</v>
      </c>
      <c r="BR382">
        <v>82.539000000000001</v>
      </c>
      <c r="BS382" s="20">
        <v>8.0980000000000008</v>
      </c>
      <c r="BT382" s="20">
        <v>8.0980000000000008</v>
      </c>
      <c r="BU382" s="20">
        <v>14.868</v>
      </c>
      <c r="BV382" s="20">
        <v>14.874000000000001</v>
      </c>
      <c r="BW382" s="19">
        <v>73.430000000000007</v>
      </c>
      <c r="BX382">
        <v>21.89</v>
      </c>
      <c r="BY382" s="5">
        <v>1462965</v>
      </c>
      <c r="BZ382" s="6">
        <v>2889342</v>
      </c>
      <c r="CA382" s="7">
        <f t="shared" si="25"/>
        <v>1.9749905158359906</v>
      </c>
      <c r="CB382">
        <v>1900449</v>
      </c>
      <c r="CC382" s="8">
        <f t="shared" si="26"/>
        <v>1.5203470337799121</v>
      </c>
      <c r="CD382" s="8">
        <f t="shared" si="27"/>
        <v>0.7697996631322388</v>
      </c>
      <c r="CE382">
        <v>64585</v>
      </c>
      <c r="CF382" s="8">
        <f t="shared" si="28"/>
        <v>22.651776728342494</v>
      </c>
      <c r="CG382" s="8">
        <f t="shared" si="29"/>
        <v>44.737044205310831</v>
      </c>
      <c r="CH382">
        <v>103.40882000000001</v>
      </c>
    </row>
    <row r="383" spans="1:86" ht="15.5" x14ac:dyDescent="0.35">
      <c r="A383" t="s">
        <v>101</v>
      </c>
      <c r="B383">
        <v>2021</v>
      </c>
      <c r="C383" s="2">
        <v>58.353700000000003</v>
      </c>
      <c r="D383">
        <v>15639.58</v>
      </c>
      <c r="E383">
        <v>0.10680000000000001</v>
      </c>
      <c r="F383">
        <v>3.9411999999999998</v>
      </c>
      <c r="G383">
        <v>11600</v>
      </c>
      <c r="H383">
        <v>11</v>
      </c>
      <c r="I383" s="19">
        <v>112.136</v>
      </c>
      <c r="J383" s="19">
        <v>116.46</v>
      </c>
      <c r="K383" s="19">
        <v>6.2510000000000003</v>
      </c>
      <c r="L383" s="19">
        <v>76.1905</v>
      </c>
      <c r="M383" s="19">
        <v>-1554000000</v>
      </c>
      <c r="N383" s="19">
        <v>169.47540000000001</v>
      </c>
      <c r="O383">
        <v>42.822000000000003</v>
      </c>
      <c r="P383">
        <v>25.976199999999999</v>
      </c>
      <c r="Q383" s="19">
        <v>20181.833999999999</v>
      </c>
      <c r="R383" s="19">
        <v>16070.8729</v>
      </c>
      <c r="S383" s="19">
        <v>7.8529</v>
      </c>
      <c r="T383" s="19">
        <v>36913.752099999998</v>
      </c>
      <c r="U383" s="19">
        <v>36913.752099999998</v>
      </c>
      <c r="V383">
        <v>34.299999999999997</v>
      </c>
      <c r="W383" s="19">
        <v>76.666700000000006</v>
      </c>
      <c r="X383">
        <v>94</v>
      </c>
      <c r="Y383">
        <v>94</v>
      </c>
      <c r="Z383">
        <v>97</v>
      </c>
      <c r="AA383">
        <v>2.9</v>
      </c>
      <c r="AB383">
        <v>91.2</v>
      </c>
      <c r="AC383">
        <v>72.980500000000006</v>
      </c>
      <c r="AD383">
        <v>96.995400000000004</v>
      </c>
      <c r="AE383">
        <v>42</v>
      </c>
      <c r="AH383">
        <v>0.8</v>
      </c>
      <c r="AI383">
        <v>3.5</v>
      </c>
      <c r="AJ383">
        <v>3.2</v>
      </c>
      <c r="AK383">
        <v>3.7</v>
      </c>
      <c r="AL383">
        <v>61.048200000000001</v>
      </c>
      <c r="AM383">
        <v>1.8</v>
      </c>
      <c r="AN383">
        <v>-280</v>
      </c>
      <c r="AO383">
        <v>0</v>
      </c>
      <c r="AP383">
        <v>98.841999999999999</v>
      </c>
      <c r="AQ383">
        <v>92.437200000000004</v>
      </c>
      <c r="AR383">
        <v>96.825699999999998</v>
      </c>
      <c r="AV383" s="19">
        <v>67.924499999999995</v>
      </c>
      <c r="AW383">
        <v>0.4</v>
      </c>
      <c r="AX383">
        <v>22.5</v>
      </c>
      <c r="AY383">
        <v>6</v>
      </c>
      <c r="AZ383">
        <v>6</v>
      </c>
      <c r="BA383">
        <v>85.243399999999994</v>
      </c>
      <c r="BB383">
        <v>29</v>
      </c>
      <c r="BC383">
        <v>6.3159000000000001</v>
      </c>
      <c r="BD383" s="19">
        <v>6.9429999999999996</v>
      </c>
      <c r="BE383" s="19">
        <v>85.238100000000003</v>
      </c>
      <c r="BF383">
        <v>63.5961</v>
      </c>
      <c r="BG383">
        <v>44</v>
      </c>
      <c r="BH383" s="20">
        <v>0.74619999999999997</v>
      </c>
      <c r="BI383" s="20">
        <v>2395.2734</v>
      </c>
      <c r="BJ383" s="19">
        <v>81.904799999999994</v>
      </c>
      <c r="BN383">
        <v>6</v>
      </c>
      <c r="BO383">
        <v>8.6869999999999994</v>
      </c>
      <c r="BP383">
        <v>15.21</v>
      </c>
      <c r="BQ383" s="19">
        <v>104.6708</v>
      </c>
      <c r="BS383" s="20">
        <v>7.5129999999999999</v>
      </c>
      <c r="BT383" s="20">
        <v>7.5129999999999999</v>
      </c>
      <c r="BU383" s="20">
        <v>14.785</v>
      </c>
      <c r="BV383" s="20">
        <v>14.791</v>
      </c>
      <c r="BW383" s="19">
        <v>74.879199999999997</v>
      </c>
      <c r="BX383">
        <v>26.05</v>
      </c>
      <c r="BY383" s="5">
        <v>1306588</v>
      </c>
      <c r="BZ383" s="6">
        <v>2379777</v>
      </c>
      <c r="CA383" s="7">
        <f t="shared" si="25"/>
        <v>1.8213675619246465</v>
      </c>
      <c r="CB383">
        <v>1884490</v>
      </c>
      <c r="CC383" s="8">
        <f t="shared" si="26"/>
        <v>1.2628228327027471</v>
      </c>
      <c r="CD383" s="8">
        <f t="shared" si="27"/>
        <v>0.69333772001974003</v>
      </c>
      <c r="CE383">
        <v>64585</v>
      </c>
      <c r="CF383" s="8">
        <f t="shared" si="28"/>
        <v>20.230517922118139</v>
      </c>
      <c r="CG383" s="8">
        <f t="shared" si="29"/>
        <v>36.847209104281177</v>
      </c>
      <c r="CH383">
        <v>103.40954000000001</v>
      </c>
    </row>
    <row r="384" spans="1:86" ht="15.5" x14ac:dyDescent="0.35">
      <c r="A384" t="s">
        <v>101</v>
      </c>
      <c r="B384">
        <v>2022</v>
      </c>
      <c r="C384" s="2">
        <v>58.573500000000003</v>
      </c>
      <c r="E384">
        <v>9.4E-2</v>
      </c>
      <c r="F384">
        <v>3.5426000000000002</v>
      </c>
      <c r="H384">
        <v>11</v>
      </c>
      <c r="I384" s="19">
        <v>131.47300000000001</v>
      </c>
      <c r="J384" s="19">
        <v>140.57</v>
      </c>
      <c r="K384" s="19">
        <v>8.7970000000000006</v>
      </c>
      <c r="L384" s="19">
        <v>75.471699999999998</v>
      </c>
      <c r="M384" s="19">
        <v>-2080000000</v>
      </c>
      <c r="N384" s="19"/>
      <c r="O384">
        <v>44.494999999999997</v>
      </c>
      <c r="P384">
        <v>25.974799999999998</v>
      </c>
      <c r="Q384" s="19">
        <v>20282.275000000001</v>
      </c>
      <c r="R384" s="19">
        <v>16406.649099999999</v>
      </c>
      <c r="S384" s="19">
        <v>2.0893000000000002</v>
      </c>
      <c r="T384" s="19">
        <v>37685.008199999997</v>
      </c>
      <c r="U384" s="19">
        <v>39965.251100000001</v>
      </c>
      <c r="W384" s="19">
        <v>75</v>
      </c>
      <c r="X384">
        <v>95</v>
      </c>
      <c r="Y384">
        <v>95</v>
      </c>
      <c r="Z384">
        <v>96</v>
      </c>
      <c r="AA384">
        <v>2.7</v>
      </c>
      <c r="AB384">
        <v>91</v>
      </c>
      <c r="AC384">
        <v>74.278000000000006</v>
      </c>
      <c r="AD384">
        <v>95.342399999999998</v>
      </c>
      <c r="AE384">
        <v>29</v>
      </c>
      <c r="AI384">
        <v>3.2</v>
      </c>
      <c r="AJ384">
        <v>2.9</v>
      </c>
      <c r="AK384">
        <v>3.5</v>
      </c>
      <c r="AL384">
        <v>60.831699999999998</v>
      </c>
      <c r="AM384">
        <v>1.6</v>
      </c>
      <c r="AN384">
        <v>22027</v>
      </c>
      <c r="AP384">
        <v>98.893500000000003</v>
      </c>
      <c r="AR384">
        <v>97.1113</v>
      </c>
      <c r="AV384" s="19">
        <v>60.8491</v>
      </c>
      <c r="AX384">
        <v>22.5</v>
      </c>
      <c r="AY384">
        <v>6</v>
      </c>
      <c r="AZ384">
        <v>6</v>
      </c>
      <c r="BB384">
        <v>30</v>
      </c>
      <c r="BC384">
        <v>4.9333999999999998</v>
      </c>
      <c r="BD384" s="19">
        <v>1.8069999999999999</v>
      </c>
      <c r="BE384" s="19">
        <v>84.905699999999996</v>
      </c>
      <c r="BG384" s="23">
        <v>43.72</v>
      </c>
      <c r="BH384" s="20">
        <v>0.76380000000000003</v>
      </c>
      <c r="BI384" s="20">
        <v>2270.0792999999999</v>
      </c>
      <c r="BJ384" s="19">
        <v>79.716999999999999</v>
      </c>
      <c r="BN384">
        <v>6</v>
      </c>
      <c r="BO384">
        <v>7.7670000000000003</v>
      </c>
      <c r="BQ384" s="19"/>
      <c r="BS384" s="20">
        <v>6.8150000000000004</v>
      </c>
      <c r="BT384" s="20">
        <v>6.8150000000000004</v>
      </c>
      <c r="BU384" s="20">
        <v>15.27</v>
      </c>
      <c r="BV384" s="20">
        <v>15.275</v>
      </c>
      <c r="BW384" s="19">
        <v>76.328500000000005</v>
      </c>
      <c r="BX384">
        <v>28.75</v>
      </c>
      <c r="BY384" s="5">
        <v>2172069</v>
      </c>
      <c r="BZ384" s="6">
        <v>3882922</v>
      </c>
      <c r="CA384" s="7">
        <f t="shared" si="25"/>
        <v>1.7876605209134702</v>
      </c>
      <c r="CB384">
        <v>1879383</v>
      </c>
      <c r="CC384" s="8">
        <f t="shared" si="26"/>
        <v>2.0660621065530549</v>
      </c>
      <c r="CD384" s="8">
        <f t="shared" si="27"/>
        <v>1.1557351535051663</v>
      </c>
      <c r="CE384">
        <v>64585</v>
      </c>
      <c r="CF384" s="8">
        <f t="shared" si="28"/>
        <v>33.631168227916696</v>
      </c>
      <c r="CG384" s="8">
        <f t="shared" si="29"/>
        <v>60.121111713246108</v>
      </c>
      <c r="CH384">
        <v>110.32494</v>
      </c>
    </row>
    <row r="385" spans="1:86" ht="15.5" x14ac:dyDescent="0.35">
      <c r="A385" t="s">
        <v>101</v>
      </c>
      <c r="B385">
        <v>2023</v>
      </c>
      <c r="C385" s="26">
        <v>58.790999999999997</v>
      </c>
      <c r="E385">
        <v>9.0899999999999995E-2</v>
      </c>
      <c r="F385">
        <v>3.4893999999999998</v>
      </c>
      <c r="H385">
        <v>11</v>
      </c>
      <c r="I385" s="19">
        <v>143.38200000000001</v>
      </c>
      <c r="J385" s="19">
        <v>141.77000000000001</v>
      </c>
      <c r="K385" s="19">
        <v>6.0270000000000001</v>
      </c>
      <c r="L385" s="19">
        <v>74.528300000000002</v>
      </c>
      <c r="M385" s="19">
        <v>-1661000000</v>
      </c>
      <c r="N385" s="19"/>
      <c r="P385">
        <v>25.9925</v>
      </c>
      <c r="Q385" s="19">
        <v>22615.109</v>
      </c>
      <c r="R385" s="19">
        <v>16703.901900000001</v>
      </c>
      <c r="S385" s="19">
        <v>1.8118000000000001</v>
      </c>
      <c r="T385" s="19">
        <v>38367.778599999998</v>
      </c>
      <c r="U385" s="19">
        <v>41491.510699999999</v>
      </c>
      <c r="W385" s="19">
        <v>74.056600000000003</v>
      </c>
      <c r="X385">
        <v>98</v>
      </c>
      <c r="Y385">
        <v>97</v>
      </c>
      <c r="Z385">
        <v>96</v>
      </c>
      <c r="AA385">
        <v>2.5</v>
      </c>
      <c r="AB385">
        <v>92.2</v>
      </c>
      <c r="AC385">
        <v>75.677999999999997</v>
      </c>
      <c r="AE385">
        <v>19</v>
      </c>
      <c r="AI385">
        <v>3</v>
      </c>
      <c r="AJ385">
        <v>2.7</v>
      </c>
      <c r="AK385">
        <v>3.2</v>
      </c>
      <c r="AL385" s="24">
        <v>60.831699999999998</v>
      </c>
      <c r="AM385">
        <v>1.5</v>
      </c>
      <c r="AN385">
        <v>7966</v>
      </c>
      <c r="AV385" s="19">
        <v>66.824600000000004</v>
      </c>
      <c r="AY385" s="25">
        <v>6</v>
      </c>
      <c r="AZ385">
        <v>6</v>
      </c>
      <c r="BB385">
        <v>32</v>
      </c>
      <c r="BD385" s="19">
        <v>2.8540000000000001</v>
      </c>
      <c r="BE385" s="19">
        <v>86.320800000000006</v>
      </c>
      <c r="BG385" s="23">
        <v>43.222999999999999</v>
      </c>
      <c r="BH385" s="20"/>
      <c r="BI385" s="20"/>
      <c r="BJ385" s="19">
        <v>83.018900000000002</v>
      </c>
      <c r="BN385">
        <v>6</v>
      </c>
      <c r="BO385">
        <v>7.165</v>
      </c>
      <c r="BQ385" s="19"/>
      <c r="BS385" s="20">
        <v>6.4649999999999999</v>
      </c>
      <c r="BT385" s="20">
        <v>6.4649999999999999</v>
      </c>
      <c r="BU385" s="20">
        <v>12.323</v>
      </c>
      <c r="BV385" s="20">
        <v>12.323</v>
      </c>
      <c r="BW385" s="19">
        <v>78.431399999999996</v>
      </c>
      <c r="BX385">
        <v>25.77</v>
      </c>
      <c r="BY385" s="5">
        <v>2435795</v>
      </c>
      <c r="BZ385" s="6">
        <v>4370854</v>
      </c>
      <c r="CA385" s="7">
        <f t="shared" si="25"/>
        <v>1.7944260498112525</v>
      </c>
      <c r="CB385">
        <v>1877445</v>
      </c>
      <c r="CC385" s="8">
        <f t="shared" si="26"/>
        <v>2.3280863087866757</v>
      </c>
      <c r="CD385" s="8">
        <f t="shared" si="27"/>
        <v>1.2973988585551108</v>
      </c>
      <c r="CE385">
        <v>64585</v>
      </c>
      <c r="CF385" s="8">
        <f t="shared" si="28"/>
        <v>37.714562204846324</v>
      </c>
      <c r="CG385" s="8">
        <f t="shared" si="29"/>
        <v>67.675992877603164</v>
      </c>
      <c r="CH385">
        <v>113.44589999999999</v>
      </c>
    </row>
    <row r="386" spans="1:86" ht="15.5" x14ac:dyDescent="0.35">
      <c r="A386" t="s">
        <v>102</v>
      </c>
      <c r="B386">
        <v>2000</v>
      </c>
      <c r="C386" s="2">
        <v>51.045200000000001</v>
      </c>
      <c r="D386">
        <v>23816.7</v>
      </c>
      <c r="E386">
        <v>0.2112</v>
      </c>
      <c r="F386">
        <v>3.3307000000000002</v>
      </c>
      <c r="G386">
        <v>19300</v>
      </c>
      <c r="H386">
        <v>10</v>
      </c>
      <c r="I386" s="19">
        <v>68.677999999999997</v>
      </c>
      <c r="J386" s="19">
        <v>68.98</v>
      </c>
      <c r="K386" s="19">
        <v>4.9669999999999996</v>
      </c>
      <c r="L386" s="19">
        <v>67.021299999999997</v>
      </c>
      <c r="M386" s="19">
        <v>-675000000</v>
      </c>
      <c r="N386" s="19">
        <v>15.001300000000001</v>
      </c>
      <c r="O386">
        <v>42.478999999999999</v>
      </c>
      <c r="Q386" s="19">
        <v>3297.87</v>
      </c>
      <c r="R386" s="19">
        <v>6384.3086000000003</v>
      </c>
      <c r="S386" s="19">
        <v>4.1486000000000001</v>
      </c>
      <c r="T386" s="19">
        <v>15771.4272</v>
      </c>
      <c r="U386" s="19">
        <v>8465.9433000000008</v>
      </c>
      <c r="W386" s="19">
        <v>59.562800000000003</v>
      </c>
      <c r="X386">
        <v>94</v>
      </c>
      <c r="Y386">
        <v>98</v>
      </c>
      <c r="Z386">
        <v>97</v>
      </c>
      <c r="AA386">
        <v>8.6</v>
      </c>
      <c r="AB386">
        <v>6.43</v>
      </c>
      <c r="AC386">
        <v>72.019499999999994</v>
      </c>
      <c r="AD386">
        <v>80.343400000000003</v>
      </c>
      <c r="AE386">
        <v>16</v>
      </c>
      <c r="AF386">
        <v>75.018600000000006</v>
      </c>
      <c r="AG386">
        <v>22.8</v>
      </c>
      <c r="AH386">
        <v>5.39</v>
      </c>
      <c r="AI386">
        <v>10.7</v>
      </c>
      <c r="AJ386">
        <v>9.6</v>
      </c>
      <c r="AK386">
        <v>11.8</v>
      </c>
      <c r="AL386">
        <v>52.8401</v>
      </c>
      <c r="AM386">
        <v>4.5</v>
      </c>
      <c r="AN386">
        <v>-16077</v>
      </c>
      <c r="AO386">
        <v>0</v>
      </c>
      <c r="AP386">
        <v>89.669600000000003</v>
      </c>
      <c r="AQ386">
        <v>84.639200000000002</v>
      </c>
      <c r="AR386">
        <v>68.382000000000005</v>
      </c>
      <c r="AS386">
        <v>63.2898</v>
      </c>
      <c r="AT386">
        <v>88.879199999999997</v>
      </c>
      <c r="AU386">
        <v>18.082999999999998</v>
      </c>
      <c r="AV386" s="19">
        <v>64.021199999999993</v>
      </c>
      <c r="AY386">
        <v>6</v>
      </c>
      <c r="AZ386">
        <v>4</v>
      </c>
      <c r="BA386">
        <v>80.431100000000001</v>
      </c>
      <c r="BB386">
        <v>10.638299999999999</v>
      </c>
      <c r="BC386">
        <v>4.1696</v>
      </c>
      <c r="BD386" s="19">
        <v>3.3610000000000002</v>
      </c>
      <c r="BE386" s="19">
        <v>73.369600000000005</v>
      </c>
      <c r="BF386">
        <v>5.6368</v>
      </c>
      <c r="BG386">
        <v>17.2</v>
      </c>
      <c r="BH386" s="20">
        <v>0.58550000000000002</v>
      </c>
      <c r="BI386" s="20">
        <v>2215.1154999999999</v>
      </c>
      <c r="BJ386" s="19">
        <v>58.706499999999998</v>
      </c>
      <c r="BK386">
        <v>0.99309999999999998</v>
      </c>
      <c r="BL386">
        <v>0.99270000000000003</v>
      </c>
      <c r="BM386">
        <v>0.99260000000000004</v>
      </c>
      <c r="BN386">
        <v>8</v>
      </c>
      <c r="BO386">
        <v>17.195</v>
      </c>
      <c r="BP386">
        <v>50.4</v>
      </c>
      <c r="BQ386" s="19">
        <v>99.199799999999996</v>
      </c>
      <c r="BR386">
        <v>57.693300000000001</v>
      </c>
      <c r="BS386" s="20">
        <v>15.930999999999999</v>
      </c>
      <c r="BT386" s="20">
        <v>15.930999999999999</v>
      </c>
      <c r="BU386" s="20">
        <v>28.535</v>
      </c>
      <c r="BV386" s="20">
        <v>28.556999999999999</v>
      </c>
      <c r="BW386" s="19">
        <v>73.631799999999998</v>
      </c>
      <c r="BX386">
        <v>37.51</v>
      </c>
      <c r="BY386" s="6">
        <v>517810</v>
      </c>
      <c r="BZ386" s="5">
        <v>1406018</v>
      </c>
      <c r="CA386" s="7">
        <f t="shared" si="25"/>
        <v>2.7153164288059326</v>
      </c>
      <c r="CB386">
        <v>3499536</v>
      </c>
      <c r="CC386" s="8">
        <f t="shared" si="26"/>
        <v>0.40177269215118805</v>
      </c>
      <c r="CD386" s="8">
        <f t="shared" si="27"/>
        <v>0.14796533026092601</v>
      </c>
      <c r="CE386">
        <v>65284</v>
      </c>
      <c r="CF386" s="8">
        <f t="shared" si="28"/>
        <v>7.9316524722749833</v>
      </c>
      <c r="CG386" s="8">
        <f t="shared" si="29"/>
        <v>21.536946265547453</v>
      </c>
      <c r="CH386">
        <v>85.624009999999998</v>
      </c>
    </row>
    <row r="387" spans="1:86" ht="15.5" x14ac:dyDescent="0.35">
      <c r="A387" t="s">
        <v>102</v>
      </c>
      <c r="B387">
        <v>2001</v>
      </c>
      <c r="C387" s="2">
        <v>50.533299999999997</v>
      </c>
      <c r="D387">
        <v>25140.68</v>
      </c>
      <c r="E387">
        <v>0.21079999999999999</v>
      </c>
      <c r="F387">
        <v>3.5699000000000001</v>
      </c>
      <c r="G387">
        <v>20100</v>
      </c>
      <c r="H387">
        <v>10</v>
      </c>
      <c r="I387" s="19">
        <v>69.742999999999995</v>
      </c>
      <c r="J387" s="19">
        <v>70.38</v>
      </c>
      <c r="K387" s="19">
        <v>3.9790000000000001</v>
      </c>
      <c r="L387" s="19"/>
      <c r="M387" s="19">
        <v>-574000000</v>
      </c>
      <c r="N387" s="19">
        <v>18.0487</v>
      </c>
      <c r="O387">
        <v>50.033999999999999</v>
      </c>
      <c r="P387">
        <v>6.9900000000000004E-2</v>
      </c>
      <c r="Q387" s="19">
        <v>3532.1660000000002</v>
      </c>
      <c r="R387" s="19">
        <v>6854.5250999999998</v>
      </c>
      <c r="S387" s="19">
        <v>7.3651999999999997</v>
      </c>
      <c r="T387" s="19">
        <v>16933.0226</v>
      </c>
      <c r="U387" s="19">
        <v>9456.8732999999993</v>
      </c>
      <c r="W387" s="19"/>
      <c r="X387">
        <v>95</v>
      </c>
      <c r="Y387">
        <v>95</v>
      </c>
      <c r="Z387">
        <v>97</v>
      </c>
      <c r="AA387">
        <v>8.1999999999999993</v>
      </c>
      <c r="AB387">
        <v>7.18</v>
      </c>
      <c r="AC387">
        <v>71.658500000000004</v>
      </c>
      <c r="AD387">
        <v>90.533100000000005</v>
      </c>
      <c r="AE387">
        <v>16</v>
      </c>
      <c r="AF387">
        <v>74.943799999999996</v>
      </c>
      <c r="AG387">
        <v>22</v>
      </c>
      <c r="AH387">
        <v>5.59</v>
      </c>
      <c r="AI387">
        <v>10.3</v>
      </c>
      <c r="AJ387">
        <v>9.1999999999999993</v>
      </c>
      <c r="AK387">
        <v>11.3</v>
      </c>
      <c r="AL387">
        <v>53.640799999999999</v>
      </c>
      <c r="AM387">
        <v>4.4000000000000004</v>
      </c>
      <c r="AN387">
        <v>-24733</v>
      </c>
      <c r="AO387">
        <v>0</v>
      </c>
      <c r="AP387">
        <v>90.116699999999994</v>
      </c>
      <c r="AQ387">
        <v>85.063900000000004</v>
      </c>
      <c r="AR387">
        <v>68.722999999999999</v>
      </c>
      <c r="AS387">
        <v>64.224699999999999</v>
      </c>
      <c r="AT387">
        <v>89.010499999999993</v>
      </c>
      <c r="AU387">
        <v>17.3276</v>
      </c>
      <c r="AV387" s="19"/>
      <c r="AY387">
        <v>6</v>
      </c>
      <c r="AZ387">
        <v>4</v>
      </c>
      <c r="BA387">
        <v>80.811099999999996</v>
      </c>
      <c r="BB387">
        <v>10.638299999999999</v>
      </c>
      <c r="BC387">
        <v>4.2217000000000002</v>
      </c>
      <c r="BD387" s="19">
        <v>6.6349999999999998</v>
      </c>
      <c r="BE387" s="19"/>
      <c r="BF387">
        <v>4.7702999999999998</v>
      </c>
      <c r="BG387">
        <v>17.600000000000001</v>
      </c>
      <c r="BH387" s="20">
        <v>0.66759999999999997</v>
      </c>
      <c r="BI387" s="20">
        <v>2313.8027000000002</v>
      </c>
      <c r="BJ387" s="19"/>
      <c r="BK387">
        <v>0.98570000000000002</v>
      </c>
      <c r="BL387">
        <v>0.9909</v>
      </c>
      <c r="BM387">
        <v>0.99350000000000005</v>
      </c>
      <c r="BN387">
        <v>8</v>
      </c>
      <c r="BO387">
        <v>15.331</v>
      </c>
      <c r="BP387">
        <v>47.39</v>
      </c>
      <c r="BQ387" s="19">
        <v>98.114800000000002</v>
      </c>
      <c r="BR387">
        <v>54.1982</v>
      </c>
      <c r="BS387" s="20">
        <v>16.84</v>
      </c>
      <c r="BT387" s="20">
        <v>16.84</v>
      </c>
      <c r="BU387" s="20">
        <v>31.526</v>
      </c>
      <c r="BV387" s="20">
        <v>31.581</v>
      </c>
      <c r="BW387" s="19"/>
      <c r="BX387">
        <v>33.630000000000003</v>
      </c>
      <c r="BY387" s="6">
        <v>571942</v>
      </c>
      <c r="BZ387" s="5">
        <v>1503463</v>
      </c>
      <c r="CA387" s="7">
        <f t="shared" ref="CA387:CA450" si="30">BZ387/BY387</f>
        <v>2.6286983645194795</v>
      </c>
      <c r="CB387">
        <v>3470818</v>
      </c>
      <c r="CC387" s="8">
        <f t="shared" ref="CC387:CC450" si="31">BZ387/CB387</f>
        <v>0.43317252590023447</v>
      </c>
      <c r="CD387" s="8">
        <f t="shared" ref="CD387:CD450" si="32">BY387/CB387</f>
        <v>0.1647859380699305</v>
      </c>
      <c r="CE387">
        <v>65284</v>
      </c>
      <c r="CF387" s="8">
        <f t="shared" ref="CF387:CF450" si="33">BY387/CE387</f>
        <v>8.7608296060290431</v>
      </c>
      <c r="CG387" s="8">
        <f t="shared" ref="CG387:CG450" si="34">BZ387/CE387</f>
        <v>23.029578457202376</v>
      </c>
      <c r="CH387">
        <v>87.306880000000007</v>
      </c>
    </row>
    <row r="388" spans="1:86" ht="15.5" x14ac:dyDescent="0.35">
      <c r="A388" t="s">
        <v>102</v>
      </c>
      <c r="B388">
        <v>2002</v>
      </c>
      <c r="C388" s="2">
        <v>49.9788</v>
      </c>
      <c r="D388">
        <v>26256.98</v>
      </c>
      <c r="E388">
        <v>0.1988</v>
      </c>
      <c r="F388">
        <v>3.6217000000000001</v>
      </c>
      <c r="G388">
        <v>20500</v>
      </c>
      <c r="H388">
        <v>10</v>
      </c>
      <c r="I388" s="19">
        <v>69.977000000000004</v>
      </c>
      <c r="J388" s="19">
        <v>69.75</v>
      </c>
      <c r="K388" s="19">
        <v>4.1139999999999999</v>
      </c>
      <c r="L388" s="19">
        <v>61.904800000000002</v>
      </c>
      <c r="M388" s="19">
        <v>-734000000</v>
      </c>
      <c r="N388" s="19">
        <v>21.561499999999999</v>
      </c>
      <c r="O388">
        <v>48.448</v>
      </c>
      <c r="P388">
        <v>0.58069999999999999</v>
      </c>
      <c r="Q388" s="19">
        <v>4148.2340000000004</v>
      </c>
      <c r="R388" s="19">
        <v>7374.0977999999996</v>
      </c>
      <c r="S388" s="19">
        <v>7.58</v>
      </c>
      <c r="T388" s="19">
        <v>18216.544999999998</v>
      </c>
      <c r="U388" s="19">
        <v>10497.266600000001</v>
      </c>
      <c r="W388" s="19">
        <v>67.567599999999999</v>
      </c>
      <c r="X388">
        <v>95</v>
      </c>
      <c r="Y388">
        <v>94</v>
      </c>
      <c r="Z388">
        <v>98</v>
      </c>
      <c r="AA388">
        <v>7.9</v>
      </c>
      <c r="AB388">
        <v>17.7</v>
      </c>
      <c r="AC388">
        <v>71.760999999999996</v>
      </c>
      <c r="AD388">
        <v>96.349599999999995</v>
      </c>
      <c r="AE388">
        <v>14</v>
      </c>
      <c r="AF388">
        <v>75.357500000000002</v>
      </c>
      <c r="AG388">
        <v>22.7</v>
      </c>
      <c r="AH388">
        <v>5.3</v>
      </c>
      <c r="AI388">
        <v>9.9</v>
      </c>
      <c r="AJ388">
        <v>8.9</v>
      </c>
      <c r="AK388">
        <v>10.9</v>
      </c>
      <c r="AL388">
        <v>54.526600000000002</v>
      </c>
      <c r="AM388">
        <v>4.3</v>
      </c>
      <c r="AN388">
        <v>-12627</v>
      </c>
      <c r="AO388">
        <v>0</v>
      </c>
      <c r="AP388">
        <v>90.560299999999998</v>
      </c>
      <c r="AQ388">
        <v>85.483599999999996</v>
      </c>
      <c r="AR388">
        <v>69.061199999999999</v>
      </c>
      <c r="AS388">
        <v>65.159599999999998</v>
      </c>
      <c r="AT388">
        <v>89.1417</v>
      </c>
      <c r="AU388">
        <v>16.429500000000001</v>
      </c>
      <c r="AV388" s="19">
        <v>77.248699999999999</v>
      </c>
      <c r="AY388">
        <v>6</v>
      </c>
      <c r="AZ388">
        <v>4</v>
      </c>
      <c r="BA388">
        <v>81.186300000000003</v>
      </c>
      <c r="BB388">
        <v>10.638299999999999</v>
      </c>
      <c r="BC388">
        <v>4.4740000000000002</v>
      </c>
      <c r="BD388" s="19">
        <v>6.5309999999999997</v>
      </c>
      <c r="BE388" s="19">
        <v>81.621600000000001</v>
      </c>
      <c r="BF388">
        <v>4.4298000000000002</v>
      </c>
      <c r="BG388">
        <v>17.899999999999999</v>
      </c>
      <c r="BH388" s="20">
        <v>0.65749999999999997</v>
      </c>
      <c r="BI388" s="20">
        <v>1830.3964000000001</v>
      </c>
      <c r="BJ388" s="19">
        <v>63.184100000000001</v>
      </c>
      <c r="BK388">
        <v>0.98599999999999999</v>
      </c>
      <c r="BL388">
        <v>0.98299999999999998</v>
      </c>
      <c r="BM388">
        <v>0.98170000000000002</v>
      </c>
      <c r="BN388">
        <v>8</v>
      </c>
      <c r="BO388">
        <v>11.146000000000001</v>
      </c>
      <c r="BP388">
        <v>47.58</v>
      </c>
      <c r="BQ388" s="19">
        <v>98.472300000000004</v>
      </c>
      <c r="BR388">
        <v>67.737499999999997</v>
      </c>
      <c r="BS388" s="20">
        <v>13.007999999999999</v>
      </c>
      <c r="BT388" s="20">
        <v>13.007999999999999</v>
      </c>
      <c r="BU388" s="20">
        <v>20.422000000000001</v>
      </c>
      <c r="BV388" s="20">
        <v>20.445</v>
      </c>
      <c r="BW388" s="19">
        <v>73.134299999999996</v>
      </c>
      <c r="BX388">
        <v>33.659999999999997</v>
      </c>
      <c r="BY388" s="6">
        <v>635330</v>
      </c>
      <c r="BZ388" s="5">
        <v>1656063</v>
      </c>
      <c r="CA388" s="7">
        <f t="shared" si="30"/>
        <v>2.6066186076527158</v>
      </c>
      <c r="CB388">
        <v>3443067</v>
      </c>
      <c r="CC388" s="8">
        <f t="shared" si="31"/>
        <v>0.48098483125655123</v>
      </c>
      <c r="CD388" s="8">
        <f t="shared" si="32"/>
        <v>0.1845244370789183</v>
      </c>
      <c r="CE388">
        <v>65284</v>
      </c>
      <c r="CF388" s="8">
        <f t="shared" si="33"/>
        <v>9.7317872679370137</v>
      </c>
      <c r="CG388" s="8">
        <f t="shared" si="34"/>
        <v>25.367057778322408</v>
      </c>
      <c r="CH388">
        <v>89.110879999999995</v>
      </c>
    </row>
    <row r="389" spans="1:86" ht="15.5" x14ac:dyDescent="0.35">
      <c r="A389" t="s">
        <v>102</v>
      </c>
      <c r="B389">
        <v>2003</v>
      </c>
      <c r="C389" s="2">
        <v>49.472999999999999</v>
      </c>
      <c r="D389">
        <v>28063.25</v>
      </c>
      <c r="E389">
        <v>0.1802</v>
      </c>
      <c r="F389">
        <v>3.6576</v>
      </c>
      <c r="G389">
        <v>20700</v>
      </c>
      <c r="H389">
        <v>10</v>
      </c>
      <c r="I389" s="19">
        <v>69.222999999999999</v>
      </c>
      <c r="J389" s="19">
        <v>68.84</v>
      </c>
      <c r="K389" s="19">
        <v>3.5779999999999998</v>
      </c>
      <c r="L389" s="19">
        <v>68.254000000000005</v>
      </c>
      <c r="M389" s="19">
        <v>-1278000000</v>
      </c>
      <c r="N389" s="19">
        <v>28.205200000000001</v>
      </c>
      <c r="O389">
        <v>41.494</v>
      </c>
      <c r="P389">
        <v>1.9556</v>
      </c>
      <c r="Q389" s="19">
        <v>5505.0569999999998</v>
      </c>
      <c r="R389" s="19">
        <v>8218.6931999999997</v>
      </c>
      <c r="S389" s="19">
        <v>11.4535</v>
      </c>
      <c r="T389" s="19">
        <v>20302.984899999999</v>
      </c>
      <c r="U389" s="19">
        <v>12085.956700000001</v>
      </c>
      <c r="W389" s="19">
        <v>74.5946</v>
      </c>
      <c r="X389">
        <v>94</v>
      </c>
      <c r="Y389">
        <v>95</v>
      </c>
      <c r="Z389">
        <v>98</v>
      </c>
      <c r="AA389">
        <v>7.7</v>
      </c>
      <c r="AB389">
        <v>25.9</v>
      </c>
      <c r="AC389">
        <v>72.061000000000007</v>
      </c>
      <c r="AD389">
        <v>96.525099999999995</v>
      </c>
      <c r="AE389">
        <v>14</v>
      </c>
      <c r="AF389">
        <v>75.224999999999994</v>
      </c>
      <c r="AG389">
        <v>23.5</v>
      </c>
      <c r="AH389">
        <v>6.24</v>
      </c>
      <c r="AI389">
        <v>9.6</v>
      </c>
      <c r="AJ389">
        <v>8.6</v>
      </c>
      <c r="AK389">
        <v>10.5</v>
      </c>
      <c r="AL389">
        <v>54.870100000000001</v>
      </c>
      <c r="AM389">
        <v>4.4000000000000004</v>
      </c>
      <c r="AN389">
        <v>-22701</v>
      </c>
      <c r="AO389">
        <v>0</v>
      </c>
      <c r="AP389">
        <v>91.005399999999995</v>
      </c>
      <c r="AQ389">
        <v>85.904899999999998</v>
      </c>
      <c r="AR389">
        <v>69.400700000000001</v>
      </c>
      <c r="AS389">
        <v>66.094399999999993</v>
      </c>
      <c r="AT389">
        <v>89.272900000000007</v>
      </c>
      <c r="AU389">
        <v>15.5426</v>
      </c>
      <c r="AV389" s="19">
        <v>83.919600000000003</v>
      </c>
      <c r="AY389">
        <v>6</v>
      </c>
      <c r="AZ389">
        <v>4</v>
      </c>
      <c r="BA389">
        <v>81.563100000000006</v>
      </c>
      <c r="BB389">
        <v>10.638299999999999</v>
      </c>
      <c r="BC389">
        <v>4.5972999999999997</v>
      </c>
      <c r="BD389" s="19">
        <v>10.532</v>
      </c>
      <c r="BE389" s="19">
        <v>79.459500000000006</v>
      </c>
      <c r="BF389">
        <v>5.0903</v>
      </c>
      <c r="BG389">
        <v>18.100000000000001</v>
      </c>
      <c r="BH389" s="20">
        <v>0.66410000000000002</v>
      </c>
      <c r="BI389" s="20">
        <v>1924.8145999999999</v>
      </c>
      <c r="BJ389" s="19">
        <v>64.676599999999993</v>
      </c>
      <c r="BK389">
        <v>0.98650000000000004</v>
      </c>
      <c r="BL389">
        <v>0.9788</v>
      </c>
      <c r="BM389">
        <v>0.97570000000000001</v>
      </c>
      <c r="BN389">
        <v>8</v>
      </c>
      <c r="BO389">
        <v>9.7789999999999999</v>
      </c>
      <c r="BP389">
        <v>45.7</v>
      </c>
      <c r="BQ389" s="19">
        <v>102.5598</v>
      </c>
      <c r="BR389">
        <v>62.944099999999999</v>
      </c>
      <c r="BS389" s="20">
        <v>12.874000000000001</v>
      </c>
      <c r="BT389" s="20">
        <v>12.875</v>
      </c>
      <c r="BU389" s="20">
        <v>26.931999999999999</v>
      </c>
      <c r="BV389" s="20">
        <v>26.922000000000001</v>
      </c>
      <c r="BW389" s="19">
        <v>74.129400000000004</v>
      </c>
      <c r="BX389">
        <v>33.659999999999997</v>
      </c>
      <c r="BY389" s="6">
        <v>716418</v>
      </c>
      <c r="BZ389" s="5">
        <v>1660032</v>
      </c>
      <c r="CA389" s="7">
        <f t="shared" si="30"/>
        <v>2.3171277103590362</v>
      </c>
      <c r="CB389">
        <v>3415213</v>
      </c>
      <c r="CC389" s="8">
        <f t="shared" si="31"/>
        <v>0.48606982931957687</v>
      </c>
      <c r="CD389" s="8">
        <f t="shared" si="32"/>
        <v>0.20977256762608951</v>
      </c>
      <c r="CE389">
        <v>65284</v>
      </c>
      <c r="CF389" s="8">
        <f t="shared" si="33"/>
        <v>10.973868022792722</v>
      </c>
      <c r="CG389" s="8">
        <f t="shared" si="34"/>
        <v>25.427853685435942</v>
      </c>
      <c r="CH389">
        <v>87.703649999999996</v>
      </c>
    </row>
    <row r="390" spans="1:86" ht="15.5" x14ac:dyDescent="0.35">
      <c r="A390" t="s">
        <v>102</v>
      </c>
      <c r="B390">
        <v>2004</v>
      </c>
      <c r="C390" s="2">
        <v>49.201799999999999</v>
      </c>
      <c r="D390">
        <v>29289.01</v>
      </c>
      <c r="E390">
        <v>0.1769</v>
      </c>
      <c r="F390">
        <v>3.8685999999999998</v>
      </c>
      <c r="G390">
        <v>21500</v>
      </c>
      <c r="H390">
        <v>10</v>
      </c>
      <c r="I390" s="19">
        <v>70.022999999999996</v>
      </c>
      <c r="J390" s="19">
        <v>70.8</v>
      </c>
      <c r="K390" s="19">
        <v>4.0730000000000004</v>
      </c>
      <c r="L390" s="19">
        <v>66.995099999999994</v>
      </c>
      <c r="M390" s="19">
        <v>-1724000000</v>
      </c>
      <c r="N390" s="19">
        <v>36.6312</v>
      </c>
      <c r="O390">
        <v>46.805</v>
      </c>
      <c r="P390">
        <v>3.8218000000000001</v>
      </c>
      <c r="Q390" s="19">
        <v>6724.7430000000004</v>
      </c>
      <c r="R390" s="19">
        <v>8851.9259999999995</v>
      </c>
      <c r="S390" s="19">
        <v>7.7047999999999996</v>
      </c>
      <c r="T390" s="19">
        <v>21867.286499999998</v>
      </c>
      <c r="U390" s="19">
        <v>13097.437599999999</v>
      </c>
      <c r="V390">
        <v>37</v>
      </c>
      <c r="W390" s="19">
        <v>75.124399999999994</v>
      </c>
      <c r="X390">
        <v>94</v>
      </c>
      <c r="Y390">
        <v>94</v>
      </c>
      <c r="Z390">
        <v>98</v>
      </c>
      <c r="AA390">
        <v>7.5</v>
      </c>
      <c r="AB390">
        <v>31.2</v>
      </c>
      <c r="AC390">
        <v>71.960999999999999</v>
      </c>
      <c r="AE390">
        <v>12</v>
      </c>
      <c r="AF390">
        <v>75.331500000000005</v>
      </c>
      <c r="AG390">
        <v>23.6</v>
      </c>
      <c r="AH390">
        <v>5.77</v>
      </c>
      <c r="AI390">
        <v>9.3000000000000007</v>
      </c>
      <c r="AJ390">
        <v>8.3000000000000007</v>
      </c>
      <c r="AK390">
        <v>10.199999999999999</v>
      </c>
      <c r="AL390">
        <v>55.072899999999997</v>
      </c>
      <c r="AM390">
        <v>4.3</v>
      </c>
      <c r="AN390">
        <v>-32312</v>
      </c>
      <c r="AO390">
        <v>0</v>
      </c>
      <c r="AP390">
        <v>91.451999999999998</v>
      </c>
      <c r="AQ390">
        <v>86.327799999999996</v>
      </c>
      <c r="AR390">
        <v>71.213700000000003</v>
      </c>
      <c r="AS390">
        <v>67.029300000000006</v>
      </c>
      <c r="AT390">
        <v>89.404200000000003</v>
      </c>
      <c r="AU390">
        <v>14.820499999999999</v>
      </c>
      <c r="AV390" s="19">
        <v>72.8155</v>
      </c>
      <c r="AW390">
        <v>2.7</v>
      </c>
      <c r="AX390">
        <v>20.5</v>
      </c>
      <c r="AY390">
        <v>6</v>
      </c>
      <c r="AZ390">
        <v>4</v>
      </c>
      <c r="BA390">
        <v>81.941299999999998</v>
      </c>
      <c r="BB390">
        <v>21.985800000000001</v>
      </c>
      <c r="BC390">
        <v>3.4517000000000002</v>
      </c>
      <c r="BD390" s="19">
        <v>6.3179999999999996</v>
      </c>
      <c r="BE390" s="19">
        <v>79.602000000000004</v>
      </c>
      <c r="BF390">
        <v>4.9288999999999996</v>
      </c>
      <c r="BG390">
        <v>18.100000000000001</v>
      </c>
      <c r="BH390" s="20">
        <v>0.75139999999999996</v>
      </c>
      <c r="BI390" s="20">
        <v>2164.4607000000001</v>
      </c>
      <c r="BJ390" s="19">
        <v>67.307699999999997</v>
      </c>
      <c r="BK390">
        <v>0.98960000000000004</v>
      </c>
      <c r="BL390">
        <v>0.99119999999999997</v>
      </c>
      <c r="BM390">
        <v>0.99180000000000001</v>
      </c>
      <c r="BN390">
        <v>8</v>
      </c>
      <c r="BO390">
        <v>9.8759999999999994</v>
      </c>
      <c r="BP390">
        <v>43.82</v>
      </c>
      <c r="BQ390" s="19">
        <v>103.84820000000001</v>
      </c>
      <c r="BR390">
        <v>70.908500000000004</v>
      </c>
      <c r="BS390" s="20">
        <v>10.683999999999999</v>
      </c>
      <c r="BT390" s="20">
        <v>10.683999999999999</v>
      </c>
      <c r="BU390" s="20">
        <v>20.251999999999999</v>
      </c>
      <c r="BV390" s="20">
        <v>20.262</v>
      </c>
      <c r="BW390" s="19">
        <v>77.884600000000006</v>
      </c>
      <c r="BX390">
        <v>33.32</v>
      </c>
      <c r="BY390" s="6">
        <v>956858</v>
      </c>
      <c r="BZ390" s="5">
        <v>2167879</v>
      </c>
      <c r="CA390" s="7">
        <f t="shared" si="30"/>
        <v>2.2656224852590459</v>
      </c>
      <c r="CB390">
        <v>3377075</v>
      </c>
      <c r="CC390" s="8">
        <f t="shared" si="31"/>
        <v>0.64193984439196639</v>
      </c>
      <c r="CD390" s="8">
        <f t="shared" si="32"/>
        <v>0.28333928029433758</v>
      </c>
      <c r="CE390">
        <v>65284</v>
      </c>
      <c r="CF390" s="8">
        <f t="shared" si="33"/>
        <v>14.656853133999142</v>
      </c>
      <c r="CG390" s="8">
        <f t="shared" si="34"/>
        <v>33.206896023527968</v>
      </c>
      <c r="CH390">
        <v>87.037859999999995</v>
      </c>
    </row>
    <row r="391" spans="1:86" ht="15.5" x14ac:dyDescent="0.35">
      <c r="A391" t="s">
        <v>102</v>
      </c>
      <c r="B391">
        <v>2005</v>
      </c>
      <c r="C391" s="2">
        <v>48.999299999999998</v>
      </c>
      <c r="D391">
        <v>30675.4</v>
      </c>
      <c r="E391">
        <v>0.1754</v>
      </c>
      <c r="F391">
        <v>4.2007000000000003</v>
      </c>
      <c r="G391">
        <v>22700</v>
      </c>
      <c r="H391">
        <v>10</v>
      </c>
      <c r="I391" s="19">
        <v>71.893000000000001</v>
      </c>
      <c r="J391" s="19">
        <v>72.92</v>
      </c>
      <c r="K391" s="19">
        <v>3.875</v>
      </c>
      <c r="L391" s="19">
        <v>64.390199999999993</v>
      </c>
      <c r="M391" s="19">
        <v>-1929000000</v>
      </c>
      <c r="N391" s="19">
        <v>46.496400000000001</v>
      </c>
      <c r="O391">
        <v>44.963000000000001</v>
      </c>
      <c r="P391">
        <v>7.0457999999999998</v>
      </c>
      <c r="Q391" s="19">
        <v>7861.04</v>
      </c>
      <c r="R391" s="19">
        <v>9692.8683999999994</v>
      </c>
      <c r="S391" s="19">
        <v>9.5000999999999998</v>
      </c>
      <c r="T391" s="19">
        <v>23944.7019</v>
      </c>
      <c r="U391" s="19">
        <v>14514.783299999999</v>
      </c>
      <c r="V391">
        <v>35.299999999999997</v>
      </c>
      <c r="W391" s="19">
        <v>74.019599999999997</v>
      </c>
      <c r="X391">
        <v>94</v>
      </c>
      <c r="Y391">
        <v>95</v>
      </c>
      <c r="Z391">
        <v>97</v>
      </c>
      <c r="AA391">
        <v>7.3</v>
      </c>
      <c r="AB391">
        <v>36.200000000000003</v>
      </c>
      <c r="AC391">
        <v>71.253699999999995</v>
      </c>
      <c r="AE391">
        <v>13</v>
      </c>
      <c r="AF391">
        <v>74.949600000000004</v>
      </c>
      <c r="AG391">
        <v>25.6</v>
      </c>
      <c r="AH391">
        <v>6.94</v>
      </c>
      <c r="AI391">
        <v>9</v>
      </c>
      <c r="AJ391">
        <v>8.1</v>
      </c>
      <c r="AK391">
        <v>9.9</v>
      </c>
      <c r="AL391">
        <v>56.098500000000001</v>
      </c>
      <c r="AM391">
        <v>4.2</v>
      </c>
      <c r="AN391">
        <v>-51357</v>
      </c>
      <c r="AO391">
        <v>0</v>
      </c>
      <c r="AP391">
        <v>91.913899999999998</v>
      </c>
      <c r="AQ391">
        <v>86.770700000000005</v>
      </c>
      <c r="AR391">
        <v>73.053299999999993</v>
      </c>
      <c r="AS391">
        <v>67.964100000000002</v>
      </c>
      <c r="AT391">
        <v>89.535399999999996</v>
      </c>
      <c r="AU391">
        <v>14.417199999999999</v>
      </c>
      <c r="AV391" s="19">
        <v>69.902900000000002</v>
      </c>
      <c r="AW391">
        <v>1.8</v>
      </c>
      <c r="AX391">
        <v>20</v>
      </c>
      <c r="AY391">
        <v>6</v>
      </c>
      <c r="AZ391">
        <v>4</v>
      </c>
      <c r="BA391">
        <v>82.338200000000001</v>
      </c>
      <c r="BB391">
        <v>21.985800000000001</v>
      </c>
      <c r="BC391">
        <v>3.4285999999999999</v>
      </c>
      <c r="BD391" s="19">
        <v>8.1850000000000005</v>
      </c>
      <c r="BE391" s="19">
        <v>77.450999999999993</v>
      </c>
      <c r="BF391">
        <v>5.6074000000000002</v>
      </c>
      <c r="BG391">
        <v>17.5</v>
      </c>
      <c r="BH391" s="20">
        <v>0.74819999999999998</v>
      </c>
      <c r="BI391" s="20">
        <v>2276.3984</v>
      </c>
      <c r="BJ391" s="19">
        <v>67.942599999999999</v>
      </c>
      <c r="BK391">
        <v>0.99199999999999999</v>
      </c>
      <c r="BL391">
        <v>0.99329999999999996</v>
      </c>
      <c r="BM391">
        <v>0.99380000000000002</v>
      </c>
      <c r="BN391">
        <v>8</v>
      </c>
      <c r="BO391">
        <v>8.77</v>
      </c>
      <c r="BP391">
        <v>43.21</v>
      </c>
      <c r="BQ391" s="19">
        <v>100.29689999999999</v>
      </c>
      <c r="BR391">
        <v>77.436000000000007</v>
      </c>
      <c r="BS391" s="20">
        <v>8.3249999999999993</v>
      </c>
      <c r="BT391" s="20">
        <v>8.3249999999999993</v>
      </c>
      <c r="BU391" s="20">
        <v>15.766</v>
      </c>
      <c r="BV391" s="20">
        <v>15.763999999999999</v>
      </c>
      <c r="BW391" s="19">
        <v>74.519199999999998</v>
      </c>
      <c r="BX391">
        <v>31.35</v>
      </c>
      <c r="BY391" s="6">
        <v>1152505</v>
      </c>
      <c r="BZ391" s="5">
        <v>2622957</v>
      </c>
      <c r="CA391" s="7">
        <f t="shared" si="30"/>
        <v>2.2758747250554228</v>
      </c>
      <c r="CB391">
        <v>3322528</v>
      </c>
      <c r="CC391" s="8">
        <f t="shared" si="31"/>
        <v>0.78944616870045936</v>
      </c>
      <c r="CD391" s="8">
        <f t="shared" si="32"/>
        <v>0.34687593302449221</v>
      </c>
      <c r="CE391">
        <v>65284</v>
      </c>
      <c r="CF391" s="8">
        <f t="shared" si="33"/>
        <v>17.653713007781384</v>
      </c>
      <c r="CG391" s="8">
        <f t="shared" si="34"/>
        <v>40.177639237791801</v>
      </c>
      <c r="CH391">
        <v>87.021619999999999</v>
      </c>
    </row>
    <row r="392" spans="1:86" ht="15.5" x14ac:dyDescent="0.35">
      <c r="A392" t="s">
        <v>102</v>
      </c>
      <c r="B392">
        <v>2006</v>
      </c>
      <c r="C392" s="2">
        <v>48.7239</v>
      </c>
      <c r="D392">
        <v>32010.94</v>
      </c>
      <c r="E392">
        <v>0.1661</v>
      </c>
      <c r="F392">
        <v>4.3403999999999998</v>
      </c>
      <c r="G392">
        <v>23000</v>
      </c>
      <c r="H392">
        <v>10</v>
      </c>
      <c r="I392" s="19">
        <v>74.593999999999994</v>
      </c>
      <c r="J392" s="19">
        <v>76.239999999999995</v>
      </c>
      <c r="K392" s="19">
        <v>3.7789999999999999</v>
      </c>
      <c r="L392" s="19">
        <v>59.5122</v>
      </c>
      <c r="M392" s="19">
        <v>-3207000000</v>
      </c>
      <c r="N392" s="19">
        <v>55.6922</v>
      </c>
      <c r="O392">
        <v>42.762999999999998</v>
      </c>
      <c r="P392">
        <v>11.276400000000001</v>
      </c>
      <c r="Q392" s="19">
        <v>9216.84</v>
      </c>
      <c r="R392" s="19">
        <v>10577.2142</v>
      </c>
      <c r="S392" s="19">
        <v>9.1236999999999995</v>
      </c>
      <c r="T392" s="19">
        <v>26129.338800000001</v>
      </c>
      <c r="U392" s="19">
        <v>16446.977800000001</v>
      </c>
      <c r="V392">
        <v>34.4</v>
      </c>
      <c r="W392" s="19">
        <v>73.658500000000004</v>
      </c>
      <c r="X392">
        <v>94</v>
      </c>
      <c r="Y392">
        <v>95</v>
      </c>
      <c r="Z392">
        <v>97</v>
      </c>
      <c r="AA392">
        <v>7</v>
      </c>
      <c r="AB392">
        <v>43.9</v>
      </c>
      <c r="AC392">
        <v>71.056100000000001</v>
      </c>
      <c r="AE392">
        <v>14</v>
      </c>
      <c r="AF392">
        <v>75.320599999999999</v>
      </c>
      <c r="AG392">
        <v>26.7</v>
      </c>
      <c r="AH392">
        <v>7.12</v>
      </c>
      <c r="AI392">
        <v>8.6</v>
      </c>
      <c r="AJ392">
        <v>7.8</v>
      </c>
      <c r="AK392">
        <v>9.4</v>
      </c>
      <c r="AL392">
        <v>58.101999999999997</v>
      </c>
      <c r="AM392">
        <v>4</v>
      </c>
      <c r="AN392">
        <v>-24730</v>
      </c>
      <c r="AO392">
        <v>0</v>
      </c>
      <c r="AP392">
        <v>92.389200000000002</v>
      </c>
      <c r="AQ392">
        <v>87.231999999999999</v>
      </c>
      <c r="AR392">
        <v>74.918700000000001</v>
      </c>
      <c r="AS392">
        <v>68.899000000000001</v>
      </c>
      <c r="AT392">
        <v>89.666700000000006</v>
      </c>
      <c r="AU392">
        <v>14.2766</v>
      </c>
      <c r="AV392" s="19">
        <v>74.879199999999997</v>
      </c>
      <c r="AW392">
        <v>1.5</v>
      </c>
      <c r="AX392">
        <v>19.100000000000001</v>
      </c>
      <c r="AY392">
        <v>6</v>
      </c>
      <c r="AZ392">
        <v>4</v>
      </c>
      <c r="BA392">
        <v>82.752300000000005</v>
      </c>
      <c r="BB392">
        <v>24.822700000000001</v>
      </c>
      <c r="BC392">
        <v>3.6484999999999999</v>
      </c>
      <c r="BD392" s="19">
        <v>7.3010000000000002</v>
      </c>
      <c r="BE392" s="19">
        <v>78.431399999999996</v>
      </c>
      <c r="BF392">
        <v>6.7297000000000002</v>
      </c>
      <c r="BG392">
        <v>17.5</v>
      </c>
      <c r="BH392" s="20">
        <v>0.79200000000000004</v>
      </c>
      <c r="BI392" s="20">
        <v>2425.7788</v>
      </c>
      <c r="BJ392" s="19">
        <v>69.378</v>
      </c>
      <c r="BK392">
        <v>0.99339999999999995</v>
      </c>
      <c r="BL392">
        <v>0.99380000000000002</v>
      </c>
      <c r="BM392">
        <v>0.99370000000000003</v>
      </c>
      <c r="BN392">
        <v>8</v>
      </c>
      <c r="BO392">
        <v>8.3160000000000007</v>
      </c>
      <c r="BP392">
        <v>35.4</v>
      </c>
      <c r="BQ392" s="19">
        <v>97.727999999999994</v>
      </c>
      <c r="BR392">
        <v>85.186599999999999</v>
      </c>
      <c r="BS392" s="20">
        <v>5.78</v>
      </c>
      <c r="BT392" s="20">
        <v>5.78</v>
      </c>
      <c r="BU392" s="20">
        <v>9.984</v>
      </c>
      <c r="BV392" s="20">
        <v>9.9849999999999994</v>
      </c>
      <c r="BW392" s="19">
        <v>74.519199999999998</v>
      </c>
      <c r="BX392">
        <v>30.72</v>
      </c>
      <c r="BY392" s="6">
        <v>1340927</v>
      </c>
      <c r="BZ392" s="5">
        <v>2935729</v>
      </c>
      <c r="CA392" s="7">
        <f t="shared" si="30"/>
        <v>2.1893279798229135</v>
      </c>
      <c r="CB392">
        <v>3269909</v>
      </c>
      <c r="CC392" s="8">
        <f t="shared" si="31"/>
        <v>0.89780143728770434</v>
      </c>
      <c r="CD392" s="8">
        <f t="shared" si="32"/>
        <v>0.41008083099560261</v>
      </c>
      <c r="CE392">
        <v>65284</v>
      </c>
      <c r="CF392" s="8">
        <f t="shared" si="33"/>
        <v>20.539902579498804</v>
      </c>
      <c r="CG392" s="8">
        <f t="shared" si="34"/>
        <v>44.968583420133569</v>
      </c>
      <c r="CH392">
        <v>87.978139999999996</v>
      </c>
    </row>
    <row r="393" spans="1:86" ht="15.5" x14ac:dyDescent="0.35">
      <c r="A393" t="s">
        <v>102</v>
      </c>
      <c r="B393">
        <v>2007</v>
      </c>
      <c r="C393" s="2">
        <v>48.319400000000002</v>
      </c>
      <c r="D393">
        <v>34875.82</v>
      </c>
      <c r="E393">
        <v>0.16400000000000001</v>
      </c>
      <c r="F393">
        <v>4.8170999999999999</v>
      </c>
      <c r="G393">
        <v>25200</v>
      </c>
      <c r="H393">
        <v>10</v>
      </c>
      <c r="I393" s="19">
        <v>78.933999999999997</v>
      </c>
      <c r="J393" s="19">
        <v>82.49</v>
      </c>
      <c r="K393" s="19">
        <v>5.1950000000000003</v>
      </c>
      <c r="L393" s="19">
        <v>58.737900000000003</v>
      </c>
      <c r="M393" s="19">
        <v>-6096000000</v>
      </c>
      <c r="N393" s="19">
        <v>67.516499999999994</v>
      </c>
      <c r="O393">
        <v>40.283000000000001</v>
      </c>
      <c r="P393">
        <v>17.3003</v>
      </c>
      <c r="Q393" s="19">
        <v>12306.172</v>
      </c>
      <c r="R393" s="19">
        <v>11889.354499999999</v>
      </c>
      <c r="S393" s="19">
        <v>12.4053</v>
      </c>
      <c r="T393" s="19">
        <v>29370.774399999998</v>
      </c>
      <c r="U393" s="19">
        <v>19113.986099999998</v>
      </c>
      <c r="V393">
        <v>34.799999999999997</v>
      </c>
      <c r="W393" s="19">
        <v>72.8155</v>
      </c>
      <c r="X393">
        <v>95</v>
      </c>
      <c r="Y393">
        <v>96</v>
      </c>
      <c r="Z393">
        <v>97</v>
      </c>
      <c r="AA393">
        <v>6.5</v>
      </c>
      <c r="AB393">
        <v>49.9</v>
      </c>
      <c r="AC393">
        <v>70.900000000000006</v>
      </c>
      <c r="AE393">
        <v>14</v>
      </c>
      <c r="AF393">
        <v>75.440299999999993</v>
      </c>
      <c r="AG393">
        <v>26.6</v>
      </c>
      <c r="AH393">
        <v>7.64</v>
      </c>
      <c r="AI393">
        <v>8</v>
      </c>
      <c r="AJ393">
        <v>7.3</v>
      </c>
      <c r="AK393">
        <v>8.8000000000000007</v>
      </c>
      <c r="AL393">
        <v>58.61</v>
      </c>
      <c r="AM393">
        <v>3.7</v>
      </c>
      <c r="AN393">
        <v>-21815</v>
      </c>
      <c r="AO393">
        <v>0</v>
      </c>
      <c r="AP393">
        <v>92.863399999999999</v>
      </c>
      <c r="AQ393">
        <v>87.691999999999993</v>
      </c>
      <c r="AR393">
        <v>76.798500000000004</v>
      </c>
      <c r="AS393">
        <v>69.8339</v>
      </c>
      <c r="AT393">
        <v>89.797899999999998</v>
      </c>
      <c r="AU393">
        <v>14.203900000000001</v>
      </c>
      <c r="AV393" s="19">
        <v>76.328500000000005</v>
      </c>
      <c r="AW393">
        <v>1.3</v>
      </c>
      <c r="AX393">
        <v>20.9</v>
      </c>
      <c r="AY393">
        <v>6</v>
      </c>
      <c r="AZ393">
        <v>4</v>
      </c>
      <c r="BA393">
        <v>83.165300000000002</v>
      </c>
      <c r="BB393">
        <v>22.695</v>
      </c>
      <c r="BC393">
        <v>3.7947000000000002</v>
      </c>
      <c r="BD393" s="19">
        <v>11.1</v>
      </c>
      <c r="BE393" s="19">
        <v>81.067999999999998</v>
      </c>
      <c r="BF393">
        <v>7.9817</v>
      </c>
      <c r="BG393">
        <v>17.100000000000001</v>
      </c>
      <c r="BH393" s="20">
        <v>0.80169999999999997</v>
      </c>
      <c r="BI393" s="20">
        <v>2605.27</v>
      </c>
      <c r="BJ393" s="19">
        <v>69.856499999999997</v>
      </c>
      <c r="BK393">
        <v>0.99119999999999997</v>
      </c>
      <c r="BL393">
        <v>0.99580000000000002</v>
      </c>
      <c r="BM393">
        <v>0.99719999999999998</v>
      </c>
      <c r="BN393">
        <v>8</v>
      </c>
      <c r="BO393">
        <v>7.0709999999999997</v>
      </c>
      <c r="BP393">
        <v>34.51</v>
      </c>
      <c r="BQ393" s="19">
        <v>99.358099999999993</v>
      </c>
      <c r="BR393">
        <v>88.398300000000006</v>
      </c>
      <c r="BS393" s="20">
        <v>4.25</v>
      </c>
      <c r="BT393" s="20">
        <v>4.25</v>
      </c>
      <c r="BU393" s="20">
        <v>8.3940000000000001</v>
      </c>
      <c r="BV393" s="20">
        <v>8.3970000000000002</v>
      </c>
      <c r="BW393" s="19">
        <v>74.038499999999999</v>
      </c>
      <c r="BX393">
        <v>29.97</v>
      </c>
      <c r="BY393" s="6">
        <v>1550636</v>
      </c>
      <c r="BZ393" s="5">
        <v>3263661</v>
      </c>
      <c r="CA393" s="7">
        <f t="shared" si="30"/>
        <v>2.1047241261005163</v>
      </c>
      <c r="CB393">
        <v>3231294</v>
      </c>
      <c r="CC393" s="8">
        <f t="shared" si="31"/>
        <v>1.0100167301396901</v>
      </c>
      <c r="CD393" s="8">
        <f t="shared" si="32"/>
        <v>0.47988081554943623</v>
      </c>
      <c r="CE393">
        <v>65284</v>
      </c>
      <c r="CF393" s="8">
        <f t="shared" si="33"/>
        <v>23.752159794130261</v>
      </c>
      <c r="CG393" s="8">
        <f t="shared" si="34"/>
        <v>49.991743765700633</v>
      </c>
      <c r="CH393">
        <v>90.184039999999996</v>
      </c>
    </row>
    <row r="394" spans="1:86" ht="15.5" x14ac:dyDescent="0.35">
      <c r="A394" t="s">
        <v>102</v>
      </c>
      <c r="B394">
        <v>2008</v>
      </c>
      <c r="C394" s="2">
        <v>47.9557</v>
      </c>
      <c r="D394">
        <v>34767.69</v>
      </c>
      <c r="E394">
        <v>0.16259999999999999</v>
      </c>
      <c r="F394">
        <v>4.9490999999999996</v>
      </c>
      <c r="G394">
        <v>24200</v>
      </c>
      <c r="H394">
        <v>10</v>
      </c>
      <c r="I394" s="19">
        <v>87.688999999999993</v>
      </c>
      <c r="J394" s="19">
        <v>89.47</v>
      </c>
      <c r="K394" s="19">
        <v>4.5810000000000004</v>
      </c>
      <c r="L394" s="19">
        <v>60.679600000000001</v>
      </c>
      <c r="M394" s="19">
        <v>-6353000000</v>
      </c>
      <c r="N394" s="19">
        <v>93.122799999999998</v>
      </c>
      <c r="O394">
        <v>41.447000000000003</v>
      </c>
      <c r="P394">
        <v>18.4495</v>
      </c>
      <c r="Q394" s="19">
        <v>15009.647000000001</v>
      </c>
      <c r="R394" s="19">
        <v>12324.5195</v>
      </c>
      <c r="S394" s="19">
        <v>3.6600999999999999</v>
      </c>
      <c r="T394" s="19">
        <v>30445.7808</v>
      </c>
      <c r="U394" s="19">
        <v>20735.707999999999</v>
      </c>
      <c r="V394">
        <v>35.700000000000003</v>
      </c>
      <c r="W394" s="19">
        <v>70.388400000000004</v>
      </c>
      <c r="X394">
        <v>96</v>
      </c>
      <c r="Y394">
        <v>96</v>
      </c>
      <c r="Z394">
        <v>97</v>
      </c>
      <c r="AA394">
        <v>6</v>
      </c>
      <c r="AB394">
        <v>55.2</v>
      </c>
      <c r="AC394">
        <v>71.812200000000004</v>
      </c>
      <c r="AE394">
        <v>13</v>
      </c>
      <c r="AF394">
        <v>75.718299999999999</v>
      </c>
      <c r="AG394">
        <v>18.3</v>
      </c>
      <c r="AH394">
        <v>7.08</v>
      </c>
      <c r="AI394">
        <v>7.4</v>
      </c>
      <c r="AJ394">
        <v>6.7</v>
      </c>
      <c r="AK394">
        <v>8</v>
      </c>
      <c r="AL394">
        <v>59.072600000000001</v>
      </c>
      <c r="AM394">
        <v>3.4</v>
      </c>
      <c r="AN394">
        <v>-16482</v>
      </c>
      <c r="AO394">
        <v>0</v>
      </c>
      <c r="AP394">
        <v>93.336399999999998</v>
      </c>
      <c r="AQ394">
        <v>88.150899999999993</v>
      </c>
      <c r="AR394">
        <v>78.692499999999995</v>
      </c>
      <c r="AS394">
        <v>70.768699999999995</v>
      </c>
      <c r="AT394">
        <v>89.929199999999994</v>
      </c>
      <c r="AU394">
        <v>14.144600000000001</v>
      </c>
      <c r="AV394" s="19">
        <v>70.673100000000005</v>
      </c>
      <c r="AW394">
        <v>1.4</v>
      </c>
      <c r="AX394">
        <v>20.3</v>
      </c>
      <c r="AY394">
        <v>6</v>
      </c>
      <c r="AZ394">
        <v>4</v>
      </c>
      <c r="BA394">
        <v>83.577100000000002</v>
      </c>
      <c r="BB394">
        <v>17.730499999999999</v>
      </c>
      <c r="BC394">
        <v>4.4516</v>
      </c>
      <c r="BD394" s="19">
        <v>2.1800000000000002</v>
      </c>
      <c r="BE394" s="19">
        <v>81.067999999999998</v>
      </c>
      <c r="BF394">
        <v>8.5394000000000005</v>
      </c>
      <c r="BG394">
        <v>18.3</v>
      </c>
      <c r="BH394" s="20">
        <v>0.7893</v>
      </c>
      <c r="BI394" s="20">
        <v>2624.8157000000001</v>
      </c>
      <c r="BJ394" s="19">
        <v>70.673100000000005</v>
      </c>
      <c r="BK394">
        <v>0.98699999999999999</v>
      </c>
      <c r="BL394">
        <v>0.99760000000000004</v>
      </c>
      <c r="BM394">
        <v>1.0009999999999999</v>
      </c>
      <c r="BN394">
        <v>8</v>
      </c>
      <c r="BO394">
        <v>8.85</v>
      </c>
      <c r="BP394">
        <v>38.159999999999997</v>
      </c>
      <c r="BQ394" s="19">
        <v>96.603999999999999</v>
      </c>
      <c r="BR394">
        <v>82.534000000000006</v>
      </c>
      <c r="BS394" s="20">
        <v>5.8259999999999996</v>
      </c>
      <c r="BT394" s="20">
        <v>5.8259999999999996</v>
      </c>
      <c r="BU394" s="20">
        <v>13.353</v>
      </c>
      <c r="BV394" s="20">
        <v>13.347</v>
      </c>
      <c r="BW394" s="19">
        <v>72.596199999999996</v>
      </c>
      <c r="BX394">
        <v>31.92</v>
      </c>
      <c r="BY394" s="6">
        <v>1591128</v>
      </c>
      <c r="BZ394" s="5">
        <v>3249339</v>
      </c>
      <c r="CA394" s="7">
        <f t="shared" si="30"/>
        <v>2.0421606558366139</v>
      </c>
      <c r="CB394">
        <v>3198231</v>
      </c>
      <c r="CC394" s="8">
        <f t="shared" si="31"/>
        <v>1.0159800839901809</v>
      </c>
      <c r="CD394" s="8">
        <f t="shared" si="32"/>
        <v>0.49750252561494152</v>
      </c>
      <c r="CE394">
        <v>65284</v>
      </c>
      <c r="CF394" s="8">
        <f t="shared" si="33"/>
        <v>24.372403651737027</v>
      </c>
      <c r="CG394" s="8">
        <f t="shared" si="34"/>
        <v>49.77236382574597</v>
      </c>
      <c r="CH394">
        <v>95.320059999999998</v>
      </c>
    </row>
    <row r="395" spans="1:86" ht="15.5" x14ac:dyDescent="0.35">
      <c r="A395" t="s">
        <v>102</v>
      </c>
      <c r="B395">
        <v>2009</v>
      </c>
      <c r="C395" s="2">
        <v>47.763599999999997</v>
      </c>
      <c r="D395">
        <v>28790.240000000002</v>
      </c>
      <c r="E395">
        <v>0.1593</v>
      </c>
      <c r="F395">
        <v>4.1757</v>
      </c>
      <c r="G395">
        <v>19700</v>
      </c>
      <c r="H395">
        <v>10</v>
      </c>
      <c r="I395" s="19">
        <v>91.337999999999994</v>
      </c>
      <c r="J395" s="19">
        <v>90.52</v>
      </c>
      <c r="K395" s="19">
        <v>3.16</v>
      </c>
      <c r="L395" s="19">
        <v>65.071799999999996</v>
      </c>
      <c r="M395" s="19">
        <v>763000000</v>
      </c>
      <c r="N395" s="19">
        <v>64.799499999999995</v>
      </c>
      <c r="O395">
        <v>40.286000000000001</v>
      </c>
      <c r="P395">
        <v>20.035699999999999</v>
      </c>
      <c r="Q395" s="19">
        <v>11884.94</v>
      </c>
      <c r="R395" s="19">
        <v>10612.9203</v>
      </c>
      <c r="S395" s="19">
        <v>-13.8878</v>
      </c>
      <c r="T395" s="19">
        <v>26217.545099999999</v>
      </c>
      <c r="U395" s="19">
        <v>18167.637900000002</v>
      </c>
      <c r="V395">
        <v>37.200000000000003</v>
      </c>
      <c r="W395" s="19">
        <v>73.205699999999993</v>
      </c>
      <c r="X395">
        <v>98</v>
      </c>
      <c r="Y395">
        <v>95</v>
      </c>
      <c r="Z395">
        <v>96</v>
      </c>
      <c r="AA395">
        <v>5.4</v>
      </c>
      <c r="AB395">
        <v>59.8</v>
      </c>
      <c r="AC395">
        <v>72.914599999999993</v>
      </c>
      <c r="AE395">
        <v>11</v>
      </c>
      <c r="AF395">
        <v>76.411799999999999</v>
      </c>
      <c r="AG395">
        <v>13.6</v>
      </c>
      <c r="AH395">
        <v>5.9</v>
      </c>
      <c r="AI395">
        <v>6.7</v>
      </c>
      <c r="AJ395">
        <v>6.1</v>
      </c>
      <c r="AK395">
        <v>7.2</v>
      </c>
      <c r="AL395">
        <v>59.274099999999997</v>
      </c>
      <c r="AM395">
        <v>3.1</v>
      </c>
      <c r="AN395">
        <v>-32186</v>
      </c>
      <c r="AO395">
        <v>0</v>
      </c>
      <c r="AP395">
        <v>93.797700000000006</v>
      </c>
      <c r="AQ395">
        <v>88.6464</v>
      </c>
      <c r="AR395">
        <v>80.5916</v>
      </c>
      <c r="AS395">
        <v>71.799899999999994</v>
      </c>
      <c r="AT395">
        <v>90.087900000000005</v>
      </c>
      <c r="AU395">
        <v>14.0443</v>
      </c>
      <c r="AV395" s="19">
        <v>69.194299999999998</v>
      </c>
      <c r="AW395">
        <v>2.2000000000000002</v>
      </c>
      <c r="AX395">
        <v>20.5</v>
      </c>
      <c r="AY395">
        <v>6</v>
      </c>
      <c r="AZ395">
        <v>4</v>
      </c>
      <c r="BA395">
        <v>84.024000000000001</v>
      </c>
      <c r="BB395">
        <v>19.148900000000001</v>
      </c>
      <c r="BC395">
        <v>5.2942999999999998</v>
      </c>
      <c r="BD395" s="19">
        <v>-14.503</v>
      </c>
      <c r="BE395" s="19">
        <v>77.990399999999994</v>
      </c>
      <c r="BF395">
        <v>9.1097999999999999</v>
      </c>
      <c r="BG395">
        <v>20.100000000000001</v>
      </c>
      <c r="BH395" s="20">
        <v>0.83079999999999998</v>
      </c>
      <c r="BI395" s="20">
        <v>2666.3200999999999</v>
      </c>
      <c r="BJ395" s="19">
        <v>69.668199999999999</v>
      </c>
      <c r="BK395">
        <v>0.98540000000000005</v>
      </c>
      <c r="BL395">
        <v>0.99619999999999997</v>
      </c>
      <c r="BM395">
        <v>0.99990000000000001</v>
      </c>
      <c r="BN395">
        <v>8</v>
      </c>
      <c r="BO395">
        <v>12.121</v>
      </c>
      <c r="BP395">
        <v>39.26</v>
      </c>
      <c r="BQ395" s="19">
        <v>98.116299999999995</v>
      </c>
      <c r="BR395">
        <v>59.712800000000001</v>
      </c>
      <c r="BS395" s="20">
        <v>13.785</v>
      </c>
      <c r="BT395" s="20">
        <v>13.785</v>
      </c>
      <c r="BU395" s="20">
        <v>29.584</v>
      </c>
      <c r="BV395" s="20">
        <v>29.553000000000001</v>
      </c>
      <c r="BW395" s="19">
        <v>74.407600000000002</v>
      </c>
      <c r="BX395">
        <v>28.42</v>
      </c>
      <c r="BY395" s="6">
        <v>1247951</v>
      </c>
      <c r="BZ395" s="5">
        <v>2548114</v>
      </c>
      <c r="CA395" s="7">
        <f t="shared" si="30"/>
        <v>2.0418381811465354</v>
      </c>
      <c r="CB395">
        <v>3162916</v>
      </c>
      <c r="CC395" s="8">
        <f t="shared" si="31"/>
        <v>0.80562177433735194</v>
      </c>
      <c r="CD395" s="8">
        <f t="shared" si="32"/>
        <v>0.39455711122268183</v>
      </c>
      <c r="CE395">
        <v>65284</v>
      </c>
      <c r="CF395" s="8">
        <f t="shared" si="33"/>
        <v>19.115725139390968</v>
      </c>
      <c r="CG395" s="8">
        <f t="shared" si="34"/>
        <v>39.031217449911161</v>
      </c>
      <c r="CH395">
        <v>100.51188</v>
      </c>
    </row>
    <row r="396" spans="1:86" ht="15.5" x14ac:dyDescent="0.35">
      <c r="A396" t="s">
        <v>102</v>
      </c>
      <c r="B396">
        <v>2010</v>
      </c>
      <c r="C396" s="2">
        <v>48.218400000000003</v>
      </c>
      <c r="D396">
        <v>29550.41</v>
      </c>
      <c r="E396">
        <v>0.1686</v>
      </c>
      <c r="F396">
        <v>4.5327000000000002</v>
      </c>
      <c r="G396">
        <v>20500</v>
      </c>
      <c r="H396">
        <v>10</v>
      </c>
      <c r="I396" s="19">
        <v>92.426000000000002</v>
      </c>
      <c r="J396" s="19">
        <v>93.8</v>
      </c>
      <c r="K396" s="19">
        <v>4.1509999999999998</v>
      </c>
      <c r="L396" s="19">
        <v>68.571399999999997</v>
      </c>
      <c r="M396" s="19">
        <v>81000000</v>
      </c>
      <c r="N396" s="19">
        <v>81.709999999999994</v>
      </c>
      <c r="O396">
        <v>41.978000000000002</v>
      </c>
      <c r="P396">
        <v>21.9297</v>
      </c>
      <c r="Q396" s="19">
        <v>11846.807000000001</v>
      </c>
      <c r="R396" s="19">
        <v>10884.116</v>
      </c>
      <c r="S396" s="19">
        <v>2.5552999999999999</v>
      </c>
      <c r="T396" s="19">
        <v>26887.491300000002</v>
      </c>
      <c r="U396" s="19">
        <v>19827.948700000001</v>
      </c>
      <c r="V396">
        <v>33.6</v>
      </c>
      <c r="W396" s="19">
        <v>73.684200000000004</v>
      </c>
      <c r="X396">
        <v>95</v>
      </c>
      <c r="Y396">
        <v>94</v>
      </c>
      <c r="Z396">
        <v>96</v>
      </c>
      <c r="AA396">
        <v>4.9000000000000004</v>
      </c>
      <c r="AB396">
        <v>62.1</v>
      </c>
      <c r="AC396">
        <v>73.268299999999996</v>
      </c>
      <c r="AE396">
        <v>10</v>
      </c>
      <c r="AF396">
        <v>79.141300000000001</v>
      </c>
      <c r="AG396">
        <v>12.1</v>
      </c>
      <c r="AH396">
        <v>6.52</v>
      </c>
      <c r="AI396">
        <v>6</v>
      </c>
      <c r="AJ396">
        <v>5.5</v>
      </c>
      <c r="AK396">
        <v>6.5</v>
      </c>
      <c r="AL396">
        <v>59.194099999999999</v>
      </c>
      <c r="AM396">
        <v>2.9</v>
      </c>
      <c r="AN396">
        <v>-78887</v>
      </c>
      <c r="AO396">
        <v>0</v>
      </c>
      <c r="AP396">
        <v>94.248699999999999</v>
      </c>
      <c r="AQ396">
        <v>89.128399999999999</v>
      </c>
      <c r="AR396">
        <v>82.496700000000004</v>
      </c>
      <c r="AS396">
        <v>72.833600000000004</v>
      </c>
      <c r="AT396">
        <v>90.251400000000004</v>
      </c>
      <c r="AU396">
        <v>13.8485</v>
      </c>
      <c r="AV396" s="19">
        <v>70.616100000000003</v>
      </c>
      <c r="AW396">
        <v>1.5</v>
      </c>
      <c r="AX396">
        <v>19.2</v>
      </c>
      <c r="AY396">
        <v>6</v>
      </c>
      <c r="AZ396">
        <v>4</v>
      </c>
      <c r="BA396">
        <v>84.461200000000005</v>
      </c>
      <c r="BB396">
        <v>19.148900000000001</v>
      </c>
      <c r="BC396">
        <v>4.8445</v>
      </c>
      <c r="BD396" s="19">
        <v>0.27400000000000002</v>
      </c>
      <c r="BE396" s="19">
        <v>79.425799999999995</v>
      </c>
      <c r="BF396">
        <v>28.980499999999999</v>
      </c>
      <c r="BG396">
        <v>21.5</v>
      </c>
      <c r="BH396" s="20">
        <v>0.7833</v>
      </c>
      <c r="BI396" s="20">
        <v>2736.4922000000001</v>
      </c>
      <c r="BJ396" s="19">
        <v>72.985799999999998</v>
      </c>
      <c r="BK396">
        <v>0.98860000000000003</v>
      </c>
      <c r="BL396">
        <v>0.98419999999999996</v>
      </c>
      <c r="BM396">
        <v>0.98250000000000004</v>
      </c>
      <c r="BN396">
        <v>8</v>
      </c>
      <c r="BO396">
        <v>13.173999999999999</v>
      </c>
      <c r="BP396">
        <v>37.47</v>
      </c>
      <c r="BQ396" s="19">
        <v>95.985100000000003</v>
      </c>
      <c r="BR396">
        <v>49.744999999999997</v>
      </c>
      <c r="BS396" s="20">
        <v>17.814</v>
      </c>
      <c r="BT396" s="20">
        <v>17.814</v>
      </c>
      <c r="BU396" s="20">
        <v>35.744</v>
      </c>
      <c r="BV396" s="20">
        <v>35.712000000000003</v>
      </c>
      <c r="BW396" s="19">
        <v>75.355500000000006</v>
      </c>
      <c r="BX396">
        <v>28.35</v>
      </c>
      <c r="BY396" s="6">
        <v>1361422</v>
      </c>
      <c r="BZ396" s="5">
        <v>2792135</v>
      </c>
      <c r="CA396" s="7">
        <f t="shared" si="30"/>
        <v>2.050896048396456</v>
      </c>
      <c r="CB396">
        <v>3097282</v>
      </c>
      <c r="CC396" s="8">
        <f t="shared" si="31"/>
        <v>0.90147910329120817</v>
      </c>
      <c r="CD396" s="8">
        <f t="shared" si="32"/>
        <v>0.43955377650469024</v>
      </c>
      <c r="CE396">
        <v>65284</v>
      </c>
      <c r="CF396" s="8">
        <f t="shared" si="33"/>
        <v>20.853838612830096</v>
      </c>
      <c r="CG396" s="8">
        <f t="shared" si="34"/>
        <v>42.769055204950675</v>
      </c>
      <c r="CH396">
        <v>99.01352</v>
      </c>
    </row>
    <row r="397" spans="1:86" ht="15.5" x14ac:dyDescent="0.35">
      <c r="A397" t="s">
        <v>102</v>
      </c>
      <c r="B397">
        <v>2011</v>
      </c>
      <c r="C397" s="2">
        <v>48.858699999999999</v>
      </c>
      <c r="D397">
        <v>30824.99</v>
      </c>
      <c r="E397">
        <v>0.16170000000000001</v>
      </c>
      <c r="F397">
        <v>4.7283999999999997</v>
      </c>
      <c r="G397">
        <v>21100</v>
      </c>
      <c r="H397">
        <v>10</v>
      </c>
      <c r="I397" s="19">
        <v>96.238</v>
      </c>
      <c r="J397" s="19">
        <v>97.06</v>
      </c>
      <c r="K397" s="19">
        <v>4.6689999999999996</v>
      </c>
      <c r="L397" s="19">
        <v>67.298599999999993</v>
      </c>
      <c r="M397" s="19">
        <v>-1600000000</v>
      </c>
      <c r="N397" s="19">
        <v>110.4658</v>
      </c>
      <c r="O397">
        <v>36.469000000000001</v>
      </c>
      <c r="P397">
        <v>24.027200000000001</v>
      </c>
      <c r="Q397" s="19">
        <v>14266.787</v>
      </c>
      <c r="R397" s="19">
        <v>11836.72</v>
      </c>
      <c r="S397" s="19">
        <v>8.7522000000000002</v>
      </c>
      <c r="T397" s="19">
        <v>29240.749</v>
      </c>
      <c r="U397" s="19">
        <v>22701.554599999999</v>
      </c>
      <c r="V397">
        <v>32.5</v>
      </c>
      <c r="W397" s="19">
        <v>72.985799999999998</v>
      </c>
      <c r="X397">
        <v>92</v>
      </c>
      <c r="Y397">
        <v>95</v>
      </c>
      <c r="Z397">
        <v>94</v>
      </c>
      <c r="AA397">
        <v>4.5</v>
      </c>
      <c r="AB397">
        <v>63.6</v>
      </c>
      <c r="AC397">
        <v>73.563400000000001</v>
      </c>
      <c r="AD397">
        <v>103.0433</v>
      </c>
      <c r="AE397">
        <v>10</v>
      </c>
      <c r="AF397">
        <v>79.3108</v>
      </c>
      <c r="AG397">
        <v>11.8</v>
      </c>
      <c r="AH397">
        <v>3.71</v>
      </c>
      <c r="AI397">
        <v>5.6</v>
      </c>
      <c r="AJ397">
        <v>5.0999999999999996</v>
      </c>
      <c r="AK397">
        <v>6</v>
      </c>
      <c r="AL397">
        <v>59.078000000000003</v>
      </c>
      <c r="AM397">
        <v>2.7</v>
      </c>
      <c r="AN397">
        <v>-38518</v>
      </c>
      <c r="AO397">
        <v>0</v>
      </c>
      <c r="AP397">
        <v>94.709599999999995</v>
      </c>
      <c r="AQ397">
        <v>89.625100000000003</v>
      </c>
      <c r="AR397">
        <v>84.424999999999997</v>
      </c>
      <c r="AS397">
        <v>74.378600000000006</v>
      </c>
      <c r="AT397">
        <v>91.067499999999995</v>
      </c>
      <c r="AU397">
        <v>12.3195</v>
      </c>
      <c r="AV397" s="19">
        <v>68.720399999999998</v>
      </c>
      <c r="AW397">
        <v>0.7</v>
      </c>
      <c r="AX397">
        <v>18.600000000000001</v>
      </c>
      <c r="AY397">
        <v>7</v>
      </c>
      <c r="AZ397">
        <v>4</v>
      </c>
      <c r="BA397">
        <v>85.516900000000007</v>
      </c>
      <c r="BB397">
        <v>19.148900000000001</v>
      </c>
      <c r="BC397">
        <v>4.5629999999999997</v>
      </c>
      <c r="BD397" s="19">
        <v>6.343</v>
      </c>
      <c r="BE397" s="19">
        <v>77.725099999999998</v>
      </c>
      <c r="BF397">
        <v>35.011800000000001</v>
      </c>
      <c r="BG397">
        <v>22.7</v>
      </c>
      <c r="BH397" s="20">
        <v>0.90269999999999995</v>
      </c>
      <c r="BI397" s="20">
        <v>2748.0309999999999</v>
      </c>
      <c r="BJ397" s="19">
        <v>72.3005</v>
      </c>
      <c r="BK397">
        <v>0.98819999999999997</v>
      </c>
      <c r="BL397">
        <v>0.97750000000000004</v>
      </c>
      <c r="BM397">
        <v>0.97360000000000002</v>
      </c>
      <c r="BN397">
        <v>8</v>
      </c>
      <c r="BO397">
        <v>11.824999999999999</v>
      </c>
      <c r="BP397">
        <v>38.32</v>
      </c>
      <c r="BQ397" s="19">
        <v>95.290599999999998</v>
      </c>
      <c r="BR397">
        <v>55.325899999999997</v>
      </c>
      <c r="BS397" s="20">
        <v>15.39</v>
      </c>
      <c r="BT397" s="20">
        <v>15.39</v>
      </c>
      <c r="BU397" s="20">
        <v>32.587000000000003</v>
      </c>
      <c r="BV397" s="20">
        <v>32.576000000000001</v>
      </c>
      <c r="BW397" s="19">
        <v>74.647900000000007</v>
      </c>
      <c r="BX397">
        <v>30.48</v>
      </c>
      <c r="BY397" s="6">
        <v>1576910</v>
      </c>
      <c r="BZ397" s="5">
        <v>3266858</v>
      </c>
      <c r="CA397" s="7">
        <f t="shared" si="30"/>
        <v>2.0716832285926272</v>
      </c>
      <c r="CB397">
        <v>3028115</v>
      </c>
      <c r="CC397" s="8">
        <f t="shared" si="31"/>
        <v>1.0788421179512666</v>
      </c>
      <c r="CD397" s="8">
        <f t="shared" si="32"/>
        <v>0.52075631209514828</v>
      </c>
      <c r="CE397">
        <v>65284</v>
      </c>
      <c r="CF397" s="8">
        <f t="shared" si="33"/>
        <v>24.154616751424545</v>
      </c>
      <c r="CG397" s="8">
        <f t="shared" si="34"/>
        <v>50.040714417008765</v>
      </c>
      <c r="CH397">
        <v>100.09824</v>
      </c>
    </row>
    <row r="398" spans="1:86" ht="15.5" x14ac:dyDescent="0.35">
      <c r="A398" s="9" t="s">
        <v>102</v>
      </c>
      <c r="B398" s="9">
        <v>2012</v>
      </c>
      <c r="C398" s="10">
        <v>49.065600000000003</v>
      </c>
      <c r="D398" s="9">
        <v>30293.68</v>
      </c>
      <c r="E398" s="9">
        <v>0.15679999999999999</v>
      </c>
      <c r="F398" s="9">
        <v>4.8491999999999997</v>
      </c>
      <c r="G398" s="9">
        <v>21100</v>
      </c>
      <c r="H398" s="9">
        <v>10</v>
      </c>
      <c r="I398" s="21">
        <v>99.283000000000001</v>
      </c>
      <c r="J398" s="21">
        <v>99.89</v>
      </c>
      <c r="K398" s="21">
        <v>3.8420000000000001</v>
      </c>
      <c r="L398" s="21">
        <v>68.246399999999994</v>
      </c>
      <c r="M398" s="21">
        <v>-675000000</v>
      </c>
      <c r="N398" s="21">
        <v>116.61450000000001</v>
      </c>
      <c r="O398" s="9">
        <v>35.299999999999997</v>
      </c>
      <c r="P398" s="9">
        <v>25.7288</v>
      </c>
      <c r="Q398" s="21">
        <v>14303.540999999999</v>
      </c>
      <c r="R398" s="21">
        <v>12522.340899999999</v>
      </c>
      <c r="S398" s="21">
        <v>5.7923</v>
      </c>
      <c r="T398" s="21">
        <v>30934.4673</v>
      </c>
      <c r="U398" s="21">
        <v>24578.1306</v>
      </c>
      <c r="V398" s="9">
        <v>35.1</v>
      </c>
      <c r="W398" s="21">
        <v>74.407600000000002</v>
      </c>
      <c r="X398" s="9">
        <v>93</v>
      </c>
      <c r="Y398" s="9">
        <v>93</v>
      </c>
      <c r="Z398" s="9">
        <v>93</v>
      </c>
      <c r="AA398" s="9">
        <v>4.3</v>
      </c>
      <c r="AB398" s="9">
        <v>67.2</v>
      </c>
      <c r="AC398" s="9">
        <v>73.863399999999999</v>
      </c>
      <c r="AD398" s="9">
        <v>102.8974</v>
      </c>
      <c r="AE398" s="9">
        <v>10</v>
      </c>
      <c r="AF398" s="9">
        <v>79.463300000000004</v>
      </c>
      <c r="AG398" s="9">
        <v>12.9</v>
      </c>
      <c r="AH398" s="9">
        <v>4.0599999999999996</v>
      </c>
      <c r="AI398" s="9">
        <v>5.3</v>
      </c>
      <c r="AJ398" s="9">
        <v>4.8</v>
      </c>
      <c r="AK398" s="9">
        <v>5.7</v>
      </c>
      <c r="AL398" s="9">
        <v>59.690300000000001</v>
      </c>
      <c r="AM398" s="9">
        <v>2.6</v>
      </c>
      <c r="AN398" s="9">
        <v>-21387</v>
      </c>
      <c r="AO398" s="9">
        <v>0</v>
      </c>
      <c r="AP398" s="9">
        <v>95.186400000000006</v>
      </c>
      <c r="AQ398" s="9">
        <v>90.146299999999997</v>
      </c>
      <c r="AR398" s="9">
        <v>86.382599999999996</v>
      </c>
      <c r="AS398" s="9">
        <v>75.950800000000001</v>
      </c>
      <c r="AT398" s="9">
        <v>91.886200000000002</v>
      </c>
      <c r="AU398" s="9">
        <v>12.373100000000001</v>
      </c>
      <c r="AV398" s="21">
        <v>72.511799999999994</v>
      </c>
      <c r="AW398" s="9">
        <v>0.9</v>
      </c>
      <c r="AX398" s="9">
        <v>20.6</v>
      </c>
      <c r="AY398" s="9">
        <v>7</v>
      </c>
      <c r="AZ398" s="9">
        <v>4</v>
      </c>
      <c r="BA398" s="9">
        <v>86.605900000000005</v>
      </c>
      <c r="BB398" s="9">
        <v>24.4604</v>
      </c>
      <c r="BC398" s="9">
        <v>4.1807999999999996</v>
      </c>
      <c r="BD398" s="21">
        <v>4.3760000000000003</v>
      </c>
      <c r="BE398" s="21">
        <v>82.938400000000001</v>
      </c>
      <c r="BF398" s="9">
        <v>33.650599999999997</v>
      </c>
      <c r="BG398" s="9">
        <v>23.9</v>
      </c>
      <c r="BH398" s="22">
        <v>0.89300000000000002</v>
      </c>
      <c r="BI398" s="22">
        <v>2670.6052</v>
      </c>
      <c r="BJ398" s="21">
        <v>75.5869</v>
      </c>
      <c r="BK398" s="9">
        <v>0.99460000000000004</v>
      </c>
      <c r="BL398" s="9">
        <v>0.9718</v>
      </c>
      <c r="BM398" s="9">
        <v>0.96360000000000001</v>
      </c>
      <c r="BN398" s="9">
        <v>8</v>
      </c>
      <c r="BO398" s="9">
        <v>11.170999999999999</v>
      </c>
      <c r="BP398" s="9">
        <v>35.08</v>
      </c>
      <c r="BQ398" s="21">
        <v>95.116200000000006</v>
      </c>
      <c r="BR398" s="9">
        <v>62.4876</v>
      </c>
      <c r="BS398" s="22">
        <v>13.365</v>
      </c>
      <c r="BT398" s="22">
        <v>13.365</v>
      </c>
      <c r="BU398" s="22">
        <v>26.684000000000001</v>
      </c>
      <c r="BV398" s="22">
        <v>26.673999999999999</v>
      </c>
      <c r="BW398" s="21">
        <v>75.117400000000004</v>
      </c>
      <c r="BX398" s="9">
        <v>28.82</v>
      </c>
      <c r="BY398" s="14">
        <v>2238245</v>
      </c>
      <c r="BZ398" s="5">
        <v>5741252</v>
      </c>
      <c r="CA398" s="7">
        <f t="shared" si="30"/>
        <v>2.5650686140257211</v>
      </c>
      <c r="CB398">
        <v>2987773</v>
      </c>
      <c r="CC398" s="8">
        <f t="shared" si="31"/>
        <v>1.9215823959852372</v>
      </c>
      <c r="CD398" s="8">
        <f t="shared" si="32"/>
        <v>0.74913489076981421</v>
      </c>
      <c r="CE398">
        <v>65284</v>
      </c>
      <c r="CF398" s="8">
        <f t="shared" si="33"/>
        <v>34.284740518350588</v>
      </c>
      <c r="CG398" s="8">
        <f t="shared" si="34"/>
        <v>87.942711843637028</v>
      </c>
      <c r="CH398" s="9">
        <v>100.59426999999999</v>
      </c>
    </row>
    <row r="399" spans="1:86" ht="15.5" x14ac:dyDescent="0.35">
      <c r="A399" t="s">
        <v>102</v>
      </c>
      <c r="B399">
        <v>2013</v>
      </c>
      <c r="C399" s="2">
        <v>49.267899999999997</v>
      </c>
      <c r="D399">
        <v>29622.85</v>
      </c>
      <c r="E399">
        <v>0.1389</v>
      </c>
      <c r="F399">
        <v>4.5175000000000001</v>
      </c>
      <c r="G399">
        <v>19800</v>
      </c>
      <c r="H399">
        <v>10</v>
      </c>
      <c r="I399" s="19">
        <v>100.438</v>
      </c>
      <c r="J399" s="19">
        <v>100.419</v>
      </c>
      <c r="K399" s="19">
        <v>3.1909999999999998</v>
      </c>
      <c r="L399" s="19">
        <v>67.772499999999994</v>
      </c>
      <c r="M399" s="19">
        <v>784000000</v>
      </c>
      <c r="N399" s="19">
        <v>128.42269999999999</v>
      </c>
      <c r="O399">
        <v>36.457999999999998</v>
      </c>
      <c r="P399">
        <v>28.265699999999999</v>
      </c>
      <c r="Q399" s="19">
        <v>15661.050999999999</v>
      </c>
      <c r="R399" s="19">
        <v>13161.6343</v>
      </c>
      <c r="S399" s="19">
        <v>5.1052</v>
      </c>
      <c r="T399" s="19">
        <v>32513.740699999998</v>
      </c>
      <c r="U399" s="19">
        <v>26595.3567</v>
      </c>
      <c r="V399">
        <v>35.299999999999997</v>
      </c>
      <c r="W399" s="19">
        <v>74.407600000000002</v>
      </c>
      <c r="X399">
        <v>93</v>
      </c>
      <c r="Y399">
        <v>93</v>
      </c>
      <c r="Z399">
        <v>93</v>
      </c>
      <c r="AA399">
        <v>4.2</v>
      </c>
      <c r="AB399">
        <v>68.5</v>
      </c>
      <c r="AC399">
        <v>73.914599999999993</v>
      </c>
      <c r="AD399">
        <v>106.4439</v>
      </c>
      <c r="AE399">
        <v>10</v>
      </c>
      <c r="AF399">
        <v>79.227099999999993</v>
      </c>
      <c r="AG399">
        <v>9.6999999999999993</v>
      </c>
      <c r="AH399">
        <v>4.17</v>
      </c>
      <c r="AI399">
        <v>5.0999999999999996</v>
      </c>
      <c r="AJ399">
        <v>4.7</v>
      </c>
      <c r="AK399">
        <v>5.6</v>
      </c>
      <c r="AL399">
        <v>60.188600000000001</v>
      </c>
      <c r="AM399">
        <v>2.5</v>
      </c>
      <c r="AN399">
        <v>-16769</v>
      </c>
      <c r="AO399">
        <v>0</v>
      </c>
      <c r="AP399">
        <v>95.661000000000001</v>
      </c>
      <c r="AQ399">
        <v>90.665899999999993</v>
      </c>
      <c r="AR399">
        <v>88.3536</v>
      </c>
      <c r="AS399">
        <v>77.5548</v>
      </c>
      <c r="AT399">
        <v>92.712800000000001</v>
      </c>
      <c r="AU399">
        <v>12.4132</v>
      </c>
      <c r="AV399" s="19">
        <v>80.568700000000007</v>
      </c>
      <c r="AW399">
        <v>0.7</v>
      </c>
      <c r="AX399">
        <v>19.100000000000001</v>
      </c>
      <c r="AY399">
        <v>7</v>
      </c>
      <c r="AZ399">
        <v>4</v>
      </c>
      <c r="BA399">
        <v>87.708500000000001</v>
      </c>
      <c r="BB399">
        <v>24.113499999999998</v>
      </c>
      <c r="BC399">
        <v>4.0179999999999998</v>
      </c>
      <c r="BD399" s="19">
        <v>4.0789999999999997</v>
      </c>
      <c r="BE399" s="19">
        <v>84.834100000000007</v>
      </c>
      <c r="BF399">
        <v>43.553100000000001</v>
      </c>
      <c r="BG399">
        <v>26.3</v>
      </c>
      <c r="BH399" s="20">
        <v>0.94869999999999999</v>
      </c>
      <c r="BI399" s="20">
        <v>2878.7498000000001</v>
      </c>
      <c r="BJ399" s="19">
        <v>73.239400000000003</v>
      </c>
      <c r="BK399">
        <v>0.99829999999999997</v>
      </c>
      <c r="BL399">
        <v>0.96679999999999999</v>
      </c>
      <c r="BM399">
        <v>0.95540000000000003</v>
      </c>
      <c r="BN399">
        <v>8</v>
      </c>
      <c r="BO399">
        <v>11.144</v>
      </c>
      <c r="BP399">
        <v>40.770000000000003</v>
      </c>
      <c r="BQ399" s="19">
        <v>95.775400000000005</v>
      </c>
      <c r="BR399">
        <v>68.230599999999995</v>
      </c>
      <c r="BS399" s="20">
        <v>11.77</v>
      </c>
      <c r="BT399" s="20">
        <v>11.77</v>
      </c>
      <c r="BU399" s="20">
        <v>21.896000000000001</v>
      </c>
      <c r="BV399" s="20">
        <v>21.890999999999998</v>
      </c>
      <c r="BW399" s="19">
        <v>75.5869</v>
      </c>
      <c r="BX399">
        <v>28.26</v>
      </c>
      <c r="BY399" s="6">
        <v>2460250</v>
      </c>
      <c r="BZ399" s="5">
        <v>6089056</v>
      </c>
      <c r="CA399" s="7">
        <f t="shared" si="30"/>
        <v>2.4749744944619447</v>
      </c>
      <c r="CB399">
        <v>2957689</v>
      </c>
      <c r="CC399" s="8">
        <f t="shared" si="31"/>
        <v>2.058720845903677</v>
      </c>
      <c r="CD399" s="8">
        <f t="shared" si="32"/>
        <v>0.83181497446147989</v>
      </c>
      <c r="CE399">
        <v>65284</v>
      </c>
      <c r="CF399" s="8">
        <f t="shared" si="33"/>
        <v>37.685344035291955</v>
      </c>
      <c r="CG399" s="8">
        <f t="shared" si="34"/>
        <v>93.270265302371172</v>
      </c>
      <c r="CH399">
        <v>100.53189999999999</v>
      </c>
    </row>
    <row r="400" spans="1:86" ht="15.5" x14ac:dyDescent="0.35">
      <c r="A400" t="s">
        <v>102</v>
      </c>
      <c r="B400">
        <v>2014</v>
      </c>
      <c r="C400" s="2">
        <v>49.674799999999998</v>
      </c>
      <c r="D400">
        <v>28169.8</v>
      </c>
      <c r="E400">
        <v>0.13239999999999999</v>
      </c>
      <c r="F400">
        <v>4.5044000000000004</v>
      </c>
      <c r="G400">
        <v>19800</v>
      </c>
      <c r="H400">
        <v>10</v>
      </c>
      <c r="I400" s="19">
        <v>100.682</v>
      </c>
      <c r="J400" s="19">
        <v>100.23</v>
      </c>
      <c r="K400" s="19">
        <v>2.8130000000000002</v>
      </c>
      <c r="L400" s="19">
        <v>70.192300000000003</v>
      </c>
      <c r="M400" s="19">
        <v>1740000000</v>
      </c>
      <c r="N400" s="19">
        <v>127.2765</v>
      </c>
      <c r="O400">
        <v>35.362000000000002</v>
      </c>
      <c r="P400">
        <v>27.337800000000001</v>
      </c>
      <c r="Q400" s="19">
        <v>16501.197</v>
      </c>
      <c r="R400" s="19">
        <v>13776.105299999999</v>
      </c>
      <c r="S400" s="19">
        <v>4.6687000000000003</v>
      </c>
      <c r="T400" s="19">
        <v>34031.694499999998</v>
      </c>
      <c r="U400" s="19">
        <v>28052.4565</v>
      </c>
      <c r="V400">
        <v>37.700000000000003</v>
      </c>
      <c r="W400" s="19">
        <v>78.846199999999996</v>
      </c>
      <c r="X400">
        <v>93</v>
      </c>
      <c r="Y400">
        <v>94</v>
      </c>
      <c r="Z400">
        <v>93</v>
      </c>
      <c r="AA400">
        <v>4.2</v>
      </c>
      <c r="AB400">
        <v>72.099999999999994</v>
      </c>
      <c r="AC400">
        <v>74.517099999999999</v>
      </c>
      <c r="AD400">
        <v>96.064899999999994</v>
      </c>
      <c r="AE400">
        <v>9</v>
      </c>
      <c r="AF400">
        <v>79.582700000000003</v>
      </c>
      <c r="AG400">
        <v>11.2</v>
      </c>
      <c r="AH400">
        <v>3.44</v>
      </c>
      <c r="AI400">
        <v>5.0999999999999996</v>
      </c>
      <c r="AJ400">
        <v>4.5999999999999996</v>
      </c>
      <c r="AK400">
        <v>5.5</v>
      </c>
      <c r="AL400">
        <v>61.530700000000003</v>
      </c>
      <c r="AM400">
        <v>2.4</v>
      </c>
      <c r="AN400">
        <v>-12387</v>
      </c>
      <c r="AO400">
        <v>0</v>
      </c>
      <c r="AP400">
        <v>96.133600000000001</v>
      </c>
      <c r="AQ400">
        <v>91.184200000000004</v>
      </c>
      <c r="AR400">
        <v>90.337999999999994</v>
      </c>
      <c r="AS400">
        <v>79.218999999999994</v>
      </c>
      <c r="AT400">
        <v>93.542000000000002</v>
      </c>
      <c r="AU400">
        <v>12.7577</v>
      </c>
      <c r="AV400" s="19">
        <v>70.476200000000006</v>
      </c>
      <c r="AW400">
        <v>1.3</v>
      </c>
      <c r="AX400">
        <v>22.2</v>
      </c>
      <c r="AY400">
        <v>7</v>
      </c>
      <c r="AZ400">
        <v>4</v>
      </c>
      <c r="BA400">
        <v>88.8309</v>
      </c>
      <c r="BB400">
        <v>24.113499999999998</v>
      </c>
      <c r="BC400">
        <v>4.1231</v>
      </c>
      <c r="BD400" s="19">
        <v>3.7690000000000001</v>
      </c>
      <c r="BE400" s="19">
        <v>85.576899999999995</v>
      </c>
      <c r="BF400">
        <v>50.034100000000002</v>
      </c>
      <c r="BG400">
        <v>27.7</v>
      </c>
      <c r="BH400" s="20">
        <v>1.0301</v>
      </c>
      <c r="BI400" s="20">
        <v>3082.2791000000002</v>
      </c>
      <c r="BJ400" s="19">
        <v>78.846199999999996</v>
      </c>
      <c r="BK400">
        <v>0.99729999999999996</v>
      </c>
      <c r="BL400">
        <v>0.96930000000000005</v>
      </c>
      <c r="BM400">
        <v>0.95879999999999999</v>
      </c>
      <c r="BN400">
        <v>8</v>
      </c>
      <c r="BO400">
        <v>9.9109999999999996</v>
      </c>
      <c r="BP400">
        <v>35.51</v>
      </c>
      <c r="BQ400" s="19">
        <v>97.825100000000006</v>
      </c>
      <c r="BR400">
        <v>71.653999999999996</v>
      </c>
      <c r="BS400" s="20">
        <v>10.698</v>
      </c>
      <c r="BT400" s="20">
        <v>10.698</v>
      </c>
      <c r="BU400" s="20">
        <v>19.257999999999999</v>
      </c>
      <c r="BV400" s="20">
        <v>19.251999999999999</v>
      </c>
      <c r="BW400" s="19">
        <v>76.354699999999994</v>
      </c>
      <c r="BX400">
        <v>24.68</v>
      </c>
      <c r="BY400" s="6">
        <v>2673531</v>
      </c>
      <c r="BZ400" s="5">
        <v>6465004</v>
      </c>
      <c r="CA400" s="7">
        <f t="shared" si="30"/>
        <v>2.4181518748052668</v>
      </c>
      <c r="CB400">
        <v>2932367</v>
      </c>
      <c r="CC400" s="8">
        <f t="shared" si="31"/>
        <v>2.2047049363193625</v>
      </c>
      <c r="CD400" s="8">
        <f t="shared" si="32"/>
        <v>0.91173137605217902</v>
      </c>
      <c r="CE400">
        <v>65284</v>
      </c>
      <c r="CF400" s="8">
        <f t="shared" si="33"/>
        <v>40.952316034556709</v>
      </c>
      <c r="CG400" s="8">
        <f t="shared" si="34"/>
        <v>99.028919796581093</v>
      </c>
      <c r="CH400">
        <v>100.74697</v>
      </c>
    </row>
    <row r="401" spans="1:86" ht="15.5" x14ac:dyDescent="0.35">
      <c r="A401" t="s">
        <v>102</v>
      </c>
      <c r="B401">
        <v>2015</v>
      </c>
      <c r="C401" s="2">
        <v>50.361899999999999</v>
      </c>
      <c r="D401">
        <v>28543.19</v>
      </c>
      <c r="E401">
        <v>0.1331</v>
      </c>
      <c r="F401">
        <v>4.7016</v>
      </c>
      <c r="G401">
        <v>20000</v>
      </c>
      <c r="H401">
        <v>10</v>
      </c>
      <c r="I401" s="19">
        <v>100</v>
      </c>
      <c r="J401" s="19">
        <v>99.98</v>
      </c>
      <c r="K401" s="19">
        <v>2.79</v>
      </c>
      <c r="L401" s="19">
        <v>70</v>
      </c>
      <c r="M401" s="19">
        <v>-1041000000</v>
      </c>
      <c r="N401" s="19">
        <v>100</v>
      </c>
      <c r="O401">
        <v>38.098999999999997</v>
      </c>
      <c r="P401">
        <v>28.677399999999999</v>
      </c>
      <c r="Q401" s="19">
        <v>14302.653</v>
      </c>
      <c r="R401" s="19">
        <v>14300.2554</v>
      </c>
      <c r="S401" s="19">
        <v>3.8048000000000002</v>
      </c>
      <c r="T401" s="19">
        <v>35326.5245</v>
      </c>
      <c r="U401" s="19">
        <v>28915.571499999998</v>
      </c>
      <c r="V401">
        <v>37.4</v>
      </c>
      <c r="W401" s="19">
        <v>84.285700000000006</v>
      </c>
      <c r="X401">
        <v>93</v>
      </c>
      <c r="Y401">
        <v>94</v>
      </c>
      <c r="Z401">
        <v>94</v>
      </c>
      <c r="AA401">
        <v>4.0999999999999996</v>
      </c>
      <c r="AB401">
        <v>71.400000000000006</v>
      </c>
      <c r="AC401">
        <v>74.322000000000003</v>
      </c>
      <c r="AD401">
        <v>97.214200000000005</v>
      </c>
      <c r="AE401">
        <v>10</v>
      </c>
      <c r="AF401">
        <v>80.920500000000004</v>
      </c>
      <c r="AG401">
        <v>10.5</v>
      </c>
      <c r="AH401">
        <v>3.91</v>
      </c>
      <c r="AI401">
        <v>5</v>
      </c>
      <c r="AJ401">
        <v>4.5999999999999996</v>
      </c>
      <c r="AK401">
        <v>5.4</v>
      </c>
      <c r="AL401">
        <v>61.193399999999997</v>
      </c>
      <c r="AM401">
        <v>2.4</v>
      </c>
      <c r="AN401">
        <v>-22560</v>
      </c>
      <c r="AO401">
        <v>0</v>
      </c>
      <c r="AP401">
        <v>96.604100000000003</v>
      </c>
      <c r="AQ401">
        <v>91.701099999999997</v>
      </c>
      <c r="AR401">
        <v>92.335599999999999</v>
      </c>
      <c r="AS401">
        <v>80.894400000000005</v>
      </c>
      <c r="AT401">
        <v>94.373900000000006</v>
      </c>
      <c r="AU401">
        <v>11.302899999999999</v>
      </c>
      <c r="AV401" s="19">
        <v>70.476200000000006</v>
      </c>
      <c r="AW401">
        <v>0.7</v>
      </c>
      <c r="AX401">
        <v>21.9</v>
      </c>
      <c r="AY401">
        <v>7</v>
      </c>
      <c r="AZ401">
        <v>4</v>
      </c>
      <c r="BA401">
        <v>89.956699999999998</v>
      </c>
      <c r="BB401">
        <v>23.404299999999999</v>
      </c>
      <c r="BC401">
        <v>4.2893999999999997</v>
      </c>
      <c r="BD401" s="19">
        <v>2.8450000000000002</v>
      </c>
      <c r="BE401" s="19">
        <v>86.666700000000006</v>
      </c>
      <c r="BF401">
        <v>47.699199999999998</v>
      </c>
      <c r="BG401">
        <v>29</v>
      </c>
      <c r="BH401" s="20">
        <v>1.0434000000000001</v>
      </c>
      <c r="BI401" s="20">
        <v>2794.9211</v>
      </c>
      <c r="BJ401" s="19">
        <v>80.476200000000006</v>
      </c>
      <c r="BK401">
        <v>0.99729999999999996</v>
      </c>
      <c r="BL401">
        <v>0.97009999999999996</v>
      </c>
      <c r="BM401">
        <v>0.95940000000000003</v>
      </c>
      <c r="BN401">
        <v>8</v>
      </c>
      <c r="BO401">
        <v>9.1959999999999997</v>
      </c>
      <c r="BP401">
        <v>34.49</v>
      </c>
      <c r="BQ401" s="19">
        <v>100</v>
      </c>
      <c r="BR401">
        <v>75.988600000000005</v>
      </c>
      <c r="BS401" s="20">
        <v>9.1199999999999992</v>
      </c>
      <c r="BT401" s="20">
        <v>9.1199999999999992</v>
      </c>
      <c r="BU401" s="20">
        <v>16.302</v>
      </c>
      <c r="BV401" s="20">
        <v>16.298999999999999</v>
      </c>
      <c r="BW401" s="19">
        <v>77.3399</v>
      </c>
      <c r="BX401">
        <v>28.44</v>
      </c>
      <c r="BY401" s="6">
        <v>2805808</v>
      </c>
      <c r="BZ401" s="5">
        <v>6581192</v>
      </c>
      <c r="CA401" s="7">
        <f t="shared" si="30"/>
        <v>2.3455603519556578</v>
      </c>
      <c r="CB401">
        <v>2904910</v>
      </c>
      <c r="CC401" s="8">
        <f t="shared" si="31"/>
        <v>2.2655407568564945</v>
      </c>
      <c r="CD401" s="8">
        <f t="shared" si="32"/>
        <v>0.96588465735599383</v>
      </c>
      <c r="CE401">
        <v>65284</v>
      </c>
      <c r="CF401" s="8">
        <f t="shared" si="33"/>
        <v>42.978493964830584</v>
      </c>
      <c r="CG401" s="8">
        <f t="shared" si="34"/>
        <v>100.80865143067214</v>
      </c>
      <c r="CH401">
        <v>100</v>
      </c>
    </row>
    <row r="402" spans="1:86" ht="15.5" x14ac:dyDescent="0.35">
      <c r="A402" t="s">
        <v>102</v>
      </c>
      <c r="B402">
        <v>2016</v>
      </c>
      <c r="C402" s="2">
        <v>51.326900000000002</v>
      </c>
      <c r="D402">
        <v>31769.34</v>
      </c>
      <c r="E402">
        <v>0.1283</v>
      </c>
      <c r="F402">
        <v>4.7125000000000004</v>
      </c>
      <c r="G402">
        <v>20000</v>
      </c>
      <c r="H402">
        <v>10</v>
      </c>
      <c r="I402" s="19">
        <v>100.678</v>
      </c>
      <c r="J402" s="19">
        <v>101.94</v>
      </c>
      <c r="K402" s="19">
        <v>2.9319999999999999</v>
      </c>
      <c r="L402" s="19">
        <v>72.857100000000003</v>
      </c>
      <c r="M402" s="19">
        <v>-433000000</v>
      </c>
      <c r="N402" s="19">
        <v>98.492099999999994</v>
      </c>
      <c r="O402">
        <v>38.823</v>
      </c>
      <c r="P402">
        <v>29.8964</v>
      </c>
      <c r="Q402" s="19">
        <v>14975.135</v>
      </c>
      <c r="R402" s="19">
        <v>14870.1049</v>
      </c>
      <c r="S402" s="19">
        <v>3.9849000000000001</v>
      </c>
      <c r="T402" s="19">
        <v>36734.248</v>
      </c>
      <c r="U402" s="19">
        <v>30870.2405</v>
      </c>
      <c r="V402">
        <v>38.4</v>
      </c>
      <c r="W402" s="19">
        <v>80.476200000000006</v>
      </c>
      <c r="X402">
        <v>94</v>
      </c>
      <c r="Y402">
        <v>95</v>
      </c>
      <c r="Z402">
        <v>94</v>
      </c>
      <c r="AA402">
        <v>4</v>
      </c>
      <c r="AB402">
        <v>74.400000000000006</v>
      </c>
      <c r="AC402">
        <v>74.670699999999997</v>
      </c>
      <c r="AD402">
        <v>97.358800000000002</v>
      </c>
      <c r="AE402">
        <v>9</v>
      </c>
      <c r="AF402">
        <v>83.447199999999995</v>
      </c>
      <c r="AG402">
        <v>8.1</v>
      </c>
      <c r="AH402">
        <v>3.79</v>
      </c>
      <c r="AI402">
        <v>4.9000000000000004</v>
      </c>
      <c r="AJ402">
        <v>4.5</v>
      </c>
      <c r="AK402">
        <v>5.3</v>
      </c>
      <c r="AL402">
        <v>60.7258</v>
      </c>
      <c r="AM402">
        <v>2.4</v>
      </c>
      <c r="AN402">
        <v>-30612</v>
      </c>
      <c r="AO402">
        <v>0</v>
      </c>
      <c r="AP402">
        <v>97.073700000000002</v>
      </c>
      <c r="AQ402">
        <v>92.218400000000003</v>
      </c>
      <c r="AR402">
        <v>93.992900000000006</v>
      </c>
      <c r="AS402">
        <v>82.581000000000003</v>
      </c>
      <c r="AT402">
        <v>95.208500000000001</v>
      </c>
      <c r="AU402">
        <v>10.232900000000001</v>
      </c>
      <c r="AV402" s="19">
        <v>72.857100000000003</v>
      </c>
      <c r="AW402">
        <v>1.3</v>
      </c>
      <c r="AX402">
        <v>22.9</v>
      </c>
      <c r="AY402">
        <v>7</v>
      </c>
      <c r="AZ402">
        <v>4</v>
      </c>
      <c r="BA402">
        <v>91.087599999999995</v>
      </c>
      <c r="BB402">
        <v>21.276599999999998</v>
      </c>
      <c r="BC402">
        <v>4.3646000000000003</v>
      </c>
      <c r="BD402" s="19">
        <v>2.6139999999999999</v>
      </c>
      <c r="BE402" s="19">
        <v>84.285700000000006</v>
      </c>
      <c r="BF402">
        <v>62.939500000000002</v>
      </c>
      <c r="BG402">
        <v>31.5</v>
      </c>
      <c r="BH402" s="20">
        <v>0.84240000000000004</v>
      </c>
      <c r="BI402" s="20">
        <v>2950.3966999999998</v>
      </c>
      <c r="BJ402" s="19">
        <v>81.904799999999994</v>
      </c>
      <c r="BK402">
        <v>0.99729999999999996</v>
      </c>
      <c r="BL402">
        <v>0.96879999999999999</v>
      </c>
      <c r="BM402">
        <v>0.95669999999999999</v>
      </c>
      <c r="BN402">
        <v>8</v>
      </c>
      <c r="BO402">
        <v>9.4049999999999994</v>
      </c>
      <c r="BP402">
        <v>32.340000000000003</v>
      </c>
      <c r="BQ402" s="19">
        <v>100.8723</v>
      </c>
      <c r="BR402">
        <v>79.049400000000006</v>
      </c>
      <c r="BS402" s="20">
        <v>7.8620000000000001</v>
      </c>
      <c r="BT402" s="20">
        <v>7.8620000000000001</v>
      </c>
      <c r="BU402" s="20">
        <v>14.455</v>
      </c>
      <c r="BV402" s="20">
        <v>14.455</v>
      </c>
      <c r="BW402" s="19">
        <v>78.325100000000006</v>
      </c>
      <c r="BX402">
        <v>27.55</v>
      </c>
      <c r="BY402" s="6">
        <v>3064514</v>
      </c>
      <c r="BZ402" s="5">
        <v>6992674</v>
      </c>
      <c r="CA402" s="7">
        <f t="shared" si="30"/>
        <v>2.2818215221075837</v>
      </c>
      <c r="CB402">
        <v>2868231</v>
      </c>
      <c r="CC402" s="8">
        <f t="shared" si="31"/>
        <v>2.4379744867132391</v>
      </c>
      <c r="CD402" s="8">
        <f t="shared" si="32"/>
        <v>1.0684334699680744</v>
      </c>
      <c r="CE402">
        <v>65284</v>
      </c>
      <c r="CF402" s="8">
        <f t="shared" si="33"/>
        <v>46.941271980883528</v>
      </c>
      <c r="CG402" s="8">
        <f t="shared" si="34"/>
        <v>107.11160468108572</v>
      </c>
      <c r="CH402">
        <v>100.84298</v>
      </c>
    </row>
    <row r="403" spans="1:86" ht="15.5" x14ac:dyDescent="0.35">
      <c r="A403" t="s">
        <v>102</v>
      </c>
      <c r="B403">
        <v>2017</v>
      </c>
      <c r="C403" s="2">
        <v>52.469700000000003</v>
      </c>
      <c r="D403">
        <v>32497.54</v>
      </c>
      <c r="E403">
        <v>0.12670000000000001</v>
      </c>
      <c r="F403">
        <v>4.9359999999999999</v>
      </c>
      <c r="G403">
        <v>20000</v>
      </c>
      <c r="H403">
        <v>11</v>
      </c>
      <c r="I403" s="19">
        <v>104.422</v>
      </c>
      <c r="J403" s="19">
        <v>105.82</v>
      </c>
      <c r="K403" s="19">
        <v>3.3260000000000001</v>
      </c>
      <c r="L403" s="19">
        <v>67.619</v>
      </c>
      <c r="M403" s="19">
        <v>490000000</v>
      </c>
      <c r="N403" s="19">
        <v>117.7543</v>
      </c>
      <c r="O403">
        <v>37.92</v>
      </c>
      <c r="P403">
        <v>28.2319</v>
      </c>
      <c r="Q403" s="19">
        <v>16880.448</v>
      </c>
      <c r="R403" s="19">
        <v>15775.000599999999</v>
      </c>
      <c r="S403" s="19">
        <v>6.0853000000000002</v>
      </c>
      <c r="T403" s="19">
        <v>38969.649899999997</v>
      </c>
      <c r="U403" s="19">
        <v>33760.629399999998</v>
      </c>
      <c r="V403">
        <v>37.299999999999997</v>
      </c>
      <c r="W403" s="19">
        <v>79.047600000000003</v>
      </c>
      <c r="X403">
        <v>94</v>
      </c>
      <c r="Y403">
        <v>94</v>
      </c>
      <c r="Z403">
        <v>94</v>
      </c>
      <c r="AA403">
        <v>3.8</v>
      </c>
      <c r="AB403">
        <v>77.599999999999994</v>
      </c>
      <c r="AC403">
        <v>75.480500000000006</v>
      </c>
      <c r="AD403">
        <v>89.221800000000002</v>
      </c>
      <c r="AE403">
        <v>10</v>
      </c>
      <c r="AF403">
        <v>83.701400000000007</v>
      </c>
      <c r="AG403">
        <v>8.1999999999999993</v>
      </c>
      <c r="AH403">
        <v>3.73</v>
      </c>
      <c r="AI403">
        <v>4.5999999999999996</v>
      </c>
      <c r="AJ403">
        <v>4.2</v>
      </c>
      <c r="AK403">
        <v>5</v>
      </c>
      <c r="AL403">
        <v>60.444200000000002</v>
      </c>
      <c r="AM403">
        <v>2.2999999999999998</v>
      </c>
      <c r="AN403">
        <v>-28027</v>
      </c>
      <c r="AO403">
        <v>0</v>
      </c>
      <c r="AP403">
        <v>97.542100000000005</v>
      </c>
      <c r="AQ403">
        <v>92.735699999999994</v>
      </c>
      <c r="AR403">
        <v>94.442300000000003</v>
      </c>
      <c r="AS403">
        <v>84.278899999999993</v>
      </c>
      <c r="AT403">
        <v>96.045699999999997</v>
      </c>
      <c r="AU403">
        <v>9.7998999999999992</v>
      </c>
      <c r="AV403" s="19">
        <v>72.381</v>
      </c>
      <c r="AW403">
        <v>1</v>
      </c>
      <c r="AX403">
        <v>22.9</v>
      </c>
      <c r="AY403">
        <v>7</v>
      </c>
      <c r="AZ403">
        <v>4</v>
      </c>
      <c r="BA403">
        <v>92.223399999999998</v>
      </c>
      <c r="BB403">
        <v>21.276599999999998</v>
      </c>
      <c r="BC403">
        <v>4.2187999999999999</v>
      </c>
      <c r="BD403" s="19">
        <v>4.7050000000000001</v>
      </c>
      <c r="BE403" s="19">
        <v>82.857100000000003</v>
      </c>
      <c r="BF403">
        <v>74.441100000000006</v>
      </c>
      <c r="BG403">
        <v>33.799999999999997</v>
      </c>
      <c r="BH403" s="20">
        <v>0.89629999999999999</v>
      </c>
      <c r="BI403" s="20">
        <v>3068.3341999999998</v>
      </c>
      <c r="BJ403" s="19">
        <v>80</v>
      </c>
      <c r="BK403">
        <v>0.99970000000000003</v>
      </c>
      <c r="BL403">
        <v>0.97140000000000004</v>
      </c>
      <c r="BM403">
        <v>0.95850000000000002</v>
      </c>
      <c r="BN403">
        <v>8</v>
      </c>
      <c r="BO403">
        <v>9.1489999999999991</v>
      </c>
      <c r="BP403">
        <v>29.53</v>
      </c>
      <c r="BQ403" s="19">
        <v>100.23009999999999</v>
      </c>
      <c r="BR403">
        <v>80.992099999999994</v>
      </c>
      <c r="BS403" s="20">
        <v>7.0730000000000004</v>
      </c>
      <c r="BT403" s="20">
        <v>7.0730000000000004</v>
      </c>
      <c r="BU403" s="20">
        <v>13.266</v>
      </c>
      <c r="BV403" s="20">
        <v>13.263999999999999</v>
      </c>
      <c r="BW403" s="19">
        <v>78.325100000000006</v>
      </c>
      <c r="BX403">
        <v>23.88</v>
      </c>
      <c r="BY403" s="6">
        <v>3253204</v>
      </c>
      <c r="BZ403" s="5">
        <v>7364924</v>
      </c>
      <c r="CA403" s="7">
        <f t="shared" si="30"/>
        <v>2.2638986058052306</v>
      </c>
      <c r="CB403">
        <v>2828403</v>
      </c>
      <c r="CC403" s="8">
        <f t="shared" si="31"/>
        <v>2.6039160614664882</v>
      </c>
      <c r="CD403" s="8">
        <f t="shared" si="32"/>
        <v>1.1501911149153781</v>
      </c>
      <c r="CE403">
        <v>65284</v>
      </c>
      <c r="CF403" s="8">
        <f t="shared" si="33"/>
        <v>49.831566693217326</v>
      </c>
      <c r="CG403" s="8">
        <f t="shared" si="34"/>
        <v>112.81361436186508</v>
      </c>
      <c r="CH403">
        <v>102.67771999999999</v>
      </c>
    </row>
    <row r="404" spans="1:86" ht="15.5" x14ac:dyDescent="0.35">
      <c r="A404" t="s">
        <v>102</v>
      </c>
      <c r="B404">
        <v>2018</v>
      </c>
      <c r="C404" s="2">
        <v>53.321899999999999</v>
      </c>
      <c r="D404">
        <v>30057.439999999999</v>
      </c>
      <c r="E404">
        <v>0.1212</v>
      </c>
      <c r="F404">
        <v>5.0029000000000003</v>
      </c>
      <c r="G404">
        <v>20000</v>
      </c>
      <c r="H404">
        <v>11</v>
      </c>
      <c r="I404" s="19">
        <v>107.065</v>
      </c>
      <c r="J404" s="19">
        <v>107.68</v>
      </c>
      <c r="K404" s="19">
        <v>3.5790000000000002</v>
      </c>
      <c r="L404" s="19">
        <v>66.666700000000006</v>
      </c>
      <c r="M404" s="19">
        <v>194000000</v>
      </c>
      <c r="N404" s="19">
        <v>131.2868</v>
      </c>
      <c r="O404">
        <v>38.155000000000001</v>
      </c>
      <c r="P404">
        <v>28.144500000000001</v>
      </c>
      <c r="Q404" s="19">
        <v>19380.187999999998</v>
      </c>
      <c r="R404" s="19">
        <v>16709.556199999999</v>
      </c>
      <c r="S404" s="19">
        <v>5.9242999999999997</v>
      </c>
      <c r="T404" s="19">
        <v>41278.322</v>
      </c>
      <c r="U404" s="19">
        <v>36721.9326</v>
      </c>
      <c r="V404">
        <v>35.700000000000003</v>
      </c>
      <c r="W404" s="19">
        <v>80.476200000000006</v>
      </c>
      <c r="X404">
        <v>92</v>
      </c>
      <c r="Y404">
        <v>93</v>
      </c>
      <c r="Z404">
        <v>92</v>
      </c>
      <c r="AA404">
        <v>3.5</v>
      </c>
      <c r="AB404">
        <v>79.7</v>
      </c>
      <c r="AC404">
        <v>75.680499999999995</v>
      </c>
      <c r="AD404">
        <v>89.546800000000005</v>
      </c>
      <c r="AE404">
        <v>9</v>
      </c>
      <c r="AF404">
        <v>83.899199999999993</v>
      </c>
      <c r="AG404">
        <v>7.5</v>
      </c>
      <c r="AH404">
        <v>3.45</v>
      </c>
      <c r="AI404">
        <v>4.2</v>
      </c>
      <c r="AJ404">
        <v>3.9</v>
      </c>
      <c r="AK404">
        <v>4.5999999999999996</v>
      </c>
      <c r="AL404">
        <v>60.602800000000002</v>
      </c>
      <c r="AM404">
        <v>2.2999999999999998</v>
      </c>
      <c r="AN404">
        <v>-3459</v>
      </c>
      <c r="AO404">
        <v>0</v>
      </c>
      <c r="AP404">
        <v>97.990499999999997</v>
      </c>
      <c r="AQ404">
        <v>93.252499999999998</v>
      </c>
      <c r="AR404">
        <v>94.8733</v>
      </c>
      <c r="AS404">
        <v>85.872500000000002</v>
      </c>
      <c r="AT404">
        <v>96.75</v>
      </c>
      <c r="AU404">
        <v>11.0839</v>
      </c>
      <c r="AV404" s="19">
        <v>69.811300000000003</v>
      </c>
      <c r="AW404">
        <v>0.9</v>
      </c>
      <c r="AX404">
        <v>20.6</v>
      </c>
      <c r="AY404">
        <v>7</v>
      </c>
      <c r="AZ404">
        <v>4</v>
      </c>
      <c r="BA404">
        <v>93.234300000000005</v>
      </c>
      <c r="BB404">
        <v>21.276599999999998</v>
      </c>
      <c r="BC404">
        <v>4.3094999999999999</v>
      </c>
      <c r="BD404" s="19">
        <v>4.8319999999999999</v>
      </c>
      <c r="BE404" s="19">
        <v>82.381</v>
      </c>
      <c r="BF404">
        <v>77.846800000000002</v>
      </c>
      <c r="BG404">
        <v>33.700000000000003</v>
      </c>
      <c r="BH404" s="20">
        <v>0.93659999999999999</v>
      </c>
      <c r="BI404" s="20">
        <v>3180.9551000000001</v>
      </c>
      <c r="BJ404" s="19">
        <v>78.095200000000006</v>
      </c>
      <c r="BK404">
        <v>1.0003</v>
      </c>
      <c r="BL404">
        <v>0.9758</v>
      </c>
      <c r="BM404">
        <v>0.96379999999999999</v>
      </c>
      <c r="BN404">
        <v>8</v>
      </c>
      <c r="BO404">
        <v>8.0389999999999997</v>
      </c>
      <c r="BP404">
        <v>27.4</v>
      </c>
      <c r="BQ404" s="19">
        <v>99.779499999999999</v>
      </c>
      <c r="BR404">
        <v>83.842299999999994</v>
      </c>
      <c r="BS404" s="20">
        <v>6.1470000000000002</v>
      </c>
      <c r="BT404" s="20">
        <v>6.1470000000000002</v>
      </c>
      <c r="BU404" s="20">
        <v>11.117000000000001</v>
      </c>
      <c r="BV404" s="20">
        <v>11.114000000000001</v>
      </c>
      <c r="BW404" s="19">
        <v>77.1845</v>
      </c>
      <c r="BX404">
        <v>20.7</v>
      </c>
      <c r="BY404" s="6">
        <v>3620390</v>
      </c>
      <c r="BZ404" s="5">
        <v>8091647</v>
      </c>
      <c r="CA404" s="7">
        <f t="shared" si="30"/>
        <v>2.2350208126748776</v>
      </c>
      <c r="CB404">
        <v>2801543</v>
      </c>
      <c r="CC404" s="8">
        <f t="shared" si="31"/>
        <v>2.8882822787299713</v>
      </c>
      <c r="CD404" s="8">
        <f t="shared" si="32"/>
        <v>1.2922842876229277</v>
      </c>
      <c r="CE404">
        <v>65284</v>
      </c>
      <c r="CF404" s="8">
        <f t="shared" si="33"/>
        <v>55.456007597573681</v>
      </c>
      <c r="CG404" s="8">
        <f t="shared" si="34"/>
        <v>123.94533116843331</v>
      </c>
      <c r="CH404">
        <v>103.80165</v>
      </c>
    </row>
    <row r="405" spans="1:86" ht="15.5" x14ac:dyDescent="0.35">
      <c r="A405" t="s">
        <v>102</v>
      </c>
      <c r="B405">
        <v>2019</v>
      </c>
      <c r="C405" s="2">
        <v>53.768799999999999</v>
      </c>
      <c r="D405">
        <v>29941.16</v>
      </c>
      <c r="E405">
        <v>0.1181</v>
      </c>
      <c r="F405">
        <v>5.1157000000000004</v>
      </c>
      <c r="G405">
        <v>20000</v>
      </c>
      <c r="H405">
        <v>11</v>
      </c>
      <c r="I405" s="19">
        <v>109.46599999999999</v>
      </c>
      <c r="J405" s="19">
        <v>110.62</v>
      </c>
      <c r="K405" s="19">
        <v>3.831</v>
      </c>
      <c r="L405" s="19">
        <v>73.333299999999994</v>
      </c>
      <c r="M405" s="19">
        <v>2071000000.0000002</v>
      </c>
      <c r="N405" s="19">
        <v>130.55619999999999</v>
      </c>
      <c r="O405">
        <v>38.591000000000001</v>
      </c>
      <c r="P405">
        <v>28.279199999999999</v>
      </c>
      <c r="Q405" s="19">
        <v>19731.246999999999</v>
      </c>
      <c r="R405" s="19">
        <v>17537.482</v>
      </c>
      <c r="S405" s="19">
        <v>4.9547999999999996</v>
      </c>
      <c r="T405" s="19">
        <v>43323.582000000002</v>
      </c>
      <c r="U405" s="19">
        <v>40809.930800000002</v>
      </c>
      <c r="V405">
        <v>35.299999999999997</v>
      </c>
      <c r="W405" s="19">
        <v>80.476200000000006</v>
      </c>
      <c r="X405">
        <v>92</v>
      </c>
      <c r="Y405">
        <v>92</v>
      </c>
      <c r="Z405">
        <v>93</v>
      </c>
      <c r="AA405">
        <v>3.3</v>
      </c>
      <c r="AB405">
        <v>81.599999999999994</v>
      </c>
      <c r="AC405">
        <v>76.282899999999998</v>
      </c>
      <c r="AD405">
        <v>92.843100000000007</v>
      </c>
      <c r="AE405">
        <v>9</v>
      </c>
      <c r="AF405">
        <v>83.899199999999993</v>
      </c>
      <c r="AG405">
        <v>8.1</v>
      </c>
      <c r="AH405">
        <v>1.66</v>
      </c>
      <c r="AI405">
        <v>3.9</v>
      </c>
      <c r="AJ405">
        <v>3.6</v>
      </c>
      <c r="AK405">
        <v>4.2</v>
      </c>
      <c r="AL405">
        <v>60.908799999999999</v>
      </c>
      <c r="AM405">
        <v>2.2000000000000002</v>
      </c>
      <c r="AN405">
        <v>10665</v>
      </c>
      <c r="AO405">
        <v>0</v>
      </c>
      <c r="AP405">
        <v>98.001499999999993</v>
      </c>
      <c r="AQ405">
        <v>93.768299999999996</v>
      </c>
      <c r="AR405">
        <v>94.897499999999994</v>
      </c>
      <c r="AS405">
        <v>87.032899999999998</v>
      </c>
      <c r="AT405">
        <v>96.939899999999994</v>
      </c>
      <c r="AU405">
        <v>10.246499999999999</v>
      </c>
      <c r="AV405" s="19">
        <v>72.169799999999995</v>
      </c>
      <c r="AW405">
        <v>0.5</v>
      </c>
      <c r="AX405">
        <v>20.9</v>
      </c>
      <c r="AY405">
        <v>7</v>
      </c>
      <c r="AZ405">
        <v>4</v>
      </c>
      <c r="BA405">
        <v>93.755300000000005</v>
      </c>
      <c r="BB405">
        <v>21.276599999999998</v>
      </c>
      <c r="BC405">
        <v>4.5461</v>
      </c>
      <c r="BD405" s="19">
        <v>4.7229999999999999</v>
      </c>
      <c r="BE405" s="19">
        <v>82.857100000000003</v>
      </c>
      <c r="BF405">
        <v>77.345799999999997</v>
      </c>
      <c r="BG405">
        <v>33.5</v>
      </c>
      <c r="BH405" s="20">
        <v>0.99270000000000003</v>
      </c>
      <c r="BI405" s="20">
        <v>3445.3051999999998</v>
      </c>
      <c r="BJ405" s="19">
        <v>80.476200000000006</v>
      </c>
      <c r="BK405">
        <v>0.99590000000000001</v>
      </c>
      <c r="BL405">
        <v>0.97699999999999998</v>
      </c>
      <c r="BM405">
        <v>0.96709999999999996</v>
      </c>
      <c r="BN405">
        <v>8</v>
      </c>
      <c r="BO405">
        <v>8.6489999999999991</v>
      </c>
      <c r="BP405">
        <v>26.33</v>
      </c>
      <c r="BQ405" s="19">
        <v>100.4425</v>
      </c>
      <c r="BR405">
        <v>82.862399999999994</v>
      </c>
      <c r="BS405" s="20">
        <v>6.2549999999999999</v>
      </c>
      <c r="BT405" s="20">
        <v>6.2549999999999999</v>
      </c>
      <c r="BU405" s="20">
        <v>11.85</v>
      </c>
      <c r="BV405" s="20">
        <v>11.853999999999999</v>
      </c>
      <c r="BW405" s="19">
        <v>80.193200000000004</v>
      </c>
      <c r="BX405">
        <v>19</v>
      </c>
      <c r="BY405" s="6">
        <v>4037749</v>
      </c>
      <c r="BZ405" s="5">
        <v>8946758</v>
      </c>
      <c r="CA405" s="7">
        <f t="shared" si="30"/>
        <v>2.2157786430013355</v>
      </c>
      <c r="CB405">
        <v>2794137</v>
      </c>
      <c r="CC405" s="8">
        <f t="shared" si="31"/>
        <v>3.2019754221070764</v>
      </c>
      <c r="CD405" s="8">
        <f t="shared" si="32"/>
        <v>1.4450791067152398</v>
      </c>
      <c r="CE405">
        <v>65284</v>
      </c>
      <c r="CF405" s="8">
        <f t="shared" si="33"/>
        <v>61.848982905459224</v>
      </c>
      <c r="CG405" s="8">
        <f t="shared" si="34"/>
        <v>137.04365541327124</v>
      </c>
      <c r="CH405">
        <v>104.77248</v>
      </c>
    </row>
    <row r="406" spans="1:86" ht="15.5" x14ac:dyDescent="0.35">
      <c r="A406" t="s">
        <v>102</v>
      </c>
      <c r="B406">
        <v>2020</v>
      </c>
      <c r="C406" s="2">
        <v>53.9636</v>
      </c>
      <c r="D406">
        <v>30088.48</v>
      </c>
      <c r="E406">
        <v>0.1177</v>
      </c>
      <c r="F406">
        <v>5.0990000000000002</v>
      </c>
      <c r="G406">
        <v>20000</v>
      </c>
      <c r="H406">
        <v>11</v>
      </c>
      <c r="I406" s="19">
        <v>110.628</v>
      </c>
      <c r="J406" s="19">
        <v>110.54</v>
      </c>
      <c r="K406" s="19">
        <v>2.9140000000000001</v>
      </c>
      <c r="L406" s="19">
        <v>78.571399999999997</v>
      </c>
      <c r="M406" s="19">
        <v>4134000000.0000005</v>
      </c>
      <c r="N406" s="19">
        <v>129.376</v>
      </c>
      <c r="O406">
        <v>37.335000000000001</v>
      </c>
      <c r="P406">
        <v>28.498899999999999</v>
      </c>
      <c r="Q406" s="19">
        <v>20520.438999999998</v>
      </c>
      <c r="R406" s="19">
        <v>17540.294900000001</v>
      </c>
      <c r="S406" s="19">
        <v>1.6E-2</v>
      </c>
      <c r="T406" s="19">
        <v>43330.5308</v>
      </c>
      <c r="U406" s="19">
        <v>41491.328200000004</v>
      </c>
      <c r="V406">
        <v>36</v>
      </c>
      <c r="W406" s="19">
        <v>81.428600000000003</v>
      </c>
      <c r="X406">
        <v>91</v>
      </c>
      <c r="Y406">
        <v>91</v>
      </c>
      <c r="Z406">
        <v>90</v>
      </c>
      <c r="AA406">
        <v>3.1</v>
      </c>
      <c r="AB406">
        <v>83.1</v>
      </c>
      <c r="AC406">
        <v>75.029300000000006</v>
      </c>
      <c r="AD406">
        <v>99.841200000000001</v>
      </c>
      <c r="AE406">
        <v>8</v>
      </c>
      <c r="AF406">
        <v>83.899199999999993</v>
      </c>
      <c r="AH406">
        <v>1.99</v>
      </c>
      <c r="AI406">
        <v>3.7</v>
      </c>
      <c r="AJ406">
        <v>3.4</v>
      </c>
      <c r="AK406">
        <v>4</v>
      </c>
      <c r="AL406">
        <v>61.150300000000001</v>
      </c>
      <c r="AM406">
        <v>2.1</v>
      </c>
      <c r="AN406">
        <v>19884</v>
      </c>
      <c r="AO406">
        <v>0</v>
      </c>
      <c r="AP406">
        <v>98.013400000000004</v>
      </c>
      <c r="AQ406">
        <v>94.283100000000005</v>
      </c>
      <c r="AR406">
        <v>94.9238</v>
      </c>
      <c r="AS406">
        <v>88.196100000000001</v>
      </c>
      <c r="AT406">
        <v>97.129900000000006</v>
      </c>
      <c r="AU406">
        <v>9.2188999999999997</v>
      </c>
      <c r="AV406" s="19">
        <v>78.773600000000002</v>
      </c>
      <c r="AW406">
        <v>0.2</v>
      </c>
      <c r="AX406">
        <v>20</v>
      </c>
      <c r="AY406">
        <v>7</v>
      </c>
      <c r="AZ406">
        <v>4</v>
      </c>
      <c r="BA406">
        <v>94.275199999999998</v>
      </c>
      <c r="BB406">
        <v>26.950399999999998</v>
      </c>
      <c r="BC406">
        <v>5.1345999999999998</v>
      </c>
      <c r="BD406" s="19">
        <v>4.8000000000000001E-2</v>
      </c>
      <c r="BE406" s="19">
        <v>83.333299999999994</v>
      </c>
      <c r="BF406">
        <v>60.806600000000003</v>
      </c>
      <c r="BG406">
        <v>31.7</v>
      </c>
      <c r="BH406" s="20">
        <v>1.1326000000000001</v>
      </c>
      <c r="BI406" s="20">
        <v>3643.2453999999998</v>
      </c>
      <c r="BJ406" s="19">
        <v>80.952399999999997</v>
      </c>
      <c r="BK406">
        <v>1.0006999999999999</v>
      </c>
      <c r="BL406">
        <v>0.98370000000000002</v>
      </c>
      <c r="BM406">
        <v>0.97460000000000002</v>
      </c>
      <c r="BN406">
        <v>8</v>
      </c>
      <c r="BO406">
        <v>10.76</v>
      </c>
      <c r="BP406">
        <v>24.52</v>
      </c>
      <c r="BQ406" s="19">
        <v>102.3484</v>
      </c>
      <c r="BR406">
        <v>82.862399999999994</v>
      </c>
      <c r="BS406" s="20">
        <v>8.4870000000000001</v>
      </c>
      <c r="BT406" s="20">
        <v>8.4870000000000001</v>
      </c>
      <c r="BU406" s="20">
        <v>19.556000000000001</v>
      </c>
      <c r="BV406" s="20">
        <v>19.561</v>
      </c>
      <c r="BW406" s="19">
        <v>80.676299999999998</v>
      </c>
      <c r="BX406">
        <v>19.100000000000001</v>
      </c>
      <c r="BY406" s="6">
        <v>2126714</v>
      </c>
      <c r="BZ406" s="5">
        <v>4931757</v>
      </c>
      <c r="CA406" s="7">
        <f t="shared" si="30"/>
        <v>2.3189563805946638</v>
      </c>
      <c r="CB406">
        <v>2794885</v>
      </c>
      <c r="CC406" s="8">
        <f t="shared" si="31"/>
        <v>1.764565268338411</v>
      </c>
      <c r="CD406" s="8">
        <f t="shared" si="32"/>
        <v>0.76093077174910595</v>
      </c>
      <c r="CE406">
        <v>65284</v>
      </c>
      <c r="CF406" s="8">
        <f t="shared" si="33"/>
        <v>32.576343361313647</v>
      </c>
      <c r="CG406" s="8">
        <f t="shared" si="34"/>
        <v>75.543119294160903</v>
      </c>
      <c r="CH406">
        <v>105.53265</v>
      </c>
    </row>
    <row r="407" spans="1:86" ht="15.5" x14ac:dyDescent="0.35">
      <c r="A407" t="s">
        <v>102</v>
      </c>
      <c r="B407">
        <v>2021</v>
      </c>
      <c r="C407" s="2">
        <v>53.981200000000001</v>
      </c>
      <c r="D407">
        <v>30156.68</v>
      </c>
      <c r="E407">
        <v>0.11119999999999999</v>
      </c>
      <c r="F407">
        <v>5.1159999999999997</v>
      </c>
      <c r="G407">
        <v>20000</v>
      </c>
      <c r="H407">
        <v>11</v>
      </c>
      <c r="I407" s="19">
        <v>115.745</v>
      </c>
      <c r="J407" s="19">
        <v>122.37</v>
      </c>
      <c r="K407" s="19">
        <v>6.2510000000000003</v>
      </c>
      <c r="L407" s="19">
        <v>79.523799999999994</v>
      </c>
      <c r="M407" s="19">
        <v>972000000</v>
      </c>
      <c r="N407" s="19">
        <v>160.786</v>
      </c>
      <c r="O407">
        <v>36.180999999999997</v>
      </c>
      <c r="P407">
        <v>28.712700000000002</v>
      </c>
      <c r="Q407" s="19">
        <v>23945.755000000001</v>
      </c>
      <c r="R407" s="19">
        <v>18619.702700000002</v>
      </c>
      <c r="S407" s="19">
        <v>6.1539000000000001</v>
      </c>
      <c r="T407" s="19">
        <v>45997.037600000003</v>
      </c>
      <c r="U407" s="19">
        <v>45997.037600000003</v>
      </c>
      <c r="V407">
        <v>36.700000000000003</v>
      </c>
      <c r="W407" s="19">
        <v>80.952399999999997</v>
      </c>
      <c r="X407">
        <v>90</v>
      </c>
      <c r="Y407">
        <v>90</v>
      </c>
      <c r="Z407">
        <v>88</v>
      </c>
      <c r="AA407">
        <v>3</v>
      </c>
      <c r="AB407">
        <v>86.9</v>
      </c>
      <c r="AC407">
        <v>74.036600000000007</v>
      </c>
      <c r="AD407">
        <v>96.538799999999995</v>
      </c>
      <c r="AE407">
        <v>9</v>
      </c>
      <c r="AH407">
        <v>1.17</v>
      </c>
      <c r="AI407">
        <v>3.6</v>
      </c>
      <c r="AJ407">
        <v>3.2</v>
      </c>
      <c r="AK407">
        <v>3.8</v>
      </c>
      <c r="AL407">
        <v>61.677399999999999</v>
      </c>
      <c r="AM407">
        <v>2.1</v>
      </c>
      <c r="AN407">
        <v>19657</v>
      </c>
      <c r="AO407">
        <v>0</v>
      </c>
      <c r="AP407">
        <v>98.025999999999996</v>
      </c>
      <c r="AQ407">
        <v>94.796000000000006</v>
      </c>
      <c r="AR407">
        <v>94.951800000000006</v>
      </c>
      <c r="AS407">
        <v>89.362099999999998</v>
      </c>
      <c r="AT407">
        <v>97.320099999999996</v>
      </c>
      <c r="AV407" s="19">
        <v>73.584900000000005</v>
      </c>
      <c r="AW407">
        <v>0.3</v>
      </c>
      <c r="AX407">
        <v>20.9</v>
      </c>
      <c r="AY407">
        <v>7</v>
      </c>
      <c r="AZ407">
        <v>4</v>
      </c>
      <c r="BA407">
        <v>94.793300000000002</v>
      </c>
      <c r="BB407">
        <v>27.659600000000001</v>
      </c>
      <c r="BC407">
        <v>5.2304000000000004</v>
      </c>
      <c r="BD407" s="19">
        <v>6.3609999999999998</v>
      </c>
      <c r="BE407" s="19">
        <v>86.1905</v>
      </c>
      <c r="BF407">
        <v>65.614400000000003</v>
      </c>
      <c r="BG407">
        <v>33.200000000000003</v>
      </c>
      <c r="BH407" s="20">
        <v>1.1044</v>
      </c>
      <c r="BI407" s="20">
        <v>3946.5106999999998</v>
      </c>
      <c r="BJ407" s="19">
        <v>82.857100000000003</v>
      </c>
      <c r="BN407">
        <v>8</v>
      </c>
      <c r="BO407">
        <v>11.314</v>
      </c>
      <c r="BP407">
        <v>22.12</v>
      </c>
      <c r="BQ407" s="19">
        <v>97.898899999999998</v>
      </c>
      <c r="BS407" s="20">
        <v>7.1120000000000001</v>
      </c>
      <c r="BT407" s="20">
        <v>7.1120000000000001</v>
      </c>
      <c r="BU407" s="20">
        <v>14.304</v>
      </c>
      <c r="BV407" s="20">
        <v>14.311</v>
      </c>
      <c r="BW407" s="19">
        <v>80.676299999999998</v>
      </c>
      <c r="BX407">
        <v>19.73</v>
      </c>
      <c r="BY407" s="6">
        <v>2467994</v>
      </c>
      <c r="BZ407" s="5">
        <v>5542548</v>
      </c>
      <c r="CA407" s="7">
        <f t="shared" si="30"/>
        <v>2.245770451629947</v>
      </c>
      <c r="CB407">
        <v>2800839</v>
      </c>
      <c r="CC407" s="8">
        <f t="shared" si="31"/>
        <v>1.9788884687766772</v>
      </c>
      <c r="CD407" s="8">
        <f t="shared" si="32"/>
        <v>0.88116239455391765</v>
      </c>
      <c r="CE407">
        <v>65284</v>
      </c>
      <c r="CF407" s="8">
        <f t="shared" si="33"/>
        <v>37.803964217878807</v>
      </c>
      <c r="CG407" s="8">
        <f t="shared" si="34"/>
        <v>84.899025794988049</v>
      </c>
      <c r="CH407">
        <v>107.14989</v>
      </c>
    </row>
    <row r="408" spans="1:86" ht="15.5" x14ac:dyDescent="0.35">
      <c r="A408" t="s">
        <v>102</v>
      </c>
      <c r="B408">
        <v>2022</v>
      </c>
      <c r="C408" s="2">
        <v>53.632800000000003</v>
      </c>
      <c r="E408">
        <v>9.9500000000000005E-2</v>
      </c>
      <c r="F408">
        <v>4.6440000000000001</v>
      </c>
      <c r="H408">
        <v>11</v>
      </c>
      <c r="I408" s="19">
        <v>137.572</v>
      </c>
      <c r="J408" s="19">
        <v>146.82</v>
      </c>
      <c r="K408" s="19">
        <v>8.7970000000000006</v>
      </c>
      <c r="L408" s="19">
        <v>76.415099999999995</v>
      </c>
      <c r="M408" s="19">
        <v>-4336000000</v>
      </c>
      <c r="N408" s="19"/>
      <c r="O408">
        <v>37.009</v>
      </c>
      <c r="P408">
        <v>28.725100000000001</v>
      </c>
      <c r="Q408" s="19">
        <v>25170.240000000002</v>
      </c>
      <c r="R408" s="19">
        <v>18884.514899999998</v>
      </c>
      <c r="S408" s="19">
        <v>1.4221999999999999</v>
      </c>
      <c r="T408" s="19">
        <v>46651.214200000002</v>
      </c>
      <c r="U408" s="19">
        <v>50498.382400000002</v>
      </c>
      <c r="W408" s="19">
        <v>79.716999999999999</v>
      </c>
      <c r="X408">
        <v>90</v>
      </c>
      <c r="Y408">
        <v>90</v>
      </c>
      <c r="Z408">
        <v>87</v>
      </c>
      <c r="AA408">
        <v>2.9</v>
      </c>
      <c r="AB408">
        <v>87.7</v>
      </c>
      <c r="AC408">
        <v>75.643900000000002</v>
      </c>
      <c r="AD408">
        <v>100.28449999999999</v>
      </c>
      <c r="AE408">
        <v>9</v>
      </c>
      <c r="AI408">
        <v>3.5</v>
      </c>
      <c r="AJ408">
        <v>3.1</v>
      </c>
      <c r="AK408">
        <v>3.7</v>
      </c>
      <c r="AL408">
        <v>61.663200000000003</v>
      </c>
      <c r="AM408">
        <v>2</v>
      </c>
      <c r="AN408">
        <v>72100</v>
      </c>
      <c r="AO408">
        <v>0</v>
      </c>
      <c r="AP408">
        <v>98.039400000000001</v>
      </c>
      <c r="AQ408">
        <v>95.306700000000006</v>
      </c>
      <c r="AR408">
        <v>94.981499999999997</v>
      </c>
      <c r="AS408">
        <v>90.528599999999997</v>
      </c>
      <c r="AT408">
        <v>97.507499999999993</v>
      </c>
      <c r="AV408" s="19">
        <v>68.867900000000006</v>
      </c>
      <c r="AY408">
        <v>7</v>
      </c>
      <c r="AZ408">
        <v>4</v>
      </c>
      <c r="BA408">
        <v>95.306700000000006</v>
      </c>
      <c r="BB408">
        <v>28.3688</v>
      </c>
      <c r="BC408">
        <v>4.7314999999999996</v>
      </c>
      <c r="BD408" s="19">
        <v>2.516</v>
      </c>
      <c r="BE408" s="19">
        <v>87.735799999999998</v>
      </c>
      <c r="BG408" s="23">
        <v>29.599</v>
      </c>
      <c r="BH408" s="20">
        <v>1.0531999999999999</v>
      </c>
      <c r="BI408" s="20">
        <v>4153.6581999999999</v>
      </c>
      <c r="BJ408" s="19">
        <v>83.018900000000002</v>
      </c>
      <c r="BN408">
        <v>8</v>
      </c>
      <c r="BO408">
        <v>9.6530000000000005</v>
      </c>
      <c r="BQ408" s="19"/>
      <c r="BS408" s="20">
        <v>5.9550000000000001</v>
      </c>
      <c r="BT408" s="20">
        <v>5.9560000000000004</v>
      </c>
      <c r="BU408" s="20">
        <v>11.872999999999999</v>
      </c>
      <c r="BV408" s="20">
        <v>11.927</v>
      </c>
      <c r="BW408" s="19">
        <v>81.642499999999998</v>
      </c>
      <c r="BX408">
        <v>24.29</v>
      </c>
      <c r="BY408" s="6">
        <v>3825203</v>
      </c>
      <c r="BZ408" s="5">
        <v>8073130</v>
      </c>
      <c r="CA408" s="7">
        <f t="shared" si="30"/>
        <v>2.1105102134448814</v>
      </c>
      <c r="CB408">
        <v>2831639</v>
      </c>
      <c r="CC408" s="8">
        <f t="shared" si="31"/>
        <v>2.8510449248650693</v>
      </c>
      <c r="CD408" s="8">
        <f t="shared" si="32"/>
        <v>1.3508794729836677</v>
      </c>
      <c r="CE408">
        <v>65284</v>
      </c>
      <c r="CF408" s="8">
        <f t="shared" si="33"/>
        <v>58.593269407511798</v>
      </c>
      <c r="CG408" s="8">
        <f t="shared" si="34"/>
        <v>123.66169352368115</v>
      </c>
      <c r="CH408">
        <v>116.24417</v>
      </c>
    </row>
    <row r="409" spans="1:86" ht="15.5" x14ac:dyDescent="0.35">
      <c r="A409" t="s">
        <v>102</v>
      </c>
      <c r="B409">
        <v>2023</v>
      </c>
      <c r="C409" s="26">
        <v>53.241</v>
      </c>
      <c r="E409">
        <v>9.8900000000000002E-2</v>
      </c>
      <c r="F409">
        <v>4.5670000000000002</v>
      </c>
      <c r="H409">
        <v>11</v>
      </c>
      <c r="I409" s="19">
        <v>149.52000000000001</v>
      </c>
      <c r="J409" s="19">
        <v>149.16999999999999</v>
      </c>
      <c r="K409" s="19">
        <v>6.0270000000000001</v>
      </c>
      <c r="L409" s="19">
        <v>77.830200000000005</v>
      </c>
      <c r="M409" s="19">
        <v>877000000</v>
      </c>
      <c r="N409" s="19"/>
      <c r="P409">
        <v>28.231000000000002</v>
      </c>
      <c r="Q409" s="19">
        <v>27684.698</v>
      </c>
      <c r="R409" s="19">
        <v>18685.551899999999</v>
      </c>
      <c r="S409" s="19">
        <v>-1.0536000000000001</v>
      </c>
      <c r="T409" s="19">
        <v>46159.707799999996</v>
      </c>
      <c r="U409" s="19">
        <v>50914.863799999999</v>
      </c>
      <c r="W409" s="19">
        <v>81.603800000000007</v>
      </c>
      <c r="X409">
        <v>90</v>
      </c>
      <c r="Y409">
        <v>89</v>
      </c>
      <c r="Z409">
        <v>87</v>
      </c>
      <c r="AA409">
        <v>2.8</v>
      </c>
      <c r="AB409">
        <v>88.5</v>
      </c>
      <c r="AC409">
        <v>76.987799999999993</v>
      </c>
      <c r="AE409">
        <v>8</v>
      </c>
      <c r="AI409">
        <v>3.4</v>
      </c>
      <c r="AJ409" s="25">
        <v>3.1</v>
      </c>
      <c r="AK409">
        <v>3.7</v>
      </c>
      <c r="AL409" s="24">
        <v>61.663200000000003</v>
      </c>
      <c r="AM409">
        <v>1.9</v>
      </c>
      <c r="AN409">
        <v>44935</v>
      </c>
      <c r="AV409" s="19">
        <v>72.511799999999994</v>
      </c>
      <c r="AY409">
        <v>7</v>
      </c>
      <c r="AZ409">
        <v>4</v>
      </c>
      <c r="BB409">
        <v>28.3688</v>
      </c>
      <c r="BD409" s="19">
        <v>0.42799999999999999</v>
      </c>
      <c r="BE409" s="19">
        <v>88.207599999999999</v>
      </c>
      <c r="BG409" s="23">
        <v>31.925999999999998</v>
      </c>
      <c r="BH409" s="20"/>
      <c r="BI409" s="20"/>
      <c r="BJ409" s="19">
        <v>86.792400000000001</v>
      </c>
      <c r="BN409">
        <v>8</v>
      </c>
      <c r="BO409">
        <v>13.547000000000001</v>
      </c>
      <c r="BQ409" s="19"/>
      <c r="BS409" s="20">
        <v>6.8410000000000002</v>
      </c>
      <c r="BT409" s="20">
        <v>6.8410000000000002</v>
      </c>
      <c r="BU409" s="20">
        <v>13.712</v>
      </c>
      <c r="BV409" s="20">
        <v>13.811999999999999</v>
      </c>
      <c r="BW409" s="19">
        <v>81.862700000000004</v>
      </c>
      <c r="BX409">
        <v>19.809999999999999</v>
      </c>
      <c r="BY409" s="6">
        <v>3992050</v>
      </c>
      <c r="BZ409" s="5">
        <v>8473828</v>
      </c>
      <c r="CA409" s="7">
        <f t="shared" si="30"/>
        <v>2.1226758181886498</v>
      </c>
      <c r="CB409">
        <v>2871585</v>
      </c>
      <c r="CC409" s="8">
        <f t="shared" si="31"/>
        <v>2.9509236188376802</v>
      </c>
      <c r="CD409" s="8">
        <f t="shared" si="32"/>
        <v>1.3901904348991934</v>
      </c>
      <c r="CE409">
        <v>65284</v>
      </c>
      <c r="CF409" s="8">
        <f t="shared" si="33"/>
        <v>61.148979841921452</v>
      </c>
      <c r="CG409" s="8">
        <f t="shared" si="34"/>
        <v>129.79946081735187</v>
      </c>
      <c r="CH409">
        <v>118.77878</v>
      </c>
    </row>
    <row r="410" spans="1:86" ht="15.5" x14ac:dyDescent="0.35">
      <c r="A410" t="s">
        <v>103</v>
      </c>
      <c r="B410">
        <v>2000</v>
      </c>
      <c r="C410" s="2">
        <v>49.200099999999999</v>
      </c>
      <c r="D410">
        <v>17196.14</v>
      </c>
      <c r="E410">
        <v>0.1777</v>
      </c>
      <c r="F410">
        <v>20.171199999999999</v>
      </c>
      <c r="G410">
        <v>9670</v>
      </c>
      <c r="H410">
        <v>11</v>
      </c>
      <c r="I410" s="19">
        <v>70.429000000000002</v>
      </c>
      <c r="J410" s="19">
        <v>71.86</v>
      </c>
      <c r="K410" s="19">
        <v>4.9669999999999996</v>
      </c>
      <c r="L410" s="19">
        <v>94.148899999999998</v>
      </c>
      <c r="M410" s="19">
        <v>2688000000</v>
      </c>
      <c r="N410" s="19">
        <v>48.760800000000003</v>
      </c>
      <c r="O410">
        <v>24.131</v>
      </c>
      <c r="Q410" s="19">
        <v>48984.173000000003</v>
      </c>
      <c r="R410" s="19">
        <v>92527.711800000005</v>
      </c>
      <c r="S410" s="19">
        <v>5.5103999999999997</v>
      </c>
      <c r="T410" s="19">
        <v>113539.1036</v>
      </c>
      <c r="U410" s="19">
        <v>55124.292300000001</v>
      </c>
      <c r="V410">
        <v>30.1</v>
      </c>
      <c r="W410" s="19">
        <v>96.721299999999999</v>
      </c>
      <c r="X410">
        <v>99</v>
      </c>
      <c r="Y410">
        <v>77</v>
      </c>
      <c r="Z410">
        <v>93</v>
      </c>
      <c r="AA410">
        <v>3.9</v>
      </c>
      <c r="AB410">
        <v>22.9</v>
      </c>
      <c r="AC410">
        <v>77.873199999999997</v>
      </c>
      <c r="AE410">
        <v>18</v>
      </c>
      <c r="AF410">
        <v>90.58</v>
      </c>
      <c r="AG410">
        <v>17.899999999999999</v>
      </c>
      <c r="AH410">
        <v>0.91</v>
      </c>
      <c r="AI410">
        <v>4.7</v>
      </c>
      <c r="AJ410">
        <v>4.2</v>
      </c>
      <c r="AK410">
        <v>5.0999999999999996</v>
      </c>
      <c r="AL410">
        <v>64.485699999999994</v>
      </c>
      <c r="AM410">
        <v>2.4</v>
      </c>
      <c r="AN410">
        <v>4516</v>
      </c>
      <c r="AO410">
        <v>0</v>
      </c>
      <c r="AP410">
        <v>100</v>
      </c>
      <c r="AQ410">
        <v>97.711399999999998</v>
      </c>
      <c r="AR410">
        <v>99.831599999999995</v>
      </c>
      <c r="AS410">
        <v>85.909599999999998</v>
      </c>
      <c r="AT410">
        <v>93.329099999999997</v>
      </c>
      <c r="AU410">
        <v>14.2553</v>
      </c>
      <c r="AV410" s="19">
        <v>98.941800000000001</v>
      </c>
      <c r="AW410">
        <v>0</v>
      </c>
      <c r="AZ410">
        <v>6</v>
      </c>
      <c r="BA410">
        <v>92.158000000000001</v>
      </c>
      <c r="BB410">
        <v>16.666699999999999</v>
      </c>
      <c r="BC410">
        <v>4.9329999999999998</v>
      </c>
      <c r="BD410" s="19">
        <v>8.4420000000000002</v>
      </c>
      <c r="BE410" s="19">
        <v>98.912999999999997</v>
      </c>
      <c r="BF410">
        <v>78.706699999999998</v>
      </c>
      <c r="BG410">
        <v>6.8</v>
      </c>
      <c r="BH410" s="20">
        <v>1.5831</v>
      </c>
      <c r="BI410" s="20">
        <v>3800.2073</v>
      </c>
      <c r="BJ410" s="19">
        <v>98.507499999999993</v>
      </c>
      <c r="BK410">
        <v>1.0114000000000001</v>
      </c>
      <c r="BL410">
        <v>1.0347999999999999</v>
      </c>
      <c r="BM410">
        <v>1.0584</v>
      </c>
      <c r="BN410">
        <v>7</v>
      </c>
      <c r="BO410">
        <v>5.0339999999999998</v>
      </c>
      <c r="BP410">
        <v>15.06</v>
      </c>
      <c r="BQ410" s="19">
        <v>133.4049</v>
      </c>
      <c r="BR410">
        <v>92.431799999999996</v>
      </c>
      <c r="BS410" s="20">
        <v>2.3450000000000002</v>
      </c>
      <c r="BT410" s="20">
        <v>2.3450000000000002</v>
      </c>
      <c r="BU410" s="20">
        <v>6.3760000000000003</v>
      </c>
      <c r="BV410" s="20">
        <v>6.3810000000000002</v>
      </c>
      <c r="BW410" s="19">
        <v>95.024900000000002</v>
      </c>
      <c r="BX410">
        <v>5.7</v>
      </c>
      <c r="BY410" s="5">
        <v>890267</v>
      </c>
      <c r="BZ410" s="6">
        <v>2595949</v>
      </c>
      <c r="CA410" s="7">
        <f t="shared" si="30"/>
        <v>2.9159218526576858</v>
      </c>
      <c r="CB410">
        <v>436300</v>
      </c>
      <c r="CC410" s="8">
        <f t="shared" si="31"/>
        <v>5.9499174879669949</v>
      </c>
      <c r="CD410" s="8">
        <f t="shared" si="32"/>
        <v>2.0404927801971122</v>
      </c>
      <c r="CE410">
        <v>2595</v>
      </c>
      <c r="CF410" s="8">
        <f t="shared" si="33"/>
        <v>343.07013487475916</v>
      </c>
      <c r="CG410" s="8">
        <f t="shared" si="34"/>
        <v>1000.3657032755299</v>
      </c>
      <c r="CH410">
        <v>92.394450000000006</v>
      </c>
    </row>
    <row r="411" spans="1:86" ht="15.5" x14ac:dyDescent="0.35">
      <c r="A411" t="s">
        <v>103</v>
      </c>
      <c r="B411">
        <v>2001</v>
      </c>
      <c r="C411" s="2">
        <v>48.942999999999998</v>
      </c>
      <c r="D411">
        <v>17226.72</v>
      </c>
      <c r="E411">
        <v>0.18279999999999999</v>
      </c>
      <c r="F411">
        <v>21.140599999999999</v>
      </c>
      <c r="G411">
        <v>10200</v>
      </c>
      <c r="H411">
        <v>11</v>
      </c>
      <c r="I411" s="19">
        <v>72.123000000000005</v>
      </c>
      <c r="J411" s="19">
        <v>72.56</v>
      </c>
      <c r="K411" s="19">
        <v>3.9790000000000001</v>
      </c>
      <c r="L411" s="19"/>
      <c r="M411" s="19">
        <v>1770000000</v>
      </c>
      <c r="N411" s="19">
        <v>56.938800000000001</v>
      </c>
      <c r="O411">
        <v>11.096</v>
      </c>
      <c r="P411">
        <v>0.27500000000000002</v>
      </c>
      <c r="Q411" s="19">
        <v>48718.906000000003</v>
      </c>
      <c r="R411" s="19">
        <v>94243.707299999995</v>
      </c>
      <c r="S411" s="19">
        <v>1.8546</v>
      </c>
      <c r="T411" s="19">
        <v>115644.7711</v>
      </c>
      <c r="U411" s="19">
        <v>56141.775199999996</v>
      </c>
      <c r="V411">
        <v>30.9</v>
      </c>
      <c r="W411" s="19"/>
      <c r="X411">
        <v>99</v>
      </c>
      <c r="Y411">
        <v>86</v>
      </c>
      <c r="Z411">
        <v>94</v>
      </c>
      <c r="AA411">
        <v>3.7</v>
      </c>
      <c r="AB411">
        <v>36.200000000000003</v>
      </c>
      <c r="AC411">
        <v>77.824399999999997</v>
      </c>
      <c r="AE411">
        <v>19</v>
      </c>
      <c r="AF411">
        <v>90.474199999999996</v>
      </c>
      <c r="AG411">
        <v>16.399999999999999</v>
      </c>
      <c r="AH411">
        <v>0.83</v>
      </c>
      <c r="AI411">
        <v>4.4000000000000004</v>
      </c>
      <c r="AJ411">
        <v>4</v>
      </c>
      <c r="AK411">
        <v>4.8</v>
      </c>
      <c r="AL411">
        <v>62.665599999999998</v>
      </c>
      <c r="AM411">
        <v>2.2999999999999998</v>
      </c>
      <c r="AN411">
        <v>3427</v>
      </c>
      <c r="AO411">
        <v>0</v>
      </c>
      <c r="AP411">
        <v>100</v>
      </c>
      <c r="AQ411">
        <v>97.702200000000005</v>
      </c>
      <c r="AR411">
        <v>99.830299999999994</v>
      </c>
      <c r="AS411">
        <v>85.904399999999995</v>
      </c>
      <c r="AT411">
        <v>93.329099999999997</v>
      </c>
      <c r="AU411">
        <v>14.0914</v>
      </c>
      <c r="AV411" s="19"/>
      <c r="AW411">
        <v>0</v>
      </c>
      <c r="AZ411">
        <v>6</v>
      </c>
      <c r="BA411">
        <v>92.203699999999998</v>
      </c>
      <c r="BB411">
        <v>16.666699999999999</v>
      </c>
      <c r="BC411">
        <v>5.3615000000000004</v>
      </c>
      <c r="BD411" s="19">
        <v>3.0739999999999998</v>
      </c>
      <c r="BE411" s="19"/>
      <c r="BF411">
        <v>56.800699999999999</v>
      </c>
      <c r="BG411">
        <v>3.4</v>
      </c>
      <c r="BH411" s="20"/>
      <c r="BI411" s="20"/>
      <c r="BJ411" s="19"/>
      <c r="BK411">
        <v>0.99629999999999996</v>
      </c>
      <c r="BL411">
        <v>1.0308999999999999</v>
      </c>
      <c r="BM411">
        <v>1.0664</v>
      </c>
      <c r="BN411">
        <v>7</v>
      </c>
      <c r="BO411">
        <v>5.5209999999999999</v>
      </c>
      <c r="BP411">
        <v>15.77</v>
      </c>
      <c r="BQ411" s="19">
        <v>132.25219999999999</v>
      </c>
      <c r="BR411">
        <v>93.1648</v>
      </c>
      <c r="BS411" s="20">
        <v>1.8049999999999999</v>
      </c>
      <c r="BT411" s="20">
        <v>1.8049999999999999</v>
      </c>
      <c r="BU411" s="20">
        <v>6.3360000000000003</v>
      </c>
      <c r="BV411" s="20">
        <v>6.34</v>
      </c>
      <c r="BW411" s="19"/>
      <c r="BX411">
        <v>5.58</v>
      </c>
      <c r="BY411" s="5">
        <v>878666</v>
      </c>
      <c r="BZ411" s="6">
        <v>2610378</v>
      </c>
      <c r="CA411" s="7">
        <f t="shared" si="30"/>
        <v>2.9708421630061936</v>
      </c>
      <c r="CB411">
        <v>441525</v>
      </c>
      <c r="CC411" s="8">
        <f t="shared" si="31"/>
        <v>5.9121861729233904</v>
      </c>
      <c r="CD411" s="8">
        <f t="shared" si="32"/>
        <v>1.9900707774191722</v>
      </c>
      <c r="CE411">
        <v>2595</v>
      </c>
      <c r="CF411" s="8">
        <f t="shared" si="33"/>
        <v>338.59961464354529</v>
      </c>
      <c r="CG411" s="8">
        <f t="shared" si="34"/>
        <v>1005.9260115606936</v>
      </c>
      <c r="CH411">
        <v>92.384609999999995</v>
      </c>
    </row>
    <row r="412" spans="1:86" ht="15.5" x14ac:dyDescent="0.35">
      <c r="A412" t="s">
        <v>103</v>
      </c>
      <c r="B412">
        <v>2002</v>
      </c>
      <c r="C412" s="2">
        <v>48.998699999999999</v>
      </c>
      <c r="D412">
        <v>17812.34</v>
      </c>
      <c r="E412">
        <v>0.1903</v>
      </c>
      <c r="F412">
        <v>22.4847</v>
      </c>
      <c r="G412">
        <v>10900</v>
      </c>
      <c r="H412">
        <v>11</v>
      </c>
      <c r="I412" s="19">
        <v>73.605000000000004</v>
      </c>
      <c r="J412" s="19">
        <v>74.61</v>
      </c>
      <c r="K412" s="19">
        <v>4.1139999999999999</v>
      </c>
      <c r="L412" s="19">
        <v>95.238100000000003</v>
      </c>
      <c r="M412" s="19">
        <v>1798000000</v>
      </c>
      <c r="N412" s="19">
        <v>59.595999999999997</v>
      </c>
      <c r="O412">
        <v>14.972</v>
      </c>
      <c r="P412">
        <v>1.3053999999999999</v>
      </c>
      <c r="Q412" s="19">
        <v>53227.764999999999</v>
      </c>
      <c r="R412" s="19">
        <v>96269.579400000002</v>
      </c>
      <c r="S412" s="19">
        <v>2.1496</v>
      </c>
      <c r="T412" s="19">
        <v>118130.6825</v>
      </c>
      <c r="U412" s="19">
        <v>58575.679300000003</v>
      </c>
      <c r="V412">
        <v>31</v>
      </c>
      <c r="W412" s="19">
        <v>98.918899999999994</v>
      </c>
      <c r="X412">
        <v>99</v>
      </c>
      <c r="Y412">
        <v>95</v>
      </c>
      <c r="Z412">
        <v>94</v>
      </c>
      <c r="AA412">
        <v>3.5</v>
      </c>
      <c r="AB412">
        <v>39.799999999999997</v>
      </c>
      <c r="AC412">
        <v>77.965900000000005</v>
      </c>
      <c r="AE412">
        <v>17</v>
      </c>
      <c r="AF412">
        <v>90.785700000000006</v>
      </c>
      <c r="AG412">
        <v>14.4</v>
      </c>
      <c r="AH412">
        <v>0.91</v>
      </c>
      <c r="AI412">
        <v>4.2</v>
      </c>
      <c r="AJ412">
        <v>3.7</v>
      </c>
      <c r="AK412">
        <v>4.5</v>
      </c>
      <c r="AL412">
        <v>62.213700000000003</v>
      </c>
      <c r="AM412">
        <v>2.1</v>
      </c>
      <c r="AN412">
        <v>2759</v>
      </c>
      <c r="AO412">
        <v>0</v>
      </c>
      <c r="AP412">
        <v>100</v>
      </c>
      <c r="AQ412">
        <v>97.695300000000003</v>
      </c>
      <c r="AR412">
        <v>99.829400000000007</v>
      </c>
      <c r="AS412">
        <v>85.899199999999993</v>
      </c>
      <c r="AT412">
        <v>93.329099999999997</v>
      </c>
      <c r="AU412">
        <v>13.936400000000001</v>
      </c>
      <c r="AV412" s="19">
        <v>99.4709</v>
      </c>
      <c r="AW412">
        <v>0</v>
      </c>
      <c r="AZ412">
        <v>6</v>
      </c>
      <c r="BA412">
        <v>92.236800000000002</v>
      </c>
      <c r="BB412">
        <v>16.666699999999999</v>
      </c>
      <c r="BC412">
        <v>5.6750999999999996</v>
      </c>
      <c r="BD412" s="19">
        <v>3.2250000000000001</v>
      </c>
      <c r="BE412" s="19">
        <v>99.459500000000006</v>
      </c>
      <c r="BF412">
        <v>28.135999999999999</v>
      </c>
      <c r="BG412">
        <v>1.3</v>
      </c>
      <c r="BH412" s="20"/>
      <c r="BI412" s="20"/>
      <c r="BJ412" s="19">
        <v>98.507499999999993</v>
      </c>
      <c r="BK412">
        <v>0.99319999999999997</v>
      </c>
      <c r="BL412">
        <v>1.0281</v>
      </c>
      <c r="BM412">
        <v>1.0643</v>
      </c>
      <c r="BN412">
        <v>7</v>
      </c>
      <c r="BO412">
        <v>5.016</v>
      </c>
      <c r="BP412">
        <v>15.14</v>
      </c>
      <c r="BQ412" s="19">
        <v>134.16820000000001</v>
      </c>
      <c r="BR412">
        <v>91.632499999999993</v>
      </c>
      <c r="BS412" s="20">
        <v>2.621</v>
      </c>
      <c r="BT412" s="20">
        <v>2.621</v>
      </c>
      <c r="BU412" s="20">
        <v>6.9509999999999996</v>
      </c>
      <c r="BV412" s="20">
        <v>6.96</v>
      </c>
      <c r="BW412" s="19">
        <v>94.029899999999998</v>
      </c>
      <c r="BX412">
        <v>13.15</v>
      </c>
      <c r="BY412" s="5">
        <v>934642</v>
      </c>
      <c r="BZ412" s="6">
        <v>2669973</v>
      </c>
      <c r="CA412" s="7">
        <f t="shared" si="30"/>
        <v>2.856679883848575</v>
      </c>
      <c r="CB412">
        <v>446175</v>
      </c>
      <c r="CC412" s="8">
        <f t="shared" si="31"/>
        <v>5.9841385106740628</v>
      </c>
      <c r="CD412" s="8">
        <f t="shared" si="32"/>
        <v>2.0947879195382977</v>
      </c>
      <c r="CE412">
        <v>2595</v>
      </c>
      <c r="CF412" s="8">
        <f t="shared" si="33"/>
        <v>360.17032755298652</v>
      </c>
      <c r="CG412" s="8">
        <f t="shared" si="34"/>
        <v>1028.8913294797687</v>
      </c>
      <c r="CH412">
        <v>92.194320000000005</v>
      </c>
    </row>
    <row r="413" spans="1:86" ht="15.5" x14ac:dyDescent="0.35">
      <c r="A413" t="s">
        <v>103</v>
      </c>
      <c r="B413">
        <v>2003</v>
      </c>
      <c r="C413" s="2">
        <v>48.8352</v>
      </c>
      <c r="D413">
        <v>19169.8</v>
      </c>
      <c r="E413">
        <v>0.1933</v>
      </c>
      <c r="F413">
        <v>23.147500000000001</v>
      </c>
      <c r="G413">
        <v>11400</v>
      </c>
      <c r="H413">
        <v>11</v>
      </c>
      <c r="I413" s="19">
        <v>75.465999999999994</v>
      </c>
      <c r="J413" s="19">
        <v>76.45</v>
      </c>
      <c r="K413" s="19">
        <v>3.5779999999999998</v>
      </c>
      <c r="L413" s="19">
        <v>91.534400000000005</v>
      </c>
      <c r="M413" s="19">
        <v>2119000000.0000002</v>
      </c>
      <c r="N413" s="19">
        <v>77.582800000000006</v>
      </c>
      <c r="O413">
        <v>11.169</v>
      </c>
      <c r="P413">
        <v>3.3975</v>
      </c>
      <c r="Q413" s="19">
        <v>66160.475999999995</v>
      </c>
      <c r="R413" s="19">
        <v>97597.996899999998</v>
      </c>
      <c r="S413" s="19">
        <v>1.3798999999999999</v>
      </c>
      <c r="T413" s="19">
        <v>119760.7599</v>
      </c>
      <c r="U413" s="19">
        <v>60199.8508</v>
      </c>
      <c r="V413">
        <v>30.2</v>
      </c>
      <c r="W413" s="19">
        <v>95.135099999999994</v>
      </c>
      <c r="X413">
        <v>98</v>
      </c>
      <c r="Y413">
        <v>95</v>
      </c>
      <c r="Z413">
        <v>95</v>
      </c>
      <c r="AA413">
        <v>3.3</v>
      </c>
      <c r="AB413">
        <v>54.6</v>
      </c>
      <c r="AC413">
        <v>77.726799999999997</v>
      </c>
      <c r="AE413">
        <v>15</v>
      </c>
      <c r="AF413">
        <v>90.983800000000002</v>
      </c>
      <c r="AG413">
        <v>12.3</v>
      </c>
      <c r="AH413">
        <v>0.92</v>
      </c>
      <c r="AI413">
        <v>3.9</v>
      </c>
      <c r="AJ413">
        <v>3.5</v>
      </c>
      <c r="AK413">
        <v>4.3</v>
      </c>
      <c r="AL413">
        <v>60.447000000000003</v>
      </c>
      <c r="AM413">
        <v>2</v>
      </c>
      <c r="AN413">
        <v>5581</v>
      </c>
      <c r="AO413">
        <v>0</v>
      </c>
      <c r="AP413">
        <v>100</v>
      </c>
      <c r="AQ413">
        <v>97.688699999999997</v>
      </c>
      <c r="AR413">
        <v>99.828500000000005</v>
      </c>
      <c r="AS413">
        <v>85.894000000000005</v>
      </c>
      <c r="AT413">
        <v>93.329099999999997</v>
      </c>
      <c r="AU413">
        <v>13.790900000000001</v>
      </c>
      <c r="AV413" s="19">
        <v>97.487399999999994</v>
      </c>
      <c r="AW413">
        <v>0.1</v>
      </c>
      <c r="AZ413">
        <v>6</v>
      </c>
      <c r="BA413">
        <v>92.269099999999995</v>
      </c>
      <c r="BB413">
        <v>16.666699999999999</v>
      </c>
      <c r="BC413">
        <v>5.8364000000000003</v>
      </c>
      <c r="BD413" s="19">
        <v>2.62</v>
      </c>
      <c r="BE413" s="19">
        <v>98.918899999999994</v>
      </c>
      <c r="BF413">
        <v>26.862200000000001</v>
      </c>
      <c r="BG413">
        <v>1.3</v>
      </c>
      <c r="BH413" s="20">
        <v>1.6234999999999999</v>
      </c>
      <c r="BI413" s="20">
        <v>4345.4994999999999</v>
      </c>
      <c r="BJ413" s="19">
        <v>95.522400000000005</v>
      </c>
      <c r="BK413">
        <v>0.99770000000000003</v>
      </c>
      <c r="BL413">
        <v>1.0257000000000001</v>
      </c>
      <c r="BM413">
        <v>1.054</v>
      </c>
      <c r="BN413">
        <v>7</v>
      </c>
      <c r="BO413">
        <v>5.1379999999999999</v>
      </c>
      <c r="BP413">
        <v>15.06</v>
      </c>
      <c r="BQ413" s="19">
        <v>126.54940000000001</v>
      </c>
      <c r="BR413">
        <v>87.2256</v>
      </c>
      <c r="BS413" s="20">
        <v>3.6749999999999998</v>
      </c>
      <c r="BT413" s="20">
        <v>3.6749999999999998</v>
      </c>
      <c r="BU413" s="20">
        <v>10.891</v>
      </c>
      <c r="BV413" s="20">
        <v>10.927</v>
      </c>
      <c r="BW413" s="19">
        <v>97.014899999999997</v>
      </c>
      <c r="BX413">
        <v>12.08</v>
      </c>
      <c r="BY413" s="5">
        <v>918551</v>
      </c>
      <c r="BZ413" s="6">
        <v>2736134</v>
      </c>
      <c r="CA413" s="7">
        <f t="shared" si="30"/>
        <v>2.9787502272601087</v>
      </c>
      <c r="CB413">
        <v>451630</v>
      </c>
      <c r="CC413" s="8">
        <f t="shared" si="31"/>
        <v>6.0583530766335274</v>
      </c>
      <c r="CD413" s="8">
        <f t="shared" si="32"/>
        <v>2.0338573611141864</v>
      </c>
      <c r="CE413">
        <v>2595</v>
      </c>
      <c r="CF413" s="8">
        <f t="shared" si="33"/>
        <v>353.96955684007708</v>
      </c>
      <c r="CG413" s="8">
        <f t="shared" si="34"/>
        <v>1054.3868978805394</v>
      </c>
      <c r="CH413">
        <v>92.973789999999994</v>
      </c>
    </row>
    <row r="414" spans="1:86" ht="15.5" x14ac:dyDescent="0.35">
      <c r="A414" t="s">
        <v>103</v>
      </c>
      <c r="B414">
        <v>2004</v>
      </c>
      <c r="C414" s="2">
        <v>48.641399999999997</v>
      </c>
      <c r="D414">
        <v>20943.57</v>
      </c>
      <c r="E414">
        <v>0.2107</v>
      </c>
      <c r="F414">
        <v>25.933900000000001</v>
      </c>
      <c r="G414">
        <v>12800</v>
      </c>
      <c r="H414">
        <v>11</v>
      </c>
      <c r="I414" s="19">
        <v>77.914000000000001</v>
      </c>
      <c r="J414" s="19">
        <v>79.14</v>
      </c>
      <c r="K414" s="19">
        <v>4.0730000000000004</v>
      </c>
      <c r="L414" s="19">
        <v>93.103399999999993</v>
      </c>
      <c r="M414" s="19">
        <v>2479000000</v>
      </c>
      <c r="N414" s="19">
        <v>94.810100000000006</v>
      </c>
      <c r="O414">
        <v>12.172000000000001</v>
      </c>
      <c r="P414">
        <v>7.9642999999999997</v>
      </c>
      <c r="Q414" s="19">
        <v>77030.645999999993</v>
      </c>
      <c r="R414" s="19">
        <v>100292.56849999999</v>
      </c>
      <c r="S414" s="19">
        <v>2.7608999999999999</v>
      </c>
      <c r="T414" s="19">
        <v>123067.2206</v>
      </c>
      <c r="U414" s="19">
        <v>64694.433400000002</v>
      </c>
      <c r="V414">
        <v>30.2</v>
      </c>
      <c r="W414" s="19">
        <v>94.5274</v>
      </c>
      <c r="X414">
        <v>99</v>
      </c>
      <c r="Y414">
        <v>94</v>
      </c>
      <c r="Z414">
        <v>95</v>
      </c>
      <c r="AA414">
        <v>3.1</v>
      </c>
      <c r="AB414">
        <v>65.900000000000006</v>
      </c>
      <c r="AC414">
        <v>79.122</v>
      </c>
      <c r="AE414">
        <v>17</v>
      </c>
      <c r="AF414">
        <v>91.332099999999997</v>
      </c>
      <c r="AG414">
        <v>11.5</v>
      </c>
      <c r="AH414">
        <v>0.82</v>
      </c>
      <c r="AI414">
        <v>3.7</v>
      </c>
      <c r="AJ414">
        <v>3.3</v>
      </c>
      <c r="AK414">
        <v>4</v>
      </c>
      <c r="AL414">
        <v>61.324599999999997</v>
      </c>
      <c r="AM414">
        <v>1.9</v>
      </c>
      <c r="AN414">
        <v>4566</v>
      </c>
      <c r="AO414">
        <v>0</v>
      </c>
      <c r="AP414">
        <v>100</v>
      </c>
      <c r="AQ414">
        <v>97.681399999999996</v>
      </c>
      <c r="AR414">
        <v>99.827600000000004</v>
      </c>
      <c r="AS414">
        <v>85.888800000000003</v>
      </c>
      <c r="AT414">
        <v>93.328199999999995</v>
      </c>
      <c r="AU414">
        <v>13.655200000000001</v>
      </c>
      <c r="AV414" s="19">
        <v>95.145600000000002</v>
      </c>
      <c r="AW414">
        <v>0</v>
      </c>
      <c r="AZ414">
        <v>6</v>
      </c>
      <c r="BA414">
        <v>92.299899999999994</v>
      </c>
      <c r="BB414">
        <v>23.333300000000001</v>
      </c>
      <c r="BC414">
        <v>6.1519000000000004</v>
      </c>
      <c r="BD414" s="19">
        <v>4.2309999999999999</v>
      </c>
      <c r="BE414" s="19">
        <v>99.502499999999998</v>
      </c>
      <c r="BF414">
        <v>22.8809</v>
      </c>
      <c r="BG414">
        <v>1.4</v>
      </c>
      <c r="BH414" s="20">
        <v>1.5882000000000001</v>
      </c>
      <c r="BI414" s="20">
        <v>4461.6688999999997</v>
      </c>
      <c r="BJ414" s="19">
        <v>96.634600000000006</v>
      </c>
      <c r="BK414">
        <v>0.99819999999999998</v>
      </c>
      <c r="BL414">
        <v>1.0237000000000001</v>
      </c>
      <c r="BM414">
        <v>1.0497000000000001</v>
      </c>
      <c r="BN414">
        <v>7</v>
      </c>
      <c r="BO414">
        <v>6.2510000000000003</v>
      </c>
      <c r="BP414">
        <v>11.57</v>
      </c>
      <c r="BQ414" s="19">
        <v>119.71380000000001</v>
      </c>
      <c r="BR414">
        <v>80.783699999999996</v>
      </c>
      <c r="BS414" s="20">
        <v>5.1130000000000004</v>
      </c>
      <c r="BT414" s="20">
        <v>5.1130000000000004</v>
      </c>
      <c r="BU414" s="20">
        <v>16.818000000000001</v>
      </c>
      <c r="BV414" s="20">
        <v>16.911000000000001</v>
      </c>
      <c r="BW414" s="19">
        <v>96.634600000000006</v>
      </c>
      <c r="BX414">
        <v>12.08</v>
      </c>
      <c r="BY414" s="5">
        <v>932795</v>
      </c>
      <c r="BZ414" s="6">
        <v>2721730</v>
      </c>
      <c r="CA414" s="7">
        <f t="shared" si="30"/>
        <v>2.917822243901393</v>
      </c>
      <c r="CB414">
        <v>458095</v>
      </c>
      <c r="CC414" s="8">
        <f t="shared" si="31"/>
        <v>5.9414095329571381</v>
      </c>
      <c r="CD414" s="8">
        <f t="shared" si="32"/>
        <v>2.0362479398378066</v>
      </c>
      <c r="CE414">
        <v>2595</v>
      </c>
      <c r="CF414" s="8">
        <f t="shared" si="33"/>
        <v>359.45857418111751</v>
      </c>
      <c r="CG414" s="8">
        <f t="shared" si="34"/>
        <v>1048.8362235067436</v>
      </c>
      <c r="CH414">
        <v>94.075379999999996</v>
      </c>
    </row>
    <row r="415" spans="1:86" ht="15.5" x14ac:dyDescent="0.35">
      <c r="A415" t="s">
        <v>103</v>
      </c>
      <c r="B415">
        <v>2005</v>
      </c>
      <c r="C415" s="2">
        <v>48.427399999999999</v>
      </c>
      <c r="D415">
        <v>20788.12</v>
      </c>
      <c r="E415">
        <v>0.2097</v>
      </c>
      <c r="F415">
        <v>26.042999999999999</v>
      </c>
      <c r="G415">
        <v>13000</v>
      </c>
      <c r="H415">
        <v>11</v>
      </c>
      <c r="I415" s="19">
        <v>80.843999999999994</v>
      </c>
      <c r="J415" s="19">
        <v>81.92</v>
      </c>
      <c r="K415" s="19">
        <v>3.875</v>
      </c>
      <c r="L415" s="19">
        <v>92.682900000000004</v>
      </c>
      <c r="M415" s="19">
        <v>2615000000</v>
      </c>
      <c r="N415" s="19">
        <v>109.6738</v>
      </c>
      <c r="O415">
        <v>9.3460000000000001</v>
      </c>
      <c r="P415">
        <v>15.063499999999999</v>
      </c>
      <c r="Q415" s="19">
        <v>81728.361999999994</v>
      </c>
      <c r="R415" s="19">
        <v>101222.0457</v>
      </c>
      <c r="S415" s="19">
        <v>0.92679999999999996</v>
      </c>
      <c r="T415" s="19">
        <v>124207.76549999999</v>
      </c>
      <c r="U415" s="19">
        <v>68787.854699999996</v>
      </c>
      <c r="V415">
        <v>30.8</v>
      </c>
      <c r="W415" s="19">
        <v>95.588200000000001</v>
      </c>
      <c r="X415">
        <v>99</v>
      </c>
      <c r="Y415">
        <v>95</v>
      </c>
      <c r="Z415">
        <v>95</v>
      </c>
      <c r="AA415">
        <v>2.9</v>
      </c>
      <c r="AB415">
        <v>70</v>
      </c>
      <c r="AC415">
        <v>79.431700000000006</v>
      </c>
      <c r="AE415">
        <v>17</v>
      </c>
      <c r="AF415">
        <v>92.846000000000004</v>
      </c>
      <c r="AG415">
        <v>10.5</v>
      </c>
      <c r="AH415">
        <v>1.18</v>
      </c>
      <c r="AI415">
        <v>3.5</v>
      </c>
      <c r="AJ415">
        <v>3.1</v>
      </c>
      <c r="AK415">
        <v>3.8</v>
      </c>
      <c r="AL415">
        <v>62.313299999999998</v>
      </c>
      <c r="AM415">
        <v>1.8</v>
      </c>
      <c r="AN415">
        <v>6310</v>
      </c>
      <c r="AO415">
        <v>0</v>
      </c>
      <c r="AP415">
        <v>100</v>
      </c>
      <c r="AQ415">
        <v>97.674099999999996</v>
      </c>
      <c r="AR415">
        <v>99.826800000000006</v>
      </c>
      <c r="AS415">
        <v>85.883600000000001</v>
      </c>
      <c r="AT415">
        <v>93.326999999999998</v>
      </c>
      <c r="AU415">
        <v>13.5299</v>
      </c>
      <c r="AV415" s="19">
        <v>95.145600000000002</v>
      </c>
      <c r="AW415">
        <v>0</v>
      </c>
      <c r="AZ415">
        <v>6</v>
      </c>
      <c r="BA415">
        <v>92.329499999999996</v>
      </c>
      <c r="BB415">
        <v>23.333300000000001</v>
      </c>
      <c r="BC415">
        <v>5.9942000000000002</v>
      </c>
      <c r="BD415" s="19">
        <v>2.4830000000000001</v>
      </c>
      <c r="BE415" s="19">
        <v>97.549000000000007</v>
      </c>
      <c r="BF415">
        <v>24.0625</v>
      </c>
      <c r="BG415">
        <v>1.9</v>
      </c>
      <c r="BH415" s="20">
        <v>1.5587</v>
      </c>
      <c r="BI415" s="20">
        <v>4826.3530000000001</v>
      </c>
      <c r="BJ415" s="19">
        <v>96.650700000000001</v>
      </c>
      <c r="BK415">
        <v>1.0015000000000001</v>
      </c>
      <c r="BL415">
        <v>1.0276000000000001</v>
      </c>
      <c r="BM415">
        <v>1.0541</v>
      </c>
      <c r="BN415">
        <v>7</v>
      </c>
      <c r="BO415">
        <v>5.4980000000000002</v>
      </c>
      <c r="BP415">
        <v>12.86</v>
      </c>
      <c r="BQ415" s="19">
        <v>118.45659999999999</v>
      </c>
      <c r="BR415">
        <v>84.045199999999994</v>
      </c>
      <c r="BS415" s="20">
        <v>4.4880000000000004</v>
      </c>
      <c r="BT415" s="20">
        <v>4.4880000000000004</v>
      </c>
      <c r="BU415" s="20">
        <v>13.64</v>
      </c>
      <c r="BV415" s="20">
        <v>13.689</v>
      </c>
      <c r="BW415" s="19">
        <v>96.153800000000004</v>
      </c>
      <c r="BX415">
        <v>14.47</v>
      </c>
      <c r="BY415" s="5">
        <v>974104</v>
      </c>
      <c r="BZ415" s="6">
        <v>2682040</v>
      </c>
      <c r="CA415" s="7">
        <f t="shared" si="30"/>
        <v>2.7533405057365536</v>
      </c>
      <c r="CB415">
        <v>465158</v>
      </c>
      <c r="CC415" s="8">
        <f t="shared" si="31"/>
        <v>5.7658688015684989</v>
      </c>
      <c r="CD415" s="8">
        <f t="shared" si="32"/>
        <v>2.094135756022685</v>
      </c>
      <c r="CE415">
        <v>2595</v>
      </c>
      <c r="CF415" s="8">
        <f t="shared" si="33"/>
        <v>375.37726396917151</v>
      </c>
      <c r="CG415" s="8">
        <f t="shared" si="34"/>
        <v>1033.5414258188825</v>
      </c>
      <c r="CH415">
        <v>95.383129999999994</v>
      </c>
    </row>
    <row r="416" spans="1:86" ht="15.5" x14ac:dyDescent="0.35">
      <c r="A416" t="s">
        <v>103</v>
      </c>
      <c r="B416">
        <v>2006</v>
      </c>
      <c r="C416" s="2">
        <v>48.068800000000003</v>
      </c>
      <c r="D416">
        <v>20979.41</v>
      </c>
      <c r="E416">
        <v>0.19500000000000001</v>
      </c>
      <c r="F416">
        <v>25.2667</v>
      </c>
      <c r="G416">
        <v>12900</v>
      </c>
      <c r="H416">
        <v>11</v>
      </c>
      <c r="I416" s="19">
        <v>83.239000000000004</v>
      </c>
      <c r="J416" s="19">
        <v>83.78</v>
      </c>
      <c r="K416" s="19">
        <v>3.7789999999999999</v>
      </c>
      <c r="L416" s="19">
        <v>94.146299999999997</v>
      </c>
      <c r="M416" s="19">
        <v>2850000000</v>
      </c>
      <c r="N416" s="19">
        <v>133.63</v>
      </c>
      <c r="O416">
        <v>21.164000000000001</v>
      </c>
      <c r="P416">
        <v>20.921399999999998</v>
      </c>
      <c r="Q416" s="19">
        <v>91478.072</v>
      </c>
      <c r="R416" s="19">
        <v>105614.1799</v>
      </c>
      <c r="S416" s="19">
        <v>4.3391000000000002</v>
      </c>
      <c r="T416" s="19">
        <v>129597.2749</v>
      </c>
      <c r="U416" s="19">
        <v>78878.027499999997</v>
      </c>
      <c r="V416">
        <v>30.9</v>
      </c>
      <c r="W416" s="19">
        <v>90.243899999999996</v>
      </c>
      <c r="X416">
        <v>99</v>
      </c>
      <c r="Y416">
        <v>95</v>
      </c>
      <c r="Z416">
        <v>95</v>
      </c>
      <c r="AA416">
        <v>2.7</v>
      </c>
      <c r="AB416">
        <v>72.5</v>
      </c>
      <c r="AC416">
        <v>79.287800000000004</v>
      </c>
      <c r="AD416">
        <v>96.947100000000006</v>
      </c>
      <c r="AE416">
        <v>16</v>
      </c>
      <c r="AF416">
        <v>92.778099999999995</v>
      </c>
      <c r="AG416">
        <v>9.4</v>
      </c>
      <c r="AH416">
        <v>1.32</v>
      </c>
      <c r="AI416">
        <v>3.3</v>
      </c>
      <c r="AJ416">
        <v>3</v>
      </c>
      <c r="AK416">
        <v>3.6</v>
      </c>
      <c r="AL416">
        <v>66.201499999999996</v>
      </c>
      <c r="AM416">
        <v>1.7</v>
      </c>
      <c r="AN416">
        <v>5557</v>
      </c>
      <c r="AO416">
        <v>0</v>
      </c>
      <c r="AP416">
        <v>100</v>
      </c>
      <c r="AQ416">
        <v>97.666899999999998</v>
      </c>
      <c r="AR416">
        <v>99.825999999999993</v>
      </c>
      <c r="AS416">
        <v>85.878399999999999</v>
      </c>
      <c r="AT416">
        <v>93.325800000000001</v>
      </c>
      <c r="AU416">
        <v>13.4267</v>
      </c>
      <c r="AV416" s="19">
        <v>99.033799999999999</v>
      </c>
      <c r="AW416">
        <v>0</v>
      </c>
      <c r="AZ416">
        <v>6</v>
      </c>
      <c r="BA416">
        <v>92.3583</v>
      </c>
      <c r="BB416">
        <v>23.333300000000001</v>
      </c>
      <c r="BC416">
        <v>5.5610999999999997</v>
      </c>
      <c r="BD416" s="19">
        <v>6.016</v>
      </c>
      <c r="BE416" s="19">
        <v>96.568600000000004</v>
      </c>
      <c r="BF416">
        <v>24.2684</v>
      </c>
      <c r="BG416">
        <v>2.1</v>
      </c>
      <c r="BH416" s="20">
        <v>1.6489</v>
      </c>
      <c r="BI416" s="20">
        <v>4377.1387000000004</v>
      </c>
      <c r="BJ416" s="19">
        <v>93.301400000000001</v>
      </c>
      <c r="BK416">
        <v>1.0053000000000001</v>
      </c>
      <c r="BL416">
        <v>1.0215000000000001</v>
      </c>
      <c r="BM416">
        <v>1.0376000000000001</v>
      </c>
      <c r="BN416">
        <v>7</v>
      </c>
      <c r="BO416">
        <v>6.694</v>
      </c>
      <c r="BP416">
        <v>14.14</v>
      </c>
      <c r="BQ416" s="19">
        <v>114.366</v>
      </c>
      <c r="BR416">
        <v>81.856999999999999</v>
      </c>
      <c r="BS416" s="20">
        <v>4.7309999999999999</v>
      </c>
      <c r="BT416" s="20">
        <v>4.7309999999999999</v>
      </c>
      <c r="BU416" s="20">
        <v>15.986000000000001</v>
      </c>
      <c r="BV416" s="20">
        <v>16.175999999999998</v>
      </c>
      <c r="BW416" s="19">
        <v>99.519199999999998</v>
      </c>
      <c r="BX416">
        <v>15.24</v>
      </c>
      <c r="BY416" s="5">
        <v>967881</v>
      </c>
      <c r="BZ416" s="6">
        <v>2611142</v>
      </c>
      <c r="CA416" s="7">
        <f t="shared" si="30"/>
        <v>2.6977923938996633</v>
      </c>
      <c r="CB416">
        <v>472637</v>
      </c>
      <c r="CC416" s="8">
        <f t="shared" si="31"/>
        <v>5.524624606198838</v>
      </c>
      <c r="CD416" s="8">
        <f t="shared" si="32"/>
        <v>2.0478316340024163</v>
      </c>
      <c r="CE416">
        <v>2595</v>
      </c>
      <c r="CF416" s="8">
        <f t="shared" si="33"/>
        <v>372.97919075144506</v>
      </c>
      <c r="CG416" s="8">
        <f t="shared" si="34"/>
        <v>1006.2204238921001</v>
      </c>
      <c r="CH416">
        <v>96.082329999999999</v>
      </c>
    </row>
    <row r="417" spans="1:86" ht="15.5" x14ac:dyDescent="0.35">
      <c r="A417" t="s">
        <v>103</v>
      </c>
      <c r="B417">
        <v>2007</v>
      </c>
      <c r="C417" s="2">
        <v>47.680199999999999</v>
      </c>
      <c r="D417">
        <v>21183.39</v>
      </c>
      <c r="E417">
        <v>0.17130000000000001</v>
      </c>
      <c r="F417">
        <v>23.628499999999999</v>
      </c>
      <c r="G417">
        <v>12300</v>
      </c>
      <c r="H417">
        <v>11</v>
      </c>
      <c r="I417" s="19">
        <v>85.448999999999998</v>
      </c>
      <c r="J417" s="19">
        <v>87.41</v>
      </c>
      <c r="K417" s="19">
        <v>5.1950000000000003</v>
      </c>
      <c r="L417" s="19">
        <v>94.174800000000005</v>
      </c>
      <c r="M417" s="19">
        <v>3379000000</v>
      </c>
      <c r="N417" s="19">
        <v>130.63849999999999</v>
      </c>
      <c r="O417">
        <v>9.7430000000000003</v>
      </c>
      <c r="P417">
        <v>26.793299999999999</v>
      </c>
      <c r="Q417" s="19">
        <v>108344.425</v>
      </c>
      <c r="R417" s="19">
        <v>112417.87850000001</v>
      </c>
      <c r="S417" s="19">
        <v>6.4420000000000002</v>
      </c>
      <c r="T417" s="19">
        <v>137945.97200000001</v>
      </c>
      <c r="U417" s="19">
        <v>85129.188800000004</v>
      </c>
      <c r="V417">
        <v>31.1</v>
      </c>
      <c r="W417" s="19">
        <v>91.262100000000004</v>
      </c>
      <c r="X417">
        <v>99</v>
      </c>
      <c r="Y417">
        <v>87</v>
      </c>
      <c r="Z417">
        <v>96</v>
      </c>
      <c r="AA417">
        <v>2.6</v>
      </c>
      <c r="AB417">
        <v>78.900000000000006</v>
      </c>
      <c r="AC417">
        <v>79.382900000000006</v>
      </c>
      <c r="AD417">
        <v>94.811000000000007</v>
      </c>
      <c r="AE417">
        <v>14</v>
      </c>
      <c r="AF417">
        <v>92.900400000000005</v>
      </c>
      <c r="AG417">
        <v>9.6999999999999993</v>
      </c>
      <c r="AH417">
        <v>1.76</v>
      </c>
      <c r="AI417">
        <v>3.1</v>
      </c>
      <c r="AJ417">
        <v>2.8</v>
      </c>
      <c r="AK417">
        <v>3.4</v>
      </c>
      <c r="AL417">
        <v>63.024999999999999</v>
      </c>
      <c r="AM417">
        <v>1.6</v>
      </c>
      <c r="AN417">
        <v>6244</v>
      </c>
      <c r="AO417">
        <v>0</v>
      </c>
      <c r="AP417">
        <v>100</v>
      </c>
      <c r="AQ417">
        <v>97.66</v>
      </c>
      <c r="AR417">
        <v>99.825199999999995</v>
      </c>
      <c r="AS417">
        <v>85.873199999999997</v>
      </c>
      <c r="AT417">
        <v>93.324600000000004</v>
      </c>
      <c r="AU417">
        <v>13.3437</v>
      </c>
      <c r="AV417" s="19">
        <v>99.033799999999999</v>
      </c>
      <c r="AW417">
        <v>0</v>
      </c>
      <c r="AZ417">
        <v>6</v>
      </c>
      <c r="BA417">
        <v>92.386399999999995</v>
      </c>
      <c r="BB417">
        <v>23.333300000000001</v>
      </c>
      <c r="BC417">
        <v>5.2569999999999997</v>
      </c>
      <c r="BD417" s="19">
        <v>8.0990000000000002</v>
      </c>
      <c r="BE417" s="19">
        <v>97.087400000000002</v>
      </c>
      <c r="BF417">
        <v>26.6478</v>
      </c>
      <c r="BG417">
        <v>3.6</v>
      </c>
      <c r="BH417" s="20">
        <v>1.5717000000000001</v>
      </c>
      <c r="BI417" s="20">
        <v>4618.9364999999998</v>
      </c>
      <c r="BJ417" s="19">
        <v>94.736800000000002</v>
      </c>
      <c r="BK417">
        <v>0.99980000000000002</v>
      </c>
      <c r="BL417">
        <v>1.0165</v>
      </c>
      <c r="BM417">
        <v>1.0327</v>
      </c>
      <c r="BN417">
        <v>7</v>
      </c>
      <c r="BO417">
        <v>5.6589999999999998</v>
      </c>
      <c r="BP417">
        <v>13.46</v>
      </c>
      <c r="BQ417" s="19">
        <v>113.4114</v>
      </c>
      <c r="BR417">
        <v>83.500500000000002</v>
      </c>
      <c r="BS417" s="20">
        <v>4.0650000000000004</v>
      </c>
      <c r="BT417" s="20">
        <v>4.0650000000000004</v>
      </c>
      <c r="BU417" s="20">
        <v>14.843</v>
      </c>
      <c r="BV417" s="20">
        <v>15.189</v>
      </c>
      <c r="BW417" s="19">
        <v>99.519199999999998</v>
      </c>
      <c r="BX417">
        <v>15.1</v>
      </c>
      <c r="BY417" s="5">
        <v>979214</v>
      </c>
      <c r="BZ417" s="6">
        <v>2527820</v>
      </c>
      <c r="CA417" s="7">
        <f t="shared" si="30"/>
        <v>2.5814786144805937</v>
      </c>
      <c r="CB417">
        <v>479993</v>
      </c>
      <c r="CC417" s="8">
        <f t="shared" si="31"/>
        <v>5.2663684678734901</v>
      </c>
      <c r="CD417" s="8">
        <f t="shared" si="32"/>
        <v>2.0400589175258808</v>
      </c>
      <c r="CE417">
        <v>2595</v>
      </c>
      <c r="CF417" s="8">
        <f t="shared" si="33"/>
        <v>377.34643545279386</v>
      </c>
      <c r="CG417" s="8">
        <f t="shared" si="34"/>
        <v>974.11175337186899</v>
      </c>
      <c r="CH417">
        <v>96.373919999999998</v>
      </c>
    </row>
    <row r="418" spans="1:86" ht="15.5" x14ac:dyDescent="0.35">
      <c r="A418" t="s">
        <v>103</v>
      </c>
      <c r="B418">
        <v>2008</v>
      </c>
      <c r="C418" s="2">
        <v>47.213000000000001</v>
      </c>
      <c r="D418">
        <v>22071.87</v>
      </c>
      <c r="E418">
        <v>0.16980000000000001</v>
      </c>
      <c r="F418">
        <v>22.945900000000002</v>
      </c>
      <c r="G418">
        <v>12100</v>
      </c>
      <c r="H418">
        <v>11</v>
      </c>
      <c r="I418" s="19">
        <v>88.945999999999998</v>
      </c>
      <c r="J418" s="19">
        <v>88.04</v>
      </c>
      <c r="K418" s="19">
        <v>4.5810000000000004</v>
      </c>
      <c r="L418" s="19">
        <v>95.145600000000002</v>
      </c>
      <c r="M418" s="19">
        <v>3606000000</v>
      </c>
      <c r="N418" s="19">
        <v>149.91489999999999</v>
      </c>
      <c r="O418">
        <v>15.307</v>
      </c>
      <c r="P418">
        <v>29.2849</v>
      </c>
      <c r="Q418" s="19">
        <v>121616.145</v>
      </c>
      <c r="R418" s="19">
        <v>110094.7923</v>
      </c>
      <c r="S418" s="19">
        <v>-2.0665</v>
      </c>
      <c r="T418" s="19">
        <v>135095.35449999999</v>
      </c>
      <c r="U418" s="19">
        <v>90970.7212</v>
      </c>
      <c r="V418">
        <v>32.6</v>
      </c>
      <c r="W418" s="19">
        <v>92.718400000000003</v>
      </c>
      <c r="X418">
        <v>99</v>
      </c>
      <c r="Y418">
        <v>94</v>
      </c>
      <c r="Z418">
        <v>96</v>
      </c>
      <c r="AA418">
        <v>2.5</v>
      </c>
      <c r="AB418">
        <v>82.2</v>
      </c>
      <c r="AC418">
        <v>80.539000000000001</v>
      </c>
      <c r="AD418">
        <v>93.429699999999997</v>
      </c>
      <c r="AE418">
        <v>13</v>
      </c>
      <c r="AF418">
        <v>93.286299999999997</v>
      </c>
      <c r="AG418">
        <v>7.4</v>
      </c>
      <c r="AH418">
        <v>1.26</v>
      </c>
      <c r="AI418">
        <v>3</v>
      </c>
      <c r="AJ418">
        <v>2.7</v>
      </c>
      <c r="AK418">
        <v>3.3</v>
      </c>
      <c r="AL418">
        <v>65.007099999999994</v>
      </c>
      <c r="AM418">
        <v>1.6</v>
      </c>
      <c r="AN418">
        <v>7969</v>
      </c>
      <c r="AO418">
        <v>0</v>
      </c>
      <c r="AP418">
        <v>100</v>
      </c>
      <c r="AQ418">
        <v>97.653099999999995</v>
      </c>
      <c r="AR418">
        <v>99.824399999999997</v>
      </c>
      <c r="AS418">
        <v>85.867999999999995</v>
      </c>
      <c r="AT418">
        <v>93.323400000000007</v>
      </c>
      <c r="AU418">
        <v>13.2608</v>
      </c>
      <c r="AV418" s="19">
        <v>100</v>
      </c>
      <c r="AW418">
        <v>0</v>
      </c>
      <c r="AZ418">
        <v>6</v>
      </c>
      <c r="BA418">
        <v>92.413799999999995</v>
      </c>
      <c r="BB418">
        <v>23.333300000000001</v>
      </c>
      <c r="BC418">
        <v>5.4615</v>
      </c>
      <c r="BD418" s="19">
        <v>-0.30199999999999999</v>
      </c>
      <c r="BE418" s="19">
        <v>96.116500000000002</v>
      </c>
      <c r="BF418">
        <v>31.355399999999999</v>
      </c>
      <c r="BG418">
        <v>4</v>
      </c>
      <c r="BH418" s="20">
        <v>1.5466</v>
      </c>
      <c r="BI418" s="20">
        <v>4725.3725999999997</v>
      </c>
      <c r="BJ418" s="19">
        <v>95.673100000000005</v>
      </c>
      <c r="BK418">
        <v>1.0101</v>
      </c>
      <c r="BL418">
        <v>1.018</v>
      </c>
      <c r="BM418">
        <v>1.0255000000000001</v>
      </c>
      <c r="BN418">
        <v>7</v>
      </c>
      <c r="BO418">
        <v>6.2060000000000004</v>
      </c>
      <c r="BP418">
        <v>13.03</v>
      </c>
      <c r="BQ418" s="19">
        <v>109.25190000000001</v>
      </c>
      <c r="BR418">
        <v>80.188199999999995</v>
      </c>
      <c r="BS418" s="20">
        <v>5.0599999999999996</v>
      </c>
      <c r="BT418" s="20">
        <v>5.0599999999999996</v>
      </c>
      <c r="BU418" s="20">
        <v>17.783999999999999</v>
      </c>
      <c r="BV418" s="20">
        <v>17.867999999999999</v>
      </c>
      <c r="BW418" s="19">
        <v>99.519199999999998</v>
      </c>
      <c r="BX418">
        <v>14.6</v>
      </c>
      <c r="BY418" s="5">
        <v>936646</v>
      </c>
      <c r="BZ418" s="6">
        <v>2432004</v>
      </c>
      <c r="CA418" s="7">
        <f t="shared" si="30"/>
        <v>2.5965028409879505</v>
      </c>
      <c r="CB418">
        <v>488650</v>
      </c>
      <c r="CC418" s="8">
        <f t="shared" si="31"/>
        <v>4.9769855724956509</v>
      </c>
      <c r="CD418" s="8">
        <f t="shared" si="32"/>
        <v>1.9168034380435894</v>
      </c>
      <c r="CE418">
        <v>2595</v>
      </c>
      <c r="CF418" s="8">
        <f t="shared" si="33"/>
        <v>360.94258188824665</v>
      </c>
      <c r="CG418" s="8">
        <f t="shared" si="34"/>
        <v>937.18843930635842</v>
      </c>
      <c r="CH418">
        <v>96.839070000000007</v>
      </c>
    </row>
    <row r="419" spans="1:86" ht="15.5" x14ac:dyDescent="0.35">
      <c r="A419" t="s">
        <v>103</v>
      </c>
      <c r="B419">
        <v>2009</v>
      </c>
      <c r="C419" s="2">
        <v>46.754199999999997</v>
      </c>
      <c r="D419">
        <v>21198.87</v>
      </c>
      <c r="E419">
        <v>0.1661</v>
      </c>
      <c r="F419">
        <v>21.3139</v>
      </c>
      <c r="G419">
        <v>11600</v>
      </c>
      <c r="H419">
        <v>12</v>
      </c>
      <c r="I419" s="19">
        <v>88.953000000000003</v>
      </c>
      <c r="J419" s="19">
        <v>90.24</v>
      </c>
      <c r="K419" s="19">
        <v>3.16</v>
      </c>
      <c r="L419" s="19">
        <v>94.736800000000002</v>
      </c>
      <c r="M419" s="19">
        <v>3147000000</v>
      </c>
      <c r="N419" s="19">
        <v>124.50279999999999</v>
      </c>
      <c r="O419">
        <v>15.021000000000001</v>
      </c>
      <c r="P419">
        <v>31.337599999999998</v>
      </c>
      <c r="Q419" s="19">
        <v>110249.41899999999</v>
      </c>
      <c r="R419" s="19">
        <v>104574.3499</v>
      </c>
      <c r="S419" s="19">
        <v>-5.0143000000000004</v>
      </c>
      <c r="T419" s="19">
        <v>128321.3181</v>
      </c>
      <c r="U419" s="19">
        <v>86873.256200000003</v>
      </c>
      <c r="V419">
        <v>31.2</v>
      </c>
      <c r="W419" s="19">
        <v>96.172200000000004</v>
      </c>
      <c r="X419">
        <v>99</v>
      </c>
      <c r="Y419">
        <v>95</v>
      </c>
      <c r="Z419">
        <v>96</v>
      </c>
      <c r="AA419">
        <v>2.4</v>
      </c>
      <c r="AB419">
        <v>87.3</v>
      </c>
      <c r="AC419">
        <v>80.636600000000001</v>
      </c>
      <c r="AE419">
        <v>15</v>
      </c>
      <c r="AF419">
        <v>93.355099999999993</v>
      </c>
      <c r="AG419">
        <v>9.9</v>
      </c>
      <c r="AH419">
        <v>1.21</v>
      </c>
      <c r="AI419">
        <v>2.9</v>
      </c>
      <c r="AJ419">
        <v>2.6</v>
      </c>
      <c r="AK419">
        <v>3.2</v>
      </c>
      <c r="AL419">
        <v>65.638000000000005</v>
      </c>
      <c r="AM419">
        <v>1.6</v>
      </c>
      <c r="AN419">
        <v>6855</v>
      </c>
      <c r="AO419">
        <v>0</v>
      </c>
      <c r="AP419">
        <v>100</v>
      </c>
      <c r="AQ419">
        <v>97.646500000000003</v>
      </c>
      <c r="AR419">
        <v>99.823599999999999</v>
      </c>
      <c r="AS419">
        <v>85.862799999999993</v>
      </c>
      <c r="AT419">
        <v>93.322100000000006</v>
      </c>
      <c r="AU419">
        <v>13.158300000000001</v>
      </c>
      <c r="AV419" s="19">
        <v>98.578199999999995</v>
      </c>
      <c r="AW419">
        <v>0</v>
      </c>
      <c r="AZ419">
        <v>6</v>
      </c>
      <c r="BA419">
        <v>92.440299999999993</v>
      </c>
      <c r="BB419">
        <v>20</v>
      </c>
      <c r="BC419">
        <v>6.0267999999999997</v>
      </c>
      <c r="BD419" s="19">
        <v>-3.2389999999999999</v>
      </c>
      <c r="BE419" s="19">
        <v>95.215299999999999</v>
      </c>
      <c r="BF419">
        <v>25.6496</v>
      </c>
      <c r="BG419">
        <v>3.7</v>
      </c>
      <c r="BH419" s="20">
        <v>1.5884</v>
      </c>
      <c r="BI419" s="20">
        <v>4852.2793000000001</v>
      </c>
      <c r="BJ419" s="19">
        <v>97.630300000000005</v>
      </c>
      <c r="BN419">
        <v>7</v>
      </c>
      <c r="BO419">
        <v>6.1239999999999997</v>
      </c>
      <c r="BP419">
        <v>11.02</v>
      </c>
      <c r="BQ419" s="19">
        <v>110.4365</v>
      </c>
      <c r="BR419">
        <v>80.589299999999994</v>
      </c>
      <c r="BS419" s="20">
        <v>5.194</v>
      </c>
      <c r="BT419" s="20">
        <v>5.194</v>
      </c>
      <c r="BU419" s="20">
        <v>16.780999999999999</v>
      </c>
      <c r="BV419" s="20">
        <v>16.82</v>
      </c>
      <c r="BW419" s="19">
        <v>100</v>
      </c>
      <c r="BX419">
        <v>16.600000000000001</v>
      </c>
      <c r="BY419" s="5">
        <v>907531</v>
      </c>
      <c r="BZ419" s="6">
        <v>2256166</v>
      </c>
      <c r="CA419" s="7">
        <f t="shared" si="30"/>
        <v>2.4860484104675211</v>
      </c>
      <c r="CB419">
        <v>497783</v>
      </c>
      <c r="CC419" s="8">
        <f t="shared" si="31"/>
        <v>4.5324287892515409</v>
      </c>
      <c r="CD419" s="8">
        <f t="shared" si="32"/>
        <v>1.8231458286040303</v>
      </c>
      <c r="CE419">
        <v>2595</v>
      </c>
      <c r="CF419" s="8">
        <f t="shared" si="33"/>
        <v>349.72292870905585</v>
      </c>
      <c r="CG419" s="8">
        <f t="shared" si="34"/>
        <v>869.42813102119464</v>
      </c>
      <c r="CH419">
        <v>97.526809999999998</v>
      </c>
    </row>
    <row r="420" spans="1:86" ht="15.5" x14ac:dyDescent="0.35">
      <c r="A420" t="s">
        <v>103</v>
      </c>
      <c r="B420">
        <v>2010</v>
      </c>
      <c r="C420" s="2">
        <v>46.302999999999997</v>
      </c>
      <c r="D420">
        <v>22267.279999999999</v>
      </c>
      <c r="E420">
        <v>0.16919999999999999</v>
      </c>
      <c r="F420">
        <v>22.119</v>
      </c>
      <c r="G420">
        <v>12200</v>
      </c>
      <c r="H420">
        <v>12</v>
      </c>
      <c r="I420" s="19">
        <v>91.438999999999993</v>
      </c>
      <c r="J420" s="19">
        <v>93.02</v>
      </c>
      <c r="K420" s="19">
        <v>4.1509999999999998</v>
      </c>
      <c r="L420" s="19">
        <v>95.714299999999994</v>
      </c>
      <c r="M420" s="19">
        <v>3251000000</v>
      </c>
      <c r="N420" s="19">
        <v>115.224</v>
      </c>
      <c r="O420">
        <v>19.988</v>
      </c>
      <c r="P420">
        <v>33.181800000000003</v>
      </c>
      <c r="Q420" s="19">
        <v>112049.15</v>
      </c>
      <c r="R420" s="19">
        <v>106544.0572</v>
      </c>
      <c r="S420" s="19">
        <v>1.8835</v>
      </c>
      <c r="T420" s="19">
        <v>130738.3109</v>
      </c>
      <c r="U420" s="19">
        <v>90346.068799999994</v>
      </c>
      <c r="V420">
        <v>30.5</v>
      </c>
      <c r="W420" s="19">
        <v>94.258399999999995</v>
      </c>
      <c r="X420">
        <v>99</v>
      </c>
      <c r="Y420">
        <v>94</v>
      </c>
      <c r="Z420">
        <v>96</v>
      </c>
      <c r="AA420">
        <v>2.4</v>
      </c>
      <c r="AB420">
        <v>90.6</v>
      </c>
      <c r="AC420">
        <v>80.631699999999995</v>
      </c>
      <c r="AD420">
        <v>100.22790000000001</v>
      </c>
      <c r="AE420">
        <v>17</v>
      </c>
      <c r="AF420">
        <v>94.270099999999999</v>
      </c>
      <c r="AG420">
        <v>6.5</v>
      </c>
      <c r="AH420">
        <v>0.67</v>
      </c>
      <c r="AI420">
        <v>2.8</v>
      </c>
      <c r="AJ420">
        <v>2.5</v>
      </c>
      <c r="AK420">
        <v>3.1</v>
      </c>
      <c r="AL420">
        <v>67.052300000000002</v>
      </c>
      <c r="AM420">
        <v>1.5</v>
      </c>
      <c r="AN420">
        <v>7909</v>
      </c>
      <c r="AO420">
        <v>0</v>
      </c>
      <c r="AP420">
        <v>100</v>
      </c>
      <c r="AQ420">
        <v>97.64</v>
      </c>
      <c r="AR420">
        <v>99.822900000000004</v>
      </c>
      <c r="AS420">
        <v>85.857600000000005</v>
      </c>
      <c r="AT420">
        <v>93.320899999999995</v>
      </c>
      <c r="AU420">
        <v>13.0162</v>
      </c>
      <c r="AV420" s="19">
        <v>99.052099999999996</v>
      </c>
      <c r="AW420">
        <v>0</v>
      </c>
      <c r="AZ420">
        <v>6</v>
      </c>
      <c r="BA420">
        <v>92.466200000000001</v>
      </c>
      <c r="BB420">
        <v>20</v>
      </c>
      <c r="BC420">
        <v>5.7247000000000003</v>
      </c>
      <c r="BD420" s="19">
        <v>3.76</v>
      </c>
      <c r="BE420" s="19">
        <v>95.693799999999996</v>
      </c>
      <c r="BF420">
        <v>35.468499999999999</v>
      </c>
      <c r="BG420">
        <v>3.7</v>
      </c>
      <c r="BH420" s="20">
        <v>1.4237</v>
      </c>
      <c r="BI420" s="20">
        <v>5200.1387000000004</v>
      </c>
      <c r="BJ420" s="19">
        <v>97.630300000000005</v>
      </c>
      <c r="BK420">
        <v>1.0104</v>
      </c>
      <c r="BL420">
        <v>1.0210999999999999</v>
      </c>
      <c r="BM420">
        <v>1.0299</v>
      </c>
      <c r="BN420">
        <v>7</v>
      </c>
      <c r="BO420">
        <v>5.2149999999999999</v>
      </c>
      <c r="BP420">
        <v>11.69</v>
      </c>
      <c r="BQ420" s="19">
        <v>106.2908</v>
      </c>
      <c r="BR420">
        <v>83.808599999999998</v>
      </c>
      <c r="BS420" s="20">
        <v>4.423</v>
      </c>
      <c r="BT420" s="20">
        <v>4.423</v>
      </c>
      <c r="BU420" s="20">
        <v>13.917</v>
      </c>
      <c r="BV420" s="20">
        <v>13.959</v>
      </c>
      <c r="BW420" s="19">
        <v>98.578199999999995</v>
      </c>
      <c r="BX420">
        <v>17.989999999999998</v>
      </c>
      <c r="BY420" s="5">
        <v>854717</v>
      </c>
      <c r="BZ420" s="6">
        <v>1859564</v>
      </c>
      <c r="CA420" s="7">
        <f t="shared" si="30"/>
        <v>2.1756487819945081</v>
      </c>
      <c r="CB420">
        <v>506953</v>
      </c>
      <c r="CC420" s="8">
        <f t="shared" si="31"/>
        <v>3.6681191353044564</v>
      </c>
      <c r="CD420" s="8">
        <f t="shared" si="32"/>
        <v>1.6859886419451113</v>
      </c>
      <c r="CE420">
        <v>2595</v>
      </c>
      <c r="CF420" s="8">
        <f t="shared" si="33"/>
        <v>329.37071290944124</v>
      </c>
      <c r="CG420" s="8">
        <f t="shared" si="34"/>
        <v>716.59499036608861</v>
      </c>
      <c r="CH420">
        <v>98.036519999999996</v>
      </c>
    </row>
    <row r="421" spans="1:86" ht="15.5" x14ac:dyDescent="0.35">
      <c r="A421" t="s">
        <v>103</v>
      </c>
      <c r="B421">
        <v>2011</v>
      </c>
      <c r="C421" s="2">
        <v>45.597099999999998</v>
      </c>
      <c r="D421">
        <v>23515.68</v>
      </c>
      <c r="E421">
        <v>0.1656</v>
      </c>
      <c r="F421">
        <v>21.3947</v>
      </c>
      <c r="G421">
        <v>12100</v>
      </c>
      <c r="H421">
        <v>12</v>
      </c>
      <c r="I421" s="19">
        <v>94.847999999999999</v>
      </c>
      <c r="J421" s="19">
        <v>96.16</v>
      </c>
      <c r="K421" s="19">
        <v>4.6689999999999996</v>
      </c>
      <c r="L421" s="19">
        <v>98.104299999999995</v>
      </c>
      <c r="M421" s="19">
        <v>3479000000</v>
      </c>
      <c r="N421" s="19">
        <v>121.7461</v>
      </c>
      <c r="O421">
        <v>17.619</v>
      </c>
      <c r="P421">
        <v>32.733899999999998</v>
      </c>
      <c r="Q421" s="19">
        <v>120526.246</v>
      </c>
      <c r="R421" s="19">
        <v>105290.249</v>
      </c>
      <c r="S421" s="19">
        <v>-1.1768000000000001</v>
      </c>
      <c r="T421" s="19">
        <v>129199.7852</v>
      </c>
      <c r="U421" s="19">
        <v>94475.030199999994</v>
      </c>
      <c r="V421">
        <v>32.1</v>
      </c>
      <c r="W421" s="19">
        <v>95.2607</v>
      </c>
      <c r="X421">
        <v>99</v>
      </c>
      <c r="Y421">
        <v>95</v>
      </c>
      <c r="Z421">
        <v>96</v>
      </c>
      <c r="AA421">
        <v>2.2999999999999998</v>
      </c>
      <c r="AB421">
        <v>90</v>
      </c>
      <c r="AC421">
        <v>80.987799999999993</v>
      </c>
      <c r="AD421">
        <v>99.451599999999999</v>
      </c>
      <c r="AE421">
        <v>13</v>
      </c>
      <c r="AF421">
        <v>94.678700000000006</v>
      </c>
      <c r="AG421">
        <v>6.5</v>
      </c>
      <c r="AH421">
        <v>0.43</v>
      </c>
      <c r="AI421">
        <v>2.7</v>
      </c>
      <c r="AJ421">
        <v>2.5</v>
      </c>
      <c r="AK421">
        <v>3</v>
      </c>
      <c r="AL421">
        <v>67.418099999999995</v>
      </c>
      <c r="AM421">
        <v>1.5</v>
      </c>
      <c r="AN421">
        <v>10918</v>
      </c>
      <c r="AO421">
        <v>0</v>
      </c>
      <c r="AP421">
        <v>100</v>
      </c>
      <c r="AQ421">
        <v>97.633700000000005</v>
      </c>
      <c r="AR421">
        <v>99.822199999999995</v>
      </c>
      <c r="AS421">
        <v>85.852400000000003</v>
      </c>
      <c r="AT421">
        <v>93.319699999999997</v>
      </c>
      <c r="AU421">
        <v>12.728</v>
      </c>
      <c r="AV421" s="19">
        <v>96.208500000000001</v>
      </c>
      <c r="AW421">
        <v>0.1</v>
      </c>
      <c r="AZ421">
        <v>6</v>
      </c>
      <c r="BA421">
        <v>92.491299999999995</v>
      </c>
      <c r="BB421">
        <v>25</v>
      </c>
      <c r="BC421">
        <v>4.9649000000000001</v>
      </c>
      <c r="BD421" s="19">
        <v>1.0449999999999999</v>
      </c>
      <c r="BE421" s="19">
        <v>98.578199999999995</v>
      </c>
      <c r="BF421">
        <v>35.341200000000001</v>
      </c>
      <c r="BG421">
        <v>3.8</v>
      </c>
      <c r="BH421" s="20">
        <v>1.4245000000000001</v>
      </c>
      <c r="BI421" s="20">
        <v>5525.7280000000001</v>
      </c>
      <c r="BJ421" s="19">
        <v>97.652600000000007</v>
      </c>
      <c r="BK421">
        <v>1.0205</v>
      </c>
      <c r="BL421">
        <v>1.0265</v>
      </c>
      <c r="BM421">
        <v>1.0310999999999999</v>
      </c>
      <c r="BN421">
        <v>7</v>
      </c>
      <c r="BO421">
        <v>4.9989999999999997</v>
      </c>
      <c r="BP421">
        <v>11.99</v>
      </c>
      <c r="BQ421" s="19">
        <v>102.9717</v>
      </c>
      <c r="BR421">
        <v>81.143799999999999</v>
      </c>
      <c r="BS421" s="20">
        <v>5.1219999999999999</v>
      </c>
      <c r="BT421" s="20">
        <v>5.1219999999999999</v>
      </c>
      <c r="BU421" s="20">
        <v>18.047999999999998</v>
      </c>
      <c r="BV421" s="20">
        <v>18.100999999999999</v>
      </c>
      <c r="BW421" s="19">
        <v>99.061000000000007</v>
      </c>
      <c r="BX421">
        <v>18.37</v>
      </c>
      <c r="BY421" s="5">
        <v>934995</v>
      </c>
      <c r="BZ421" s="6">
        <v>2237724</v>
      </c>
      <c r="CA421" s="7">
        <f t="shared" si="30"/>
        <v>2.3933004989331494</v>
      </c>
      <c r="CB421">
        <v>518347</v>
      </c>
      <c r="CC421" s="8">
        <f t="shared" si="31"/>
        <v>4.31703858612088</v>
      </c>
      <c r="CD421" s="8">
        <f t="shared" si="32"/>
        <v>1.8038013145634102</v>
      </c>
      <c r="CE421">
        <v>2595</v>
      </c>
      <c r="CF421" s="8">
        <f t="shared" si="33"/>
        <v>360.30635838150289</v>
      </c>
      <c r="CG421" s="8">
        <f t="shared" si="34"/>
        <v>862.32138728323696</v>
      </c>
      <c r="CH421">
        <v>98.957999999999998</v>
      </c>
    </row>
    <row r="422" spans="1:86" ht="15.5" x14ac:dyDescent="0.35">
      <c r="A422" s="9" t="s">
        <v>103</v>
      </c>
      <c r="B422" s="9">
        <v>2012</v>
      </c>
      <c r="C422" s="10">
        <v>44.993899999999996</v>
      </c>
      <c r="D422" s="9">
        <v>22443.05</v>
      </c>
      <c r="E422" s="9">
        <v>0.15959999999999999</v>
      </c>
      <c r="F422" s="9">
        <v>20.468399999999999</v>
      </c>
      <c r="G422" s="9">
        <v>11800</v>
      </c>
      <c r="H422" s="9">
        <v>12</v>
      </c>
      <c r="I422" s="21">
        <v>97.587999999999994</v>
      </c>
      <c r="J422" s="21">
        <v>98.5</v>
      </c>
      <c r="K422" s="21">
        <v>3.8420000000000001</v>
      </c>
      <c r="L422" s="21">
        <v>96.682500000000005</v>
      </c>
      <c r="M422" s="21">
        <v>2985000000</v>
      </c>
      <c r="N422" s="21">
        <v>109.8849</v>
      </c>
      <c r="O422" s="9">
        <v>16.878</v>
      </c>
      <c r="P422" s="9">
        <v>31.9618</v>
      </c>
      <c r="Q422" s="21">
        <v>113953.492</v>
      </c>
      <c r="R422" s="21">
        <v>104487.7442</v>
      </c>
      <c r="S422" s="21">
        <v>-0.76219999999999999</v>
      </c>
      <c r="T422" s="21">
        <v>128215.0459</v>
      </c>
      <c r="U422" s="21">
        <v>96636.426600000006</v>
      </c>
      <c r="V422" s="9">
        <v>34.299999999999997</v>
      </c>
      <c r="W422" s="21">
        <v>94.312799999999996</v>
      </c>
      <c r="X422" s="9">
        <v>99</v>
      </c>
      <c r="Y422" s="9">
        <v>94</v>
      </c>
      <c r="Z422" s="9">
        <v>99</v>
      </c>
      <c r="AA422" s="9">
        <v>2.2999999999999998</v>
      </c>
      <c r="AB422" s="9">
        <v>91.9</v>
      </c>
      <c r="AC422" s="9">
        <v>81.392700000000005</v>
      </c>
      <c r="AD422" s="9">
        <v>108.8</v>
      </c>
      <c r="AE422" s="9">
        <v>13</v>
      </c>
      <c r="AF422" s="9">
        <v>94.8887</v>
      </c>
      <c r="AG422" s="9">
        <v>6.4</v>
      </c>
      <c r="AH422" s="9">
        <v>0.36</v>
      </c>
      <c r="AI422" s="9">
        <v>2.7</v>
      </c>
      <c r="AJ422" s="9">
        <v>2.4</v>
      </c>
      <c r="AK422" s="9">
        <v>2.9</v>
      </c>
      <c r="AL422" s="9">
        <v>68.353999999999999</v>
      </c>
      <c r="AM422" s="9">
        <v>1.5</v>
      </c>
      <c r="AN422" s="9">
        <v>10273</v>
      </c>
      <c r="AO422" s="9">
        <v>0</v>
      </c>
      <c r="AP422" s="9">
        <v>99.987200000000001</v>
      </c>
      <c r="AQ422" s="9">
        <v>97.627600000000001</v>
      </c>
      <c r="AR422" s="9">
        <v>99.776499999999999</v>
      </c>
      <c r="AS422" s="9">
        <v>85.847200000000001</v>
      </c>
      <c r="AT422" s="9">
        <v>93.3185</v>
      </c>
      <c r="AU422" s="9">
        <v>11.3765</v>
      </c>
      <c r="AV422" s="21">
        <v>95.7346</v>
      </c>
      <c r="AW422" s="9">
        <v>0</v>
      </c>
      <c r="AX422" s="9"/>
      <c r="AY422" s="9"/>
      <c r="AZ422" s="9">
        <v>6</v>
      </c>
      <c r="BA422" s="9">
        <v>92.515199999999993</v>
      </c>
      <c r="BB422" s="9">
        <v>21.666699999999999</v>
      </c>
      <c r="BC422" s="9">
        <v>4.4276</v>
      </c>
      <c r="BD422" s="21">
        <v>1.65</v>
      </c>
      <c r="BE422" s="21">
        <v>96.682500000000005</v>
      </c>
      <c r="BF422" s="9">
        <v>35.880000000000003</v>
      </c>
      <c r="BG422" s="9">
        <v>4.2</v>
      </c>
      <c r="BH422" s="22">
        <v>1.2065999999999999</v>
      </c>
      <c r="BI422" s="22">
        <v>4401.9813999999997</v>
      </c>
      <c r="BJ422" s="21">
        <v>96.244100000000003</v>
      </c>
      <c r="BK422" s="9">
        <v>1.0027999999999999</v>
      </c>
      <c r="BL422" s="9">
        <v>1.0205</v>
      </c>
      <c r="BM422" s="9">
        <v>1.0347</v>
      </c>
      <c r="BN422" s="9">
        <v>7</v>
      </c>
      <c r="BO422" s="9">
        <v>5.7359999999999998</v>
      </c>
      <c r="BP422" s="9">
        <v>11.29</v>
      </c>
      <c r="BQ422" s="21">
        <v>99.718299999999999</v>
      </c>
      <c r="BR422" s="9">
        <v>79.372600000000006</v>
      </c>
      <c r="BS422" s="22">
        <v>5.03</v>
      </c>
      <c r="BT422" s="22">
        <v>5.03</v>
      </c>
      <c r="BU422" s="22">
        <v>16.577999999999999</v>
      </c>
      <c r="BV422" s="22">
        <v>16.638999999999999</v>
      </c>
      <c r="BW422" s="21">
        <v>98.5916</v>
      </c>
      <c r="BX422" s="9">
        <v>16.88</v>
      </c>
      <c r="BY422" s="14">
        <v>1021673</v>
      </c>
      <c r="BZ422" s="6">
        <v>2543830</v>
      </c>
      <c r="CA422" s="7">
        <f t="shared" si="30"/>
        <v>2.4898671101223191</v>
      </c>
      <c r="CB422">
        <v>530946</v>
      </c>
      <c r="CC422" s="8">
        <f t="shared" si="31"/>
        <v>4.7911275346268738</v>
      </c>
      <c r="CD422" s="8">
        <f t="shared" si="32"/>
        <v>1.9242503004071978</v>
      </c>
      <c r="CE422">
        <v>2595</v>
      </c>
      <c r="CF422" s="8">
        <f t="shared" si="33"/>
        <v>393.70828516377651</v>
      </c>
      <c r="CG422" s="8">
        <f t="shared" si="34"/>
        <v>980.28131021194611</v>
      </c>
      <c r="CH422" s="9">
        <v>99.360280000000003</v>
      </c>
    </row>
    <row r="423" spans="1:86" ht="15.5" x14ac:dyDescent="0.35">
      <c r="A423" t="s">
        <v>103</v>
      </c>
      <c r="B423">
        <v>2013</v>
      </c>
      <c r="C423" s="2">
        <v>44.800600000000003</v>
      </c>
      <c r="D423">
        <v>22722.14</v>
      </c>
      <c r="E423">
        <v>0.14699999999999999</v>
      </c>
      <c r="F423">
        <v>18.999199999999998</v>
      </c>
      <c r="G423">
        <v>11200</v>
      </c>
      <c r="H423">
        <v>12</v>
      </c>
      <c r="I423" s="19">
        <v>99.245999999999995</v>
      </c>
      <c r="J423" s="19">
        <v>99.98</v>
      </c>
      <c r="K423" s="19">
        <v>3.1909999999999998</v>
      </c>
      <c r="L423" s="19">
        <v>97.156400000000005</v>
      </c>
      <c r="M423" s="19">
        <v>2566000000</v>
      </c>
      <c r="N423" s="19">
        <v>107.72499999999999</v>
      </c>
      <c r="O423">
        <v>14.714</v>
      </c>
      <c r="P423">
        <v>32.483400000000003</v>
      </c>
      <c r="Q423" s="19">
        <v>121422.921</v>
      </c>
      <c r="R423" s="19">
        <v>105338.9561</v>
      </c>
      <c r="S423" s="19">
        <v>0.81469999999999998</v>
      </c>
      <c r="T423" s="19">
        <v>129259.5527</v>
      </c>
      <c r="U423" s="19">
        <v>100925.012</v>
      </c>
      <c r="V423">
        <v>32</v>
      </c>
      <c r="W423" s="19">
        <v>93.838899999999995</v>
      </c>
      <c r="X423">
        <v>99</v>
      </c>
      <c r="Y423">
        <v>94</v>
      </c>
      <c r="Z423">
        <v>99</v>
      </c>
      <c r="AA423">
        <v>2.2000000000000002</v>
      </c>
      <c r="AB423">
        <v>93.8</v>
      </c>
      <c r="AC423">
        <v>81.8</v>
      </c>
      <c r="AD423">
        <v>102.37220000000001</v>
      </c>
      <c r="AE423">
        <v>15</v>
      </c>
      <c r="AF423">
        <v>94.089600000000004</v>
      </c>
      <c r="AG423">
        <v>8.3000000000000007</v>
      </c>
      <c r="AH423">
        <v>0.36</v>
      </c>
      <c r="AI423">
        <v>2.6</v>
      </c>
      <c r="AJ423">
        <v>2.4</v>
      </c>
      <c r="AK423">
        <v>2.9</v>
      </c>
      <c r="AL423">
        <v>68.698400000000007</v>
      </c>
      <c r="AM423">
        <v>1.5</v>
      </c>
      <c r="AN423">
        <v>10535</v>
      </c>
      <c r="AO423">
        <v>0</v>
      </c>
      <c r="AP423">
        <v>99.965199999999996</v>
      </c>
      <c r="AQ423">
        <v>97.621799999999993</v>
      </c>
      <c r="AR423">
        <v>99.723799999999997</v>
      </c>
      <c r="AS423">
        <v>86.103800000000007</v>
      </c>
      <c r="AT423">
        <v>93.628200000000007</v>
      </c>
      <c r="AU423">
        <v>11.7081</v>
      </c>
      <c r="AV423" s="19">
        <v>95.2607</v>
      </c>
      <c r="AW423">
        <v>0.1</v>
      </c>
      <c r="AZ423">
        <v>6</v>
      </c>
      <c r="BA423">
        <v>92.843699999999998</v>
      </c>
      <c r="BB423">
        <v>28.333300000000001</v>
      </c>
      <c r="BC423">
        <v>4.3906000000000001</v>
      </c>
      <c r="BD423" s="19">
        <v>3.1709999999999998</v>
      </c>
      <c r="BE423" s="19">
        <v>96.682500000000005</v>
      </c>
      <c r="BF423">
        <v>48.775700000000001</v>
      </c>
      <c r="BG423">
        <v>5.7</v>
      </c>
      <c r="BH423" s="20">
        <v>1.2338</v>
      </c>
      <c r="BI423" s="20">
        <v>4661.6021000000001</v>
      </c>
      <c r="BJ423" s="19">
        <v>96.7136</v>
      </c>
      <c r="BK423">
        <v>1.0056</v>
      </c>
      <c r="BL423">
        <v>1.0167999999999999</v>
      </c>
      <c r="BM423">
        <v>1.0251999999999999</v>
      </c>
      <c r="BN423">
        <v>7</v>
      </c>
      <c r="BO423">
        <v>5.3639999999999999</v>
      </c>
      <c r="BP423">
        <v>11.28</v>
      </c>
      <c r="BQ423" s="19">
        <v>99.099900000000005</v>
      </c>
      <c r="BR423">
        <v>80.907899999999998</v>
      </c>
      <c r="BS423" s="20">
        <v>6.0449999999999999</v>
      </c>
      <c r="BT423" s="20">
        <v>6.0449999999999999</v>
      </c>
      <c r="BU423" s="20">
        <v>16.289000000000001</v>
      </c>
      <c r="BV423" s="20">
        <v>16.344000000000001</v>
      </c>
      <c r="BW423" s="19">
        <v>98.5916</v>
      </c>
      <c r="BX423">
        <v>16.149999999999999</v>
      </c>
      <c r="BY423" s="5">
        <v>1044336</v>
      </c>
      <c r="BZ423" s="6">
        <v>2637481</v>
      </c>
      <c r="CA423" s="7">
        <f t="shared" si="30"/>
        <v>2.5255099891222748</v>
      </c>
      <c r="CB423">
        <v>543360</v>
      </c>
      <c r="CC423" s="8">
        <f t="shared" si="31"/>
        <v>4.8540212750294467</v>
      </c>
      <c r="CD423" s="8">
        <f t="shared" si="32"/>
        <v>1.9219964664310953</v>
      </c>
      <c r="CE423">
        <v>2595</v>
      </c>
      <c r="CF423" s="8">
        <f t="shared" si="33"/>
        <v>402.4416184971098</v>
      </c>
      <c r="CG423" s="8">
        <f t="shared" si="34"/>
        <v>1016.3703275529865</v>
      </c>
      <c r="CH423">
        <v>99.711659999999995</v>
      </c>
    </row>
    <row r="424" spans="1:86" ht="15.5" x14ac:dyDescent="0.35">
      <c r="A424" t="s">
        <v>103</v>
      </c>
      <c r="B424">
        <v>2014</v>
      </c>
      <c r="C424" s="2">
        <v>44.659300000000002</v>
      </c>
      <c r="D424">
        <v>20978</v>
      </c>
      <c r="E424">
        <v>0.13619999999999999</v>
      </c>
      <c r="F424">
        <v>17.651399999999999</v>
      </c>
      <c r="G424">
        <v>10800</v>
      </c>
      <c r="H424">
        <v>12</v>
      </c>
      <c r="I424" s="19">
        <v>99.933999999999997</v>
      </c>
      <c r="J424" s="19">
        <v>98.98</v>
      </c>
      <c r="K424" s="19">
        <v>2.8130000000000002</v>
      </c>
      <c r="L424" s="19">
        <v>96.634600000000006</v>
      </c>
      <c r="M424" s="19">
        <v>2818000000</v>
      </c>
      <c r="N424" s="19">
        <v>111.4345</v>
      </c>
      <c r="O424">
        <v>17.731000000000002</v>
      </c>
      <c r="P424">
        <v>33.580300000000001</v>
      </c>
      <c r="Q424" s="19">
        <v>125200.137</v>
      </c>
      <c r="R424" s="19">
        <v>105583.93700000001</v>
      </c>
      <c r="S424" s="19">
        <v>0.2326</v>
      </c>
      <c r="T424" s="19">
        <v>129560.1645</v>
      </c>
      <c r="U424" s="19">
        <v>105296.2846</v>
      </c>
      <c r="V424">
        <v>31.2</v>
      </c>
      <c r="W424" s="19">
        <v>93.269199999999998</v>
      </c>
      <c r="X424">
        <v>99</v>
      </c>
      <c r="Y424">
        <v>94</v>
      </c>
      <c r="Z424">
        <v>99</v>
      </c>
      <c r="AA424">
        <v>2.2000000000000002</v>
      </c>
      <c r="AB424">
        <v>94.7</v>
      </c>
      <c r="AC424">
        <v>82.229299999999995</v>
      </c>
      <c r="AD424">
        <v>100.17489999999999</v>
      </c>
      <c r="AE424">
        <v>13</v>
      </c>
      <c r="AF424">
        <v>94.100499999999997</v>
      </c>
      <c r="AG424">
        <v>6.5</v>
      </c>
      <c r="AH424">
        <v>0.53</v>
      </c>
      <c r="AI424">
        <v>2.6</v>
      </c>
      <c r="AJ424">
        <v>2.4</v>
      </c>
      <c r="AK424">
        <v>2.8</v>
      </c>
      <c r="AL424">
        <v>69.361699999999999</v>
      </c>
      <c r="AM424">
        <v>1.5</v>
      </c>
      <c r="AN424">
        <v>11217</v>
      </c>
      <c r="AO424">
        <v>0</v>
      </c>
      <c r="AP424">
        <v>99.944599999999994</v>
      </c>
      <c r="AQ424">
        <v>97.616100000000003</v>
      </c>
      <c r="AR424">
        <v>99.674300000000002</v>
      </c>
      <c r="AS424">
        <v>86.360900000000001</v>
      </c>
      <c r="AT424">
        <v>93.938800000000001</v>
      </c>
      <c r="AU424">
        <v>9.9977999999999998</v>
      </c>
      <c r="AV424" s="19">
        <v>97.619</v>
      </c>
      <c r="AW424">
        <v>0.1</v>
      </c>
      <c r="AZ424">
        <v>6</v>
      </c>
      <c r="BA424">
        <v>93.172300000000007</v>
      </c>
      <c r="BB424">
        <v>28.333300000000001</v>
      </c>
      <c r="BC424">
        <v>4.4073000000000002</v>
      </c>
      <c r="BD424" s="19">
        <v>2.6230000000000002</v>
      </c>
      <c r="BE424" s="19">
        <v>92.307699999999997</v>
      </c>
      <c r="BF424">
        <v>49.197699999999998</v>
      </c>
      <c r="BG424">
        <v>6.8</v>
      </c>
      <c r="BH424" s="20">
        <v>1.2170000000000001</v>
      </c>
      <c r="BI424" s="20">
        <v>4782.9395000000004</v>
      </c>
      <c r="BJ424" s="19">
        <v>95.673100000000005</v>
      </c>
      <c r="BK424">
        <v>1.0025999999999999</v>
      </c>
      <c r="BL424">
        <v>1.0138</v>
      </c>
      <c r="BM424">
        <v>1.0222</v>
      </c>
      <c r="BN424">
        <v>7</v>
      </c>
      <c r="BO424">
        <v>6.3440000000000003</v>
      </c>
      <c r="BP424">
        <v>12.57</v>
      </c>
      <c r="BQ424" s="19">
        <v>96.975700000000003</v>
      </c>
      <c r="BR424">
        <v>75.625399999999999</v>
      </c>
      <c r="BS424" s="20">
        <v>6.0439999999999996</v>
      </c>
      <c r="BT424" s="20">
        <v>6.0439999999999996</v>
      </c>
      <c r="BU424" s="20">
        <v>24.277999999999999</v>
      </c>
      <c r="BV424" s="20">
        <v>24.497</v>
      </c>
      <c r="BW424" s="19">
        <v>98.522199999999998</v>
      </c>
      <c r="BX424">
        <v>15.06</v>
      </c>
      <c r="BY424" s="5">
        <v>1142892</v>
      </c>
      <c r="BZ424" s="6">
        <v>2867811</v>
      </c>
      <c r="CA424" s="7">
        <f t="shared" si="30"/>
        <v>2.5092580926281749</v>
      </c>
      <c r="CB424">
        <v>556319</v>
      </c>
      <c r="CC424" s="8">
        <f t="shared" si="31"/>
        <v>5.1549758322113748</v>
      </c>
      <c r="CD424" s="8">
        <f t="shared" si="32"/>
        <v>2.054382467613006</v>
      </c>
      <c r="CE424">
        <v>2595</v>
      </c>
      <c r="CF424" s="8">
        <f t="shared" si="33"/>
        <v>440.42080924855492</v>
      </c>
      <c r="CG424" s="8">
        <f t="shared" si="34"/>
        <v>1105.129479768786</v>
      </c>
      <c r="CH424">
        <v>100.16289</v>
      </c>
    </row>
    <row r="425" spans="1:86" ht="15.5" x14ac:dyDescent="0.35">
      <c r="A425" t="s">
        <v>103</v>
      </c>
      <c r="B425">
        <v>2015</v>
      </c>
      <c r="C425" s="2">
        <v>44.419600000000003</v>
      </c>
      <c r="D425">
        <v>20697.5</v>
      </c>
      <c r="E425">
        <v>0.1263</v>
      </c>
      <c r="F425">
        <v>16.343499999999999</v>
      </c>
      <c r="G425">
        <v>10300</v>
      </c>
      <c r="H425">
        <v>12</v>
      </c>
      <c r="I425" s="19">
        <v>99.992999999999995</v>
      </c>
      <c r="J425" s="19">
        <v>99.78</v>
      </c>
      <c r="K425" s="19">
        <v>2.79</v>
      </c>
      <c r="L425" s="19">
        <v>97.142899999999997</v>
      </c>
      <c r="M425" s="19">
        <v>3367000000</v>
      </c>
      <c r="N425" s="19">
        <v>100</v>
      </c>
      <c r="O425">
        <v>15.462</v>
      </c>
      <c r="P425">
        <v>34.2911</v>
      </c>
      <c r="Q425" s="19">
        <v>106710.076</v>
      </c>
      <c r="R425" s="19">
        <v>105462.0126</v>
      </c>
      <c r="S425" s="19">
        <v>-0.11550000000000001</v>
      </c>
      <c r="T425" s="19">
        <v>129410.55319999999</v>
      </c>
      <c r="U425" s="19">
        <v>107888.5784</v>
      </c>
      <c r="V425">
        <v>32.9</v>
      </c>
      <c r="W425" s="19">
        <v>93.8095</v>
      </c>
      <c r="X425">
        <v>99</v>
      </c>
      <c r="Y425">
        <v>94</v>
      </c>
      <c r="Z425">
        <v>99</v>
      </c>
      <c r="AA425">
        <v>2.2000000000000002</v>
      </c>
      <c r="AB425">
        <v>96.4</v>
      </c>
      <c r="AC425">
        <v>82.292699999999996</v>
      </c>
      <c r="AD425">
        <v>94.936700000000002</v>
      </c>
      <c r="AE425">
        <v>13</v>
      </c>
      <c r="AF425">
        <v>94.621600000000001</v>
      </c>
      <c r="AG425">
        <v>6.5</v>
      </c>
      <c r="AH425">
        <v>0.38</v>
      </c>
      <c r="AI425">
        <v>2.6</v>
      </c>
      <c r="AJ425">
        <v>2.2999999999999998</v>
      </c>
      <c r="AK425">
        <v>2.8</v>
      </c>
      <c r="AL425">
        <v>69.794200000000004</v>
      </c>
      <c r="AM425">
        <v>1.5</v>
      </c>
      <c r="AN425">
        <v>11377</v>
      </c>
      <c r="AO425">
        <v>0</v>
      </c>
      <c r="AP425">
        <v>99.925200000000004</v>
      </c>
      <c r="AQ425">
        <v>97.610699999999994</v>
      </c>
      <c r="AR425">
        <v>99.627899999999997</v>
      </c>
      <c r="AS425">
        <v>86.618399999999994</v>
      </c>
      <c r="AT425">
        <v>94.250200000000007</v>
      </c>
      <c r="AU425">
        <v>10.391500000000001</v>
      </c>
      <c r="AV425" s="19">
        <v>98.095200000000006</v>
      </c>
      <c r="AW425">
        <v>0.3</v>
      </c>
      <c r="AZ425">
        <v>6</v>
      </c>
      <c r="BA425">
        <v>93.500600000000006</v>
      </c>
      <c r="BB425">
        <v>28.333300000000001</v>
      </c>
      <c r="BC425">
        <v>4.2938999999999998</v>
      </c>
      <c r="BD425" s="19">
        <v>2.2679999999999998</v>
      </c>
      <c r="BE425" s="19">
        <v>92.857100000000003</v>
      </c>
      <c r="BF425">
        <v>67.3232</v>
      </c>
      <c r="BG425">
        <v>9.1</v>
      </c>
      <c r="BH425" s="20">
        <v>1.2523</v>
      </c>
      <c r="BI425" s="20">
        <v>4636.3804</v>
      </c>
      <c r="BJ425" s="19">
        <v>96.666700000000006</v>
      </c>
      <c r="BK425">
        <v>0.999</v>
      </c>
      <c r="BL425">
        <v>1.0204</v>
      </c>
      <c r="BM425">
        <v>1.0371999999999999</v>
      </c>
      <c r="BN425">
        <v>7</v>
      </c>
      <c r="BO425">
        <v>5.8079999999999998</v>
      </c>
      <c r="BP425">
        <v>12.34</v>
      </c>
      <c r="BQ425" s="19">
        <v>100</v>
      </c>
      <c r="BR425">
        <v>78.418199999999999</v>
      </c>
      <c r="BS425" s="20">
        <v>6.7960000000000003</v>
      </c>
      <c r="BT425" s="20">
        <v>6.7960000000000003</v>
      </c>
      <c r="BU425" s="20">
        <v>17.5</v>
      </c>
      <c r="BV425" s="20">
        <v>17.521000000000001</v>
      </c>
      <c r="BW425" s="19">
        <v>97.044300000000007</v>
      </c>
      <c r="BX425">
        <v>15.01</v>
      </c>
      <c r="BY425" s="5">
        <v>1264384</v>
      </c>
      <c r="BZ425" s="6">
        <v>3202737</v>
      </c>
      <c r="CA425" s="7">
        <f t="shared" si="30"/>
        <v>2.533041386161166</v>
      </c>
      <c r="CB425">
        <v>569604</v>
      </c>
      <c r="CC425" s="8">
        <f t="shared" si="31"/>
        <v>5.6227431689384204</v>
      </c>
      <c r="CD425" s="8">
        <f t="shared" si="32"/>
        <v>2.219759692698787</v>
      </c>
      <c r="CE425">
        <v>2595</v>
      </c>
      <c r="CF425" s="8">
        <f t="shared" si="33"/>
        <v>487.23853564547204</v>
      </c>
      <c r="CG425" s="8">
        <f t="shared" si="34"/>
        <v>1234.1953757225433</v>
      </c>
      <c r="CH425">
        <v>100</v>
      </c>
    </row>
    <row r="426" spans="1:86" ht="15.5" x14ac:dyDescent="0.35">
      <c r="A426" t="s">
        <v>103</v>
      </c>
      <c r="B426">
        <v>2016</v>
      </c>
      <c r="C426" s="2">
        <v>44.08</v>
      </c>
      <c r="D426">
        <v>21438.6</v>
      </c>
      <c r="E426">
        <v>0.1168</v>
      </c>
      <c r="F426">
        <v>15.5345</v>
      </c>
      <c r="G426">
        <v>10300</v>
      </c>
      <c r="H426">
        <v>12</v>
      </c>
      <c r="I426" s="19">
        <v>100.036</v>
      </c>
      <c r="J426" s="19">
        <v>101.33</v>
      </c>
      <c r="K426" s="19">
        <v>2.9319999999999999</v>
      </c>
      <c r="L426" s="19">
        <v>97.619</v>
      </c>
      <c r="M426" s="19">
        <v>4603000000</v>
      </c>
      <c r="N426" s="19">
        <v>92.163300000000007</v>
      </c>
      <c r="O426">
        <v>25.398</v>
      </c>
      <c r="P426">
        <v>34.806800000000003</v>
      </c>
      <c r="Q426" s="19">
        <v>107948.007</v>
      </c>
      <c r="R426" s="19">
        <v>108351.4522</v>
      </c>
      <c r="S426" s="19">
        <v>2.7397999999999998</v>
      </c>
      <c r="T426" s="19">
        <v>132956.1329</v>
      </c>
      <c r="U426" s="19">
        <v>113365.1761</v>
      </c>
      <c r="V426">
        <v>31.7</v>
      </c>
      <c r="W426" s="19">
        <v>92.857100000000003</v>
      </c>
      <c r="X426">
        <v>99</v>
      </c>
      <c r="Y426">
        <v>94</v>
      </c>
      <c r="Z426">
        <v>99</v>
      </c>
      <c r="AA426">
        <v>2.1</v>
      </c>
      <c r="AB426">
        <v>98.1</v>
      </c>
      <c r="AC426">
        <v>82.685400000000001</v>
      </c>
      <c r="AD426">
        <v>101.1752</v>
      </c>
      <c r="AE426">
        <v>13</v>
      </c>
      <c r="AF426">
        <v>95.710499999999996</v>
      </c>
      <c r="AG426">
        <v>6.2</v>
      </c>
      <c r="AH426">
        <v>0.24</v>
      </c>
      <c r="AI426">
        <v>2.5</v>
      </c>
      <c r="AJ426">
        <v>2.2999999999999998</v>
      </c>
      <c r="AK426">
        <v>2.8</v>
      </c>
      <c r="AL426">
        <v>69.286699999999996</v>
      </c>
      <c r="AM426">
        <v>1.6</v>
      </c>
      <c r="AN426">
        <v>12760</v>
      </c>
      <c r="AO426">
        <v>0</v>
      </c>
      <c r="AP426">
        <v>99.906899999999993</v>
      </c>
      <c r="AQ426">
        <v>97.605500000000006</v>
      </c>
      <c r="AR426">
        <v>99.584299999999999</v>
      </c>
      <c r="AS426">
        <v>86.876400000000004</v>
      </c>
      <c r="AT426">
        <v>94.561999999999998</v>
      </c>
      <c r="AU426">
        <v>9.6132000000000009</v>
      </c>
      <c r="AV426" s="19">
        <v>98.095200000000006</v>
      </c>
      <c r="AW426">
        <v>0.1</v>
      </c>
      <c r="AZ426">
        <v>6</v>
      </c>
      <c r="BA426">
        <v>93.828800000000001</v>
      </c>
      <c r="BB426">
        <v>28.333300000000001</v>
      </c>
      <c r="BC426">
        <v>4.2817999999999996</v>
      </c>
      <c r="BD426" s="19">
        <v>4.9779999999999998</v>
      </c>
      <c r="BE426" s="19">
        <v>93.8095</v>
      </c>
      <c r="BF426">
        <v>85.113799999999998</v>
      </c>
      <c r="BG426">
        <v>13.5</v>
      </c>
      <c r="BH426" s="20">
        <v>1.2668999999999999</v>
      </c>
      <c r="BI426" s="20">
        <v>4802.1787000000004</v>
      </c>
      <c r="BJ426" s="19">
        <v>95.238100000000003</v>
      </c>
      <c r="BK426">
        <v>0.99690000000000001</v>
      </c>
      <c r="BL426">
        <v>1.0161</v>
      </c>
      <c r="BM426">
        <v>1.0310999999999999</v>
      </c>
      <c r="BN426">
        <v>7</v>
      </c>
      <c r="BO426">
        <v>6.2190000000000003</v>
      </c>
      <c r="BP426">
        <v>10.220000000000001</v>
      </c>
      <c r="BQ426" s="19">
        <v>97.420199999999994</v>
      </c>
      <c r="BR426">
        <v>77.772499999999994</v>
      </c>
      <c r="BS426" s="20">
        <v>6.6689999999999996</v>
      </c>
      <c r="BT426" s="20">
        <v>6.6689999999999996</v>
      </c>
      <c r="BU426" s="20">
        <v>21.986999999999998</v>
      </c>
      <c r="BV426" s="20">
        <v>22.042000000000002</v>
      </c>
      <c r="BW426" s="19">
        <v>96.551699999999997</v>
      </c>
      <c r="BX426">
        <v>13.74</v>
      </c>
      <c r="BY426" s="5">
        <v>1283173</v>
      </c>
      <c r="BZ426" s="6">
        <v>3269221</v>
      </c>
      <c r="CA426" s="7">
        <f t="shared" si="30"/>
        <v>2.5477632400307675</v>
      </c>
      <c r="CB426">
        <v>582014</v>
      </c>
      <c r="CC426" s="8">
        <f t="shared" si="31"/>
        <v>5.6170830942211012</v>
      </c>
      <c r="CD426" s="8">
        <f t="shared" si="32"/>
        <v>2.2047115705120497</v>
      </c>
      <c r="CE426">
        <v>2595</v>
      </c>
      <c r="CF426" s="8">
        <f t="shared" si="33"/>
        <v>494.47899807321772</v>
      </c>
      <c r="CG426" s="8">
        <f t="shared" si="34"/>
        <v>1259.8154142581889</v>
      </c>
      <c r="CH426">
        <v>99.833259999999996</v>
      </c>
    </row>
    <row r="427" spans="1:86" ht="15.5" x14ac:dyDescent="0.35">
      <c r="A427" t="s">
        <v>103</v>
      </c>
      <c r="B427">
        <v>2017</v>
      </c>
      <c r="C427" s="2">
        <v>43.862900000000003</v>
      </c>
      <c r="D427">
        <v>21727.93</v>
      </c>
      <c r="E427">
        <v>0.1172</v>
      </c>
      <c r="F427">
        <v>15.4078</v>
      </c>
      <c r="G427">
        <v>10300</v>
      </c>
      <c r="H427">
        <v>12</v>
      </c>
      <c r="I427" s="19">
        <v>102.15</v>
      </c>
      <c r="J427" s="19">
        <v>102.92</v>
      </c>
      <c r="K427" s="19">
        <v>3.3260000000000001</v>
      </c>
      <c r="L427" s="19">
        <v>96.1905</v>
      </c>
      <c r="M427" s="19">
        <v>4232999999.9999995</v>
      </c>
      <c r="N427" s="19">
        <v>91.957499999999996</v>
      </c>
      <c r="O427">
        <v>13.544</v>
      </c>
      <c r="P427">
        <v>35.976799999999997</v>
      </c>
      <c r="Q427" s="19">
        <v>111211.579</v>
      </c>
      <c r="R427" s="19">
        <v>107142.12760000001</v>
      </c>
      <c r="S427" s="19">
        <v>-1.1161000000000001</v>
      </c>
      <c r="T427" s="19">
        <v>131472.1923</v>
      </c>
      <c r="U427" s="19">
        <v>114985.8422</v>
      </c>
      <c r="V427">
        <v>34.5</v>
      </c>
      <c r="W427" s="19">
        <v>93.8095</v>
      </c>
      <c r="X427">
        <v>99</v>
      </c>
      <c r="Y427">
        <v>94</v>
      </c>
      <c r="Z427">
        <v>99</v>
      </c>
      <c r="AA427">
        <v>2.1</v>
      </c>
      <c r="AB427">
        <v>97.4</v>
      </c>
      <c r="AC427">
        <v>82.095100000000002</v>
      </c>
      <c r="AD427">
        <v>98.410399999999996</v>
      </c>
      <c r="AE427">
        <v>15</v>
      </c>
      <c r="AF427">
        <v>95.853099999999998</v>
      </c>
      <c r="AG427">
        <v>4.8</v>
      </c>
      <c r="AH427">
        <v>0.09</v>
      </c>
      <c r="AI427">
        <v>2.5</v>
      </c>
      <c r="AJ427">
        <v>2.2999999999999998</v>
      </c>
      <c r="AK427">
        <v>2.8</v>
      </c>
      <c r="AL427">
        <v>68.850399999999993</v>
      </c>
      <c r="AM427">
        <v>1.6</v>
      </c>
      <c r="AN427">
        <v>9643</v>
      </c>
      <c r="AO427">
        <v>0</v>
      </c>
      <c r="AP427">
        <v>99.889600000000002</v>
      </c>
      <c r="AQ427">
        <v>97.600499999999997</v>
      </c>
      <c r="AR427">
        <v>99.543199999999999</v>
      </c>
      <c r="AS427">
        <v>87.136399999999995</v>
      </c>
      <c r="AT427">
        <v>94.874300000000005</v>
      </c>
      <c r="AU427">
        <v>9.6084999999999994</v>
      </c>
      <c r="AV427" s="19">
        <v>94.761899999999997</v>
      </c>
      <c r="AW427">
        <v>0.3</v>
      </c>
      <c r="AZ427">
        <v>6</v>
      </c>
      <c r="BA427">
        <v>94.156800000000004</v>
      </c>
      <c r="BB427">
        <v>28.333300000000001</v>
      </c>
      <c r="BC427">
        <v>4.3537999999999997</v>
      </c>
      <c r="BD427" s="19">
        <v>1.3169999999999999</v>
      </c>
      <c r="BE427" s="19">
        <v>93.8095</v>
      </c>
      <c r="BF427">
        <v>86.653199999999998</v>
      </c>
      <c r="BG427">
        <v>15.3</v>
      </c>
      <c r="BH427" s="20">
        <v>1.2390000000000001</v>
      </c>
      <c r="BI427" s="20">
        <v>4969.2299999999996</v>
      </c>
      <c r="BJ427" s="19">
        <v>95.238100000000003</v>
      </c>
      <c r="BK427">
        <v>0.99450000000000005</v>
      </c>
      <c r="BL427">
        <v>1.0095000000000001</v>
      </c>
      <c r="BM427">
        <v>1.0213000000000001</v>
      </c>
      <c r="BN427">
        <v>7</v>
      </c>
      <c r="BO427">
        <v>6.1950000000000003</v>
      </c>
      <c r="BP427">
        <v>9.9600000000000009</v>
      </c>
      <c r="BQ427" s="19">
        <v>96.095299999999995</v>
      </c>
      <c r="BR427">
        <v>81.429500000000004</v>
      </c>
      <c r="BS427" s="20">
        <v>5.5229999999999997</v>
      </c>
      <c r="BT427" s="20">
        <v>5.5229999999999997</v>
      </c>
      <c r="BU427" s="20">
        <v>15.477</v>
      </c>
      <c r="BV427" s="20">
        <v>15.44</v>
      </c>
      <c r="BW427" s="19">
        <v>97.536900000000003</v>
      </c>
      <c r="BX427">
        <v>13.62</v>
      </c>
      <c r="BY427" s="5">
        <v>1290979</v>
      </c>
      <c r="BZ427" s="6">
        <v>3233979</v>
      </c>
      <c r="CA427" s="7">
        <f t="shared" si="30"/>
        <v>2.5050593386879259</v>
      </c>
      <c r="CB427">
        <v>596336</v>
      </c>
      <c r="CC427" s="8">
        <f t="shared" si="31"/>
        <v>5.4230819537978592</v>
      </c>
      <c r="CD427" s="8">
        <f t="shared" si="32"/>
        <v>2.1648516943468112</v>
      </c>
      <c r="CE427">
        <v>2595</v>
      </c>
      <c r="CF427" s="8">
        <f t="shared" si="33"/>
        <v>497.48709055876685</v>
      </c>
      <c r="CG427" s="8">
        <f t="shared" si="34"/>
        <v>1246.2346820809248</v>
      </c>
      <c r="CH427">
        <v>100.27574</v>
      </c>
    </row>
    <row r="428" spans="1:86" ht="15.5" x14ac:dyDescent="0.35">
      <c r="A428" t="s">
        <v>103</v>
      </c>
      <c r="B428">
        <v>2018</v>
      </c>
      <c r="C428" s="2">
        <v>43.826999999999998</v>
      </c>
      <c r="D428">
        <v>21005.74</v>
      </c>
      <c r="E428">
        <v>0.1193</v>
      </c>
      <c r="F428">
        <v>15.574999999999999</v>
      </c>
      <c r="G428">
        <v>10300</v>
      </c>
      <c r="H428">
        <v>12</v>
      </c>
      <c r="I428" s="19">
        <v>104.212</v>
      </c>
      <c r="J428" s="19">
        <v>104.93</v>
      </c>
      <c r="K428" s="19">
        <v>3.5790000000000002</v>
      </c>
      <c r="L428" s="19">
        <v>97.142899999999997</v>
      </c>
      <c r="M428" s="19">
        <v>5912000000</v>
      </c>
      <c r="N428" s="19">
        <v>95.757999999999996</v>
      </c>
      <c r="O428">
        <v>23.675000000000001</v>
      </c>
      <c r="P428">
        <v>36.885300000000001</v>
      </c>
      <c r="Q428" s="19">
        <v>118135.07</v>
      </c>
      <c r="R428" s="19">
        <v>106376.7836</v>
      </c>
      <c r="S428" s="19">
        <v>-0.71430000000000005</v>
      </c>
      <c r="T428" s="19">
        <v>130533.0523</v>
      </c>
      <c r="U428" s="19">
        <v>116498.51210000001</v>
      </c>
      <c r="V428">
        <v>35.4</v>
      </c>
      <c r="W428" s="19">
        <v>95.714299999999994</v>
      </c>
      <c r="X428">
        <v>99</v>
      </c>
      <c r="Y428">
        <v>96</v>
      </c>
      <c r="Z428">
        <v>99</v>
      </c>
      <c r="AA428">
        <v>2.1</v>
      </c>
      <c r="AB428">
        <v>97.1</v>
      </c>
      <c r="AC428">
        <v>82.295100000000005</v>
      </c>
      <c r="AD428">
        <v>118.51909999999999</v>
      </c>
      <c r="AE428">
        <v>9</v>
      </c>
      <c r="AF428">
        <v>95.954999999999998</v>
      </c>
      <c r="AG428">
        <v>6.7</v>
      </c>
      <c r="AH428">
        <v>5.2999999999999999E-2</v>
      </c>
      <c r="AI428">
        <v>2.5</v>
      </c>
      <c r="AJ428">
        <v>2.2999999999999998</v>
      </c>
      <c r="AK428">
        <v>2.7</v>
      </c>
      <c r="AL428">
        <v>68.761700000000005</v>
      </c>
      <c r="AM428">
        <v>1.6</v>
      </c>
      <c r="AN428">
        <v>10145</v>
      </c>
      <c r="AO428">
        <v>0</v>
      </c>
      <c r="AP428">
        <v>99.8733</v>
      </c>
      <c r="AQ428">
        <v>97.597300000000004</v>
      </c>
      <c r="AR428">
        <v>99.504599999999996</v>
      </c>
      <c r="AS428">
        <v>87.400300000000001</v>
      </c>
      <c r="AT428">
        <v>95.187700000000007</v>
      </c>
      <c r="AU428">
        <v>9.2918000000000003</v>
      </c>
      <c r="AV428" s="19">
        <v>95.7547</v>
      </c>
      <c r="AW428">
        <v>0.3</v>
      </c>
      <c r="AZ428">
        <v>6</v>
      </c>
      <c r="BA428">
        <v>94.485399999999998</v>
      </c>
      <c r="BB428">
        <v>20</v>
      </c>
      <c r="BC428">
        <v>4.4836999999999998</v>
      </c>
      <c r="BD428" s="19">
        <v>1.611</v>
      </c>
      <c r="BE428" s="19">
        <v>94.761899999999997</v>
      </c>
      <c r="BF428">
        <v>87.6417</v>
      </c>
      <c r="BG428">
        <v>16</v>
      </c>
      <c r="BH428" s="20">
        <v>1.1718</v>
      </c>
      <c r="BI428" s="20">
        <v>4754.9219000000003</v>
      </c>
      <c r="BJ428" s="19">
        <v>96.1905</v>
      </c>
      <c r="BK428">
        <v>0.9758</v>
      </c>
      <c r="BL428">
        <v>1.0003</v>
      </c>
      <c r="BM428">
        <v>1.02</v>
      </c>
      <c r="BN428">
        <v>7</v>
      </c>
      <c r="BO428">
        <v>5.5990000000000002</v>
      </c>
      <c r="BP428">
        <v>10.07</v>
      </c>
      <c r="BQ428" s="19">
        <v>94.020300000000006</v>
      </c>
      <c r="BR428">
        <v>82.258700000000005</v>
      </c>
      <c r="BS428" s="20">
        <v>5.5890000000000004</v>
      </c>
      <c r="BT428" s="20">
        <v>5.5890000000000004</v>
      </c>
      <c r="BU428" s="20">
        <v>14.182</v>
      </c>
      <c r="BV428" s="20">
        <v>14.183</v>
      </c>
      <c r="BW428" s="19">
        <v>97.087400000000002</v>
      </c>
      <c r="BX428">
        <v>13.73</v>
      </c>
      <c r="BY428" s="5">
        <v>1276749</v>
      </c>
      <c r="BZ428" s="6">
        <v>3173857</v>
      </c>
      <c r="CA428" s="7">
        <f t="shared" si="30"/>
        <v>2.4858895522925808</v>
      </c>
      <c r="CB428">
        <v>607950</v>
      </c>
      <c r="CC428" s="8">
        <f t="shared" si="31"/>
        <v>5.2205888642158076</v>
      </c>
      <c r="CD428" s="8">
        <f t="shared" si="32"/>
        <v>2.1000888230940045</v>
      </c>
      <c r="CE428">
        <v>2595</v>
      </c>
      <c r="CF428" s="8">
        <f t="shared" si="33"/>
        <v>492.0034682080925</v>
      </c>
      <c r="CG428" s="8">
        <f t="shared" si="34"/>
        <v>1223.0662813102119</v>
      </c>
      <c r="CH428">
        <v>100.58759999999999</v>
      </c>
    </row>
    <row r="429" spans="1:86" ht="15.5" x14ac:dyDescent="0.35">
      <c r="A429" t="s">
        <v>103</v>
      </c>
      <c r="B429">
        <v>2019</v>
      </c>
      <c r="C429" s="2">
        <v>43.863100000000003</v>
      </c>
      <c r="D429">
        <v>20704.48</v>
      </c>
      <c r="E429">
        <v>0.1178</v>
      </c>
      <c r="F429">
        <v>15.5138</v>
      </c>
      <c r="G429">
        <v>10300</v>
      </c>
      <c r="H429">
        <v>12</v>
      </c>
      <c r="I429" s="19">
        <v>105.932</v>
      </c>
      <c r="J429" s="19">
        <v>106.98</v>
      </c>
      <c r="K429" s="19">
        <v>3.831</v>
      </c>
      <c r="L429" s="19">
        <v>97.619</v>
      </c>
      <c r="M429" s="19">
        <v>5960000000</v>
      </c>
      <c r="N429" s="19">
        <v>95.987399999999994</v>
      </c>
      <c r="O429">
        <v>26.562999999999999</v>
      </c>
      <c r="P429">
        <v>37.3611</v>
      </c>
      <c r="Q429" s="19">
        <v>113830.25900000001</v>
      </c>
      <c r="R429" s="19">
        <v>107350.62669999999</v>
      </c>
      <c r="S429" s="19">
        <v>0.91549999999999998</v>
      </c>
      <c r="T429" s="19">
        <v>131728.03779999999</v>
      </c>
      <c r="U429" s="19">
        <v>121403.82369999999</v>
      </c>
      <c r="V429">
        <v>34.200000000000003</v>
      </c>
      <c r="W429" s="19">
        <v>95.238100000000003</v>
      </c>
      <c r="X429">
        <v>99</v>
      </c>
      <c r="Y429">
        <v>96</v>
      </c>
      <c r="Z429">
        <v>99</v>
      </c>
      <c r="AA429">
        <v>2.1</v>
      </c>
      <c r="AB429">
        <v>97.1</v>
      </c>
      <c r="AC429">
        <v>82.638999999999996</v>
      </c>
      <c r="AD429">
        <v>116.9901</v>
      </c>
      <c r="AE429">
        <v>12</v>
      </c>
      <c r="AF429">
        <v>96.044700000000006</v>
      </c>
      <c r="AG429">
        <v>4.0999999999999996</v>
      </c>
      <c r="AH429">
        <v>1E-3</v>
      </c>
      <c r="AI429">
        <v>2.5</v>
      </c>
      <c r="AJ429">
        <v>2.2000000000000002</v>
      </c>
      <c r="AK429">
        <v>2.7</v>
      </c>
      <c r="AL429">
        <v>67.960800000000006</v>
      </c>
      <c r="AM429">
        <v>1.6</v>
      </c>
      <c r="AN429">
        <v>10503</v>
      </c>
      <c r="AO429">
        <v>0</v>
      </c>
      <c r="AP429">
        <v>99.8767</v>
      </c>
      <c r="AQ429">
        <v>97.594300000000004</v>
      </c>
      <c r="AR429">
        <v>99.512500000000003</v>
      </c>
      <c r="AS429">
        <v>87.664699999999996</v>
      </c>
      <c r="AT429">
        <v>95.5017</v>
      </c>
      <c r="AU429">
        <v>8.4590999999999994</v>
      </c>
      <c r="AV429" s="19">
        <v>95.283000000000001</v>
      </c>
      <c r="AW429">
        <v>0.1</v>
      </c>
      <c r="AZ429">
        <v>6</v>
      </c>
      <c r="BA429">
        <v>94.813900000000004</v>
      </c>
      <c r="BB429">
        <v>25</v>
      </c>
      <c r="BC429">
        <v>4.6928999999999998</v>
      </c>
      <c r="BD429" s="19">
        <v>2.7490000000000001</v>
      </c>
      <c r="BE429" s="19">
        <v>95.238100000000003</v>
      </c>
      <c r="BF429">
        <v>85.906700000000001</v>
      </c>
      <c r="BG429">
        <v>16.399999999999999</v>
      </c>
      <c r="BH429" s="20">
        <v>1.1818</v>
      </c>
      <c r="BI429" s="20">
        <v>5090.8154000000004</v>
      </c>
      <c r="BJ429" s="19">
        <v>96.1905</v>
      </c>
      <c r="BK429">
        <v>0.98729999999999996</v>
      </c>
      <c r="BL429">
        <v>0.99270000000000003</v>
      </c>
      <c r="BM429">
        <v>0.99690000000000001</v>
      </c>
      <c r="BN429">
        <v>7</v>
      </c>
      <c r="BO429">
        <v>4.7750000000000004</v>
      </c>
      <c r="BP429">
        <v>11.16</v>
      </c>
      <c r="BQ429" s="19">
        <v>92.374399999999994</v>
      </c>
      <c r="BR429">
        <v>81.015500000000003</v>
      </c>
      <c r="BS429" s="20">
        <v>5.5919999999999996</v>
      </c>
      <c r="BT429" s="20">
        <v>5.5919999999999996</v>
      </c>
      <c r="BU429" s="20">
        <v>16.977</v>
      </c>
      <c r="BV429" s="20">
        <v>16.984999999999999</v>
      </c>
      <c r="BW429" s="19">
        <v>97.101399999999998</v>
      </c>
      <c r="BX429">
        <v>13.24</v>
      </c>
      <c r="BY429" s="5">
        <v>1325663</v>
      </c>
      <c r="BZ429" s="6">
        <v>3164756</v>
      </c>
      <c r="CA429" s="7">
        <f t="shared" si="30"/>
        <v>2.3873005431998933</v>
      </c>
      <c r="CB429">
        <v>620001</v>
      </c>
      <c r="CC429" s="8">
        <f t="shared" si="31"/>
        <v>5.1044369283275346</v>
      </c>
      <c r="CD429" s="8">
        <f t="shared" si="32"/>
        <v>2.1381626803827736</v>
      </c>
      <c r="CE429">
        <v>2595</v>
      </c>
      <c r="CF429" s="8">
        <f t="shared" si="33"/>
        <v>510.85279383429673</v>
      </c>
      <c r="CG429" s="8">
        <f t="shared" si="34"/>
        <v>1219.5591522157997</v>
      </c>
      <c r="CH429">
        <v>100.9071</v>
      </c>
    </row>
    <row r="430" spans="1:86" ht="15.5" x14ac:dyDescent="0.35">
      <c r="A430" t="s">
        <v>103</v>
      </c>
      <c r="B430">
        <v>2020</v>
      </c>
      <c r="C430" s="2">
        <v>44.008499999999998</v>
      </c>
      <c r="D430">
        <v>20678.599999999999</v>
      </c>
      <c r="E430">
        <v>9.8199999999999996E-2</v>
      </c>
      <c r="F430">
        <v>12.604200000000001</v>
      </c>
      <c r="G430">
        <v>10300</v>
      </c>
      <c r="H430">
        <v>12</v>
      </c>
      <c r="I430" s="19">
        <v>105.94</v>
      </c>
      <c r="J430" s="19">
        <v>106.81</v>
      </c>
      <c r="K430" s="19">
        <v>2.9140000000000001</v>
      </c>
      <c r="L430" s="19">
        <v>96.666700000000006</v>
      </c>
      <c r="M430" s="19">
        <v>3620000000</v>
      </c>
      <c r="N430" s="19">
        <v>80.745199999999997</v>
      </c>
      <c r="O430">
        <v>29.126000000000001</v>
      </c>
      <c r="P430">
        <v>37.296100000000003</v>
      </c>
      <c r="Q430" s="19">
        <v>117570.398</v>
      </c>
      <c r="R430" s="19">
        <v>104616.0347</v>
      </c>
      <c r="S430" s="19">
        <v>-2.5472999999999999</v>
      </c>
      <c r="T430" s="19">
        <v>128372.4688</v>
      </c>
      <c r="U430" s="19">
        <v>122114.10159999999</v>
      </c>
      <c r="V430">
        <v>33.4</v>
      </c>
      <c r="W430" s="19">
        <v>96.666700000000006</v>
      </c>
      <c r="X430">
        <v>99</v>
      </c>
      <c r="Y430">
        <v>96</v>
      </c>
      <c r="Z430">
        <v>99</v>
      </c>
      <c r="AA430">
        <v>2.1</v>
      </c>
      <c r="AB430">
        <v>98.5</v>
      </c>
      <c r="AC430">
        <v>82.143900000000002</v>
      </c>
      <c r="AD430">
        <v>100.277</v>
      </c>
      <c r="AE430">
        <v>6</v>
      </c>
      <c r="AF430">
        <v>96.064300000000003</v>
      </c>
      <c r="AH430">
        <v>5.5E-2</v>
      </c>
      <c r="AI430">
        <v>2.5</v>
      </c>
      <c r="AJ430">
        <v>2.2000000000000002</v>
      </c>
      <c r="AK430">
        <v>2.7</v>
      </c>
      <c r="AL430">
        <v>68.212599999999995</v>
      </c>
      <c r="AM430">
        <v>1.7</v>
      </c>
      <c r="AN430">
        <v>6967</v>
      </c>
      <c r="AO430">
        <v>0</v>
      </c>
      <c r="AP430">
        <v>99.879900000000006</v>
      </c>
      <c r="AQ430">
        <v>97.591399999999993</v>
      </c>
      <c r="AR430">
        <v>99.520099999999999</v>
      </c>
      <c r="AS430">
        <v>87.929500000000004</v>
      </c>
      <c r="AT430">
        <v>95.816199999999995</v>
      </c>
      <c r="AU430">
        <v>8.6747999999999994</v>
      </c>
      <c r="AV430" s="19">
        <v>93.396199999999993</v>
      </c>
      <c r="AW430">
        <v>0</v>
      </c>
      <c r="AZ430">
        <v>6</v>
      </c>
      <c r="BA430">
        <v>95.142099999999999</v>
      </c>
      <c r="BB430">
        <v>30</v>
      </c>
      <c r="BC430">
        <v>5.0362</v>
      </c>
      <c r="BD430" s="19">
        <v>-0.51</v>
      </c>
      <c r="BE430" s="19">
        <v>98.571399999999997</v>
      </c>
      <c r="BF430">
        <v>88.574799999999996</v>
      </c>
      <c r="BG430">
        <v>20.8</v>
      </c>
      <c r="BH430" s="20">
        <v>1.0958000000000001</v>
      </c>
      <c r="BI430" s="20">
        <v>4688.8046999999997</v>
      </c>
      <c r="BJ430" s="19">
        <v>95.714299999999994</v>
      </c>
      <c r="BK430">
        <v>0.98599999999999999</v>
      </c>
      <c r="BL430">
        <v>0.99260000000000004</v>
      </c>
      <c r="BM430">
        <v>0.998</v>
      </c>
      <c r="BN430">
        <v>7</v>
      </c>
      <c r="BO430">
        <v>6.7119999999999997</v>
      </c>
      <c r="BP430">
        <v>9.69</v>
      </c>
      <c r="BQ430" s="19">
        <v>93.313500000000005</v>
      </c>
      <c r="BR430">
        <v>81.015500000000003</v>
      </c>
      <c r="BS430" s="20">
        <v>6.766</v>
      </c>
      <c r="BT430" s="20">
        <v>6.766</v>
      </c>
      <c r="BU430" s="20">
        <v>23.181999999999999</v>
      </c>
      <c r="BV430" s="20">
        <v>23.196000000000002</v>
      </c>
      <c r="BW430" s="19">
        <v>96.618399999999994</v>
      </c>
      <c r="BX430">
        <v>15.33</v>
      </c>
      <c r="BY430" s="5">
        <v>625171</v>
      </c>
      <c r="BZ430" s="6">
        <v>1693382</v>
      </c>
      <c r="CA430" s="7">
        <f t="shared" si="30"/>
        <v>2.7086701078584898</v>
      </c>
      <c r="CB430">
        <v>630419</v>
      </c>
      <c r="CC430" s="8">
        <f t="shared" si="31"/>
        <v>2.6861214525577433</v>
      </c>
      <c r="CD430" s="8">
        <f t="shared" si="32"/>
        <v>0.99167537780428572</v>
      </c>
      <c r="CE430">
        <v>2595</v>
      </c>
      <c r="CF430" s="8">
        <f t="shared" si="33"/>
        <v>240.91368015414258</v>
      </c>
      <c r="CG430" s="8">
        <f t="shared" si="34"/>
        <v>652.5556840077071</v>
      </c>
      <c r="CH430">
        <v>100.52957000000001</v>
      </c>
    </row>
    <row r="431" spans="1:86" ht="15.5" x14ac:dyDescent="0.35">
      <c r="A431" t="s">
        <v>103</v>
      </c>
      <c r="B431">
        <v>2021</v>
      </c>
      <c r="C431" s="2">
        <v>44.197499999999998</v>
      </c>
      <c r="D431">
        <v>20603.919999999998</v>
      </c>
      <c r="E431">
        <v>9.6000000000000002E-2</v>
      </c>
      <c r="F431">
        <v>13.0068</v>
      </c>
      <c r="G431">
        <v>10300</v>
      </c>
      <c r="H431">
        <v>12</v>
      </c>
      <c r="I431" s="19">
        <v>109.621</v>
      </c>
      <c r="J431" s="19">
        <v>112.83</v>
      </c>
      <c r="K431" s="19">
        <v>6.2510000000000003</v>
      </c>
      <c r="L431" s="19">
        <v>96.1905</v>
      </c>
      <c r="M431" s="19">
        <v>5546000000</v>
      </c>
      <c r="N431" s="19">
        <v>96.991200000000006</v>
      </c>
      <c r="O431">
        <v>20.204000000000001</v>
      </c>
      <c r="P431">
        <v>38.04</v>
      </c>
      <c r="Q431" s="19">
        <v>136190.492</v>
      </c>
      <c r="R431" s="19">
        <v>110425.8884</v>
      </c>
      <c r="S431" s="19">
        <v>5.5534999999999997</v>
      </c>
      <c r="T431" s="19">
        <v>135501.6366</v>
      </c>
      <c r="U431" s="19">
        <v>135501.6366</v>
      </c>
      <c r="V431">
        <v>32.700000000000003</v>
      </c>
      <c r="W431" s="19">
        <v>95.714299999999994</v>
      </c>
      <c r="X431">
        <v>99</v>
      </c>
      <c r="Y431">
        <v>96</v>
      </c>
      <c r="Z431">
        <v>99</v>
      </c>
      <c r="AA431">
        <v>2.1</v>
      </c>
      <c r="AB431">
        <v>98.7</v>
      </c>
      <c r="AC431">
        <v>82.5976</v>
      </c>
      <c r="AD431">
        <v>99.398099999999999</v>
      </c>
      <c r="AE431">
        <v>6</v>
      </c>
      <c r="AH431">
        <v>8.1000000000000003E-2</v>
      </c>
      <c r="AI431">
        <v>2.4</v>
      </c>
      <c r="AJ431">
        <v>2.2000000000000002</v>
      </c>
      <c r="AK431">
        <v>2.6</v>
      </c>
      <c r="AL431">
        <v>67.381799999999998</v>
      </c>
      <c r="AM431">
        <v>1.7</v>
      </c>
      <c r="AN431">
        <v>8724</v>
      </c>
      <c r="AO431">
        <v>0</v>
      </c>
      <c r="AP431">
        <v>99.882999999999996</v>
      </c>
      <c r="AQ431">
        <v>97.5886</v>
      </c>
      <c r="AR431">
        <v>99.527199999999993</v>
      </c>
      <c r="AS431">
        <v>88.194800000000001</v>
      </c>
      <c r="AT431">
        <v>96.131200000000007</v>
      </c>
      <c r="AV431" s="19">
        <v>93.396199999999993</v>
      </c>
      <c r="AW431">
        <v>0.1</v>
      </c>
      <c r="AX431">
        <v>17.3</v>
      </c>
      <c r="AZ431">
        <v>6</v>
      </c>
      <c r="BA431">
        <v>95.470200000000006</v>
      </c>
      <c r="BB431">
        <v>35</v>
      </c>
      <c r="BC431">
        <v>4.9272999999999998</v>
      </c>
      <c r="BD431" s="19">
        <v>6.93</v>
      </c>
      <c r="BE431" s="19">
        <v>99.523799999999994</v>
      </c>
      <c r="BF431">
        <v>89.044799999999995</v>
      </c>
      <c r="BG431">
        <v>20.5</v>
      </c>
      <c r="BH431" s="20">
        <v>1.0411999999999999</v>
      </c>
      <c r="BI431" s="20">
        <v>4939.0864000000001</v>
      </c>
      <c r="BJ431" s="19">
        <v>96.666700000000006</v>
      </c>
      <c r="BN431">
        <v>7</v>
      </c>
      <c r="BO431">
        <v>9.827</v>
      </c>
      <c r="BP431">
        <v>8.2200000000000006</v>
      </c>
      <c r="BQ431" s="19">
        <v>95.3626</v>
      </c>
      <c r="BS431" s="20">
        <v>5.5709999999999997</v>
      </c>
      <c r="BT431" s="20">
        <v>5.5709999999999997</v>
      </c>
      <c r="BU431" s="20">
        <v>18.666</v>
      </c>
      <c r="BV431" s="20">
        <v>18.684000000000001</v>
      </c>
      <c r="BW431" s="19">
        <v>97.584500000000006</v>
      </c>
      <c r="BX431">
        <v>13.35</v>
      </c>
      <c r="BY431" s="5">
        <v>837044</v>
      </c>
      <c r="BZ431" s="6">
        <v>2223776</v>
      </c>
      <c r="CA431" s="7">
        <f t="shared" si="30"/>
        <v>2.6567014398287307</v>
      </c>
      <c r="CB431">
        <v>640064</v>
      </c>
      <c r="CC431" s="8">
        <f t="shared" si="31"/>
        <v>3.4743025697430259</v>
      </c>
      <c r="CD431" s="8">
        <f t="shared" si="32"/>
        <v>1.3077504749525048</v>
      </c>
      <c r="CE431">
        <v>2595</v>
      </c>
      <c r="CF431" s="8">
        <f t="shared" si="33"/>
        <v>322.56030828516379</v>
      </c>
      <c r="CG431" s="8">
        <f t="shared" si="34"/>
        <v>856.94643545279382</v>
      </c>
      <c r="CH431">
        <v>101.13158</v>
      </c>
    </row>
    <row r="432" spans="1:86" ht="15.5" x14ac:dyDescent="0.35">
      <c r="A432" t="s">
        <v>103</v>
      </c>
      <c r="B432">
        <v>2022</v>
      </c>
      <c r="C432" s="2">
        <v>44.3444</v>
      </c>
      <c r="E432">
        <v>8.2600000000000007E-2</v>
      </c>
      <c r="F432">
        <v>11.120799999999999</v>
      </c>
      <c r="H432">
        <v>12</v>
      </c>
      <c r="I432" s="19">
        <v>118.553</v>
      </c>
      <c r="J432" s="19">
        <v>120.02</v>
      </c>
      <c r="K432" s="19">
        <v>8.7970000000000006</v>
      </c>
      <c r="L432" s="19">
        <v>96.226399999999998</v>
      </c>
      <c r="M432" s="19">
        <v>7693000000</v>
      </c>
      <c r="N432" s="19"/>
      <c r="O432">
        <v>26.463000000000001</v>
      </c>
      <c r="P432">
        <v>38.326999999999998</v>
      </c>
      <c r="Q432" s="19">
        <v>125295.52800000001</v>
      </c>
      <c r="R432" s="19">
        <v>109714.9243</v>
      </c>
      <c r="S432" s="19">
        <v>-0.64380000000000004</v>
      </c>
      <c r="T432" s="19">
        <v>134629.22529999999</v>
      </c>
      <c r="U432" s="19">
        <v>144872.6966</v>
      </c>
      <c r="W432" s="19">
        <v>97.641499999999994</v>
      </c>
      <c r="X432">
        <v>99</v>
      </c>
      <c r="Y432">
        <v>96</v>
      </c>
      <c r="Z432">
        <v>99</v>
      </c>
      <c r="AA432">
        <v>2</v>
      </c>
      <c r="AB432">
        <v>98.2</v>
      </c>
      <c r="AC432">
        <v>82.946299999999994</v>
      </c>
      <c r="AD432">
        <v>98.3279</v>
      </c>
      <c r="AE432">
        <v>6</v>
      </c>
      <c r="AI432">
        <v>2.4</v>
      </c>
      <c r="AJ432">
        <v>2.2000000000000002</v>
      </c>
      <c r="AK432">
        <v>2.6</v>
      </c>
      <c r="AL432">
        <v>67.345100000000002</v>
      </c>
      <c r="AM432">
        <v>1.7</v>
      </c>
      <c r="AN432">
        <v>13194</v>
      </c>
      <c r="AO432">
        <v>0</v>
      </c>
      <c r="AP432">
        <v>99.885900000000007</v>
      </c>
      <c r="AQ432">
        <v>97.585899999999995</v>
      </c>
      <c r="AR432">
        <v>99.534099999999995</v>
      </c>
      <c r="AS432">
        <v>88.460400000000007</v>
      </c>
      <c r="AT432">
        <v>96.446700000000007</v>
      </c>
      <c r="AV432" s="19">
        <v>86.792400000000001</v>
      </c>
      <c r="AZ432">
        <v>6</v>
      </c>
      <c r="BA432">
        <v>95.798299999999998</v>
      </c>
      <c r="BB432">
        <v>33.333300000000001</v>
      </c>
      <c r="BC432">
        <v>4.8343999999999996</v>
      </c>
      <c r="BD432" s="19">
        <v>-1.095</v>
      </c>
      <c r="BE432" s="19">
        <v>98.113200000000006</v>
      </c>
      <c r="BG432" s="23">
        <v>14.262</v>
      </c>
      <c r="BH432" s="20">
        <v>0.97650000000000003</v>
      </c>
      <c r="BI432" s="20">
        <v>4879.2426999999998</v>
      </c>
      <c r="BJ432" s="19">
        <v>98.584900000000005</v>
      </c>
      <c r="BN432">
        <v>7</v>
      </c>
      <c r="BO432">
        <v>9.9689999999999994</v>
      </c>
      <c r="BQ432" s="19"/>
      <c r="BS432" s="20">
        <v>4.5880000000000001</v>
      </c>
      <c r="BT432" s="20">
        <v>4.5880000000000001</v>
      </c>
      <c r="BU432" s="20">
        <v>17.599</v>
      </c>
      <c r="BV432" s="20">
        <v>17.600999999999999</v>
      </c>
      <c r="BW432" s="19">
        <v>97.101399999999998</v>
      </c>
      <c r="BX432">
        <v>14.01</v>
      </c>
      <c r="BY432" s="5">
        <v>1313630</v>
      </c>
      <c r="BZ432" s="6">
        <v>3296351</v>
      </c>
      <c r="CA432" s="7">
        <f t="shared" si="30"/>
        <v>2.509345097173481</v>
      </c>
      <c r="CB432">
        <v>653103</v>
      </c>
      <c r="CC432" s="8">
        <f t="shared" si="31"/>
        <v>5.0472146047407529</v>
      </c>
      <c r="CD432" s="8">
        <f t="shared" si="32"/>
        <v>2.0113672728497649</v>
      </c>
      <c r="CE432">
        <v>2595</v>
      </c>
      <c r="CF432" s="8">
        <f t="shared" si="33"/>
        <v>506.21579961464357</v>
      </c>
      <c r="CG432" s="8">
        <f t="shared" si="34"/>
        <v>1270.2701348747592</v>
      </c>
      <c r="CH432">
        <v>100.5427</v>
      </c>
    </row>
    <row r="433" spans="1:86" ht="15.5" x14ac:dyDescent="0.35">
      <c r="A433" t="s">
        <v>103</v>
      </c>
      <c r="B433">
        <v>2023</v>
      </c>
      <c r="C433" s="26">
        <v>44.772500000000001</v>
      </c>
      <c r="E433">
        <v>8.0600000000000005E-2</v>
      </c>
      <c r="F433">
        <v>10.515000000000001</v>
      </c>
      <c r="H433">
        <v>12</v>
      </c>
      <c r="I433" s="19">
        <v>122.023</v>
      </c>
      <c r="J433" s="19">
        <v>123.93</v>
      </c>
      <c r="K433" s="19">
        <v>6.0270000000000001</v>
      </c>
      <c r="L433" s="19">
        <v>96.698099999999997</v>
      </c>
      <c r="M433" s="19">
        <v>9841000000</v>
      </c>
      <c r="N433" s="19"/>
      <c r="Q433" s="19">
        <v>132563.65900000001</v>
      </c>
      <c r="R433" s="19">
        <v>106342.75750000001</v>
      </c>
      <c r="S433" s="19">
        <v>-3.0735999999999999</v>
      </c>
      <c r="T433" s="19">
        <v>130491.29949999999</v>
      </c>
      <c r="U433" s="19">
        <v>139466.40150000001</v>
      </c>
      <c r="W433" s="19">
        <v>98.113200000000006</v>
      </c>
      <c r="X433">
        <v>99</v>
      </c>
      <c r="Y433">
        <v>96</v>
      </c>
      <c r="Z433">
        <v>99</v>
      </c>
      <c r="AA433">
        <v>2</v>
      </c>
      <c r="AB433">
        <v>99.3</v>
      </c>
      <c r="AC433">
        <v>83.358500000000006</v>
      </c>
      <c r="AE433">
        <v>11</v>
      </c>
      <c r="AI433">
        <v>2.2999999999999998</v>
      </c>
      <c r="AJ433">
        <v>2.1</v>
      </c>
      <c r="AK433">
        <v>2.5</v>
      </c>
      <c r="AL433" s="24">
        <v>67.345100000000002</v>
      </c>
      <c r="AM433">
        <v>1.6</v>
      </c>
      <c r="AN433">
        <v>5905</v>
      </c>
      <c r="AV433" s="19">
        <v>87.677700000000002</v>
      </c>
      <c r="AY433" s="25"/>
      <c r="AZ433">
        <v>6</v>
      </c>
      <c r="BB433">
        <v>33.333300000000001</v>
      </c>
      <c r="BC433">
        <v>5.0399000000000003</v>
      </c>
      <c r="BD433" s="19">
        <v>-0.69399999999999995</v>
      </c>
      <c r="BE433" s="19">
        <v>99.056600000000003</v>
      </c>
      <c r="BG433" s="23">
        <v>14.355</v>
      </c>
      <c r="BH433" s="20"/>
      <c r="BI433" s="20"/>
      <c r="BJ433" s="19">
        <v>97.641499999999994</v>
      </c>
      <c r="BN433">
        <v>7</v>
      </c>
      <c r="BO433">
        <v>8.8339999999999996</v>
      </c>
      <c r="BQ433" s="19"/>
      <c r="BS433" s="20">
        <v>5.1840000000000002</v>
      </c>
      <c r="BT433" s="20">
        <v>5.1840000000000002</v>
      </c>
      <c r="BU433" s="20">
        <v>18.847000000000001</v>
      </c>
      <c r="BV433" s="20">
        <v>18.817</v>
      </c>
      <c r="BW433" s="19">
        <v>98.039199999999994</v>
      </c>
      <c r="BX433">
        <v>15.94</v>
      </c>
      <c r="BY433" s="5">
        <v>1442035</v>
      </c>
      <c r="BZ433" s="6">
        <v>3485954</v>
      </c>
      <c r="CA433" s="7">
        <f t="shared" si="30"/>
        <v>2.4173851536197111</v>
      </c>
      <c r="CB433">
        <v>666430</v>
      </c>
      <c r="CC433" s="8">
        <f t="shared" si="31"/>
        <v>5.2307879297150492</v>
      </c>
      <c r="CD433" s="8">
        <f t="shared" si="32"/>
        <v>2.163820656332998</v>
      </c>
      <c r="CE433">
        <v>2595</v>
      </c>
      <c r="CF433" s="8">
        <f t="shared" si="33"/>
        <v>555.69749518304434</v>
      </c>
      <c r="CG433" s="8">
        <f t="shared" si="34"/>
        <v>1343.3348747591522</v>
      </c>
      <c r="CH433">
        <v>97.797280000000001</v>
      </c>
    </row>
    <row r="434" spans="1:86" ht="15.5" x14ac:dyDescent="0.35">
      <c r="A434" t="s">
        <v>104</v>
      </c>
      <c r="B434">
        <v>2000</v>
      </c>
      <c r="C434" s="2">
        <v>46.956400000000002</v>
      </c>
      <c r="D434">
        <v>4475.7759999999998</v>
      </c>
      <c r="E434">
        <v>0.1764</v>
      </c>
      <c r="F434">
        <v>5.4725999999999999</v>
      </c>
      <c r="G434">
        <v>2830</v>
      </c>
      <c r="H434">
        <v>11</v>
      </c>
      <c r="I434" s="19">
        <v>72.337999999999994</v>
      </c>
      <c r="J434" s="19">
        <v>71.52</v>
      </c>
      <c r="K434" s="19">
        <v>4.9669999999999996</v>
      </c>
      <c r="L434" s="19">
        <v>81.914900000000003</v>
      </c>
      <c r="M434" s="19">
        <v>-209000000</v>
      </c>
      <c r="N434" s="19">
        <v>94.087000000000003</v>
      </c>
      <c r="P434">
        <v>0.41410000000000002</v>
      </c>
      <c r="Q434" s="19">
        <v>10397.838</v>
      </c>
      <c r="R434" s="19">
        <v>17178.285500000002</v>
      </c>
      <c r="S434" s="19">
        <v>18.9115</v>
      </c>
      <c r="T434" s="19">
        <v>31025.560799999999</v>
      </c>
      <c r="U434" s="19">
        <v>18210.567200000001</v>
      </c>
      <c r="W434" s="19">
        <v>83.060100000000006</v>
      </c>
      <c r="X434">
        <v>94</v>
      </c>
      <c r="Z434">
        <v>74</v>
      </c>
      <c r="AA434">
        <v>6.7</v>
      </c>
      <c r="AB434">
        <v>13.1</v>
      </c>
      <c r="AC434">
        <v>78.348799999999997</v>
      </c>
      <c r="AD434">
        <v>85.997500000000002</v>
      </c>
      <c r="AE434">
        <v>13</v>
      </c>
      <c r="AF434">
        <v>92.173199999999994</v>
      </c>
      <c r="AG434">
        <v>4.5999999999999996</v>
      </c>
      <c r="AH434">
        <v>0.44</v>
      </c>
      <c r="AI434">
        <v>7.6</v>
      </c>
      <c r="AJ434">
        <v>7</v>
      </c>
      <c r="AK434">
        <v>8.3000000000000007</v>
      </c>
      <c r="AL434">
        <v>57.578699999999998</v>
      </c>
      <c r="AM434">
        <v>5.0999999999999996</v>
      </c>
      <c r="AN434">
        <v>1591</v>
      </c>
      <c r="AO434">
        <v>0</v>
      </c>
      <c r="AP434">
        <v>100</v>
      </c>
      <c r="AQ434">
        <v>99.965400000000002</v>
      </c>
      <c r="AR434">
        <v>100</v>
      </c>
      <c r="AU434">
        <v>17.541699999999999</v>
      </c>
      <c r="AV434" s="19">
        <v>98.412700000000001</v>
      </c>
      <c r="AY434">
        <v>2</v>
      </c>
      <c r="AZ434">
        <v>6</v>
      </c>
      <c r="BA434">
        <v>99.2774</v>
      </c>
      <c r="BB434">
        <v>9.2308000000000003</v>
      </c>
      <c r="BC434">
        <v>4.7191000000000001</v>
      </c>
      <c r="BD434" s="19"/>
      <c r="BE434" s="19">
        <v>84.239099999999993</v>
      </c>
      <c r="BF434">
        <v>0</v>
      </c>
      <c r="BG434">
        <v>0</v>
      </c>
      <c r="BH434" s="20"/>
      <c r="BI434" s="20"/>
      <c r="BJ434" s="19">
        <v>89.552199999999999</v>
      </c>
      <c r="BK434">
        <v>1.0087999999999999</v>
      </c>
      <c r="BL434">
        <v>0.99080000000000001</v>
      </c>
      <c r="BM434">
        <v>0.97489999999999999</v>
      </c>
      <c r="BN434">
        <v>7</v>
      </c>
      <c r="BP434">
        <v>6.8</v>
      </c>
      <c r="BQ434" s="19">
        <v>86.0167</v>
      </c>
      <c r="BR434">
        <v>83.031000000000006</v>
      </c>
      <c r="BS434" s="20">
        <v>6.3239999999999998</v>
      </c>
      <c r="BT434" s="20">
        <v>6.3239999999999998</v>
      </c>
      <c r="BU434" s="20">
        <v>11.837999999999999</v>
      </c>
      <c r="BV434" s="20">
        <v>11.843999999999999</v>
      </c>
      <c r="BW434" s="19">
        <v>86.5672</v>
      </c>
      <c r="BX434">
        <v>31.03</v>
      </c>
      <c r="BY434" s="27">
        <v>988026</v>
      </c>
      <c r="BZ434" s="27">
        <v>7737121</v>
      </c>
      <c r="CA434" s="7">
        <f t="shared" si="30"/>
        <v>7.8308880535532461</v>
      </c>
      <c r="CB434">
        <v>390087</v>
      </c>
      <c r="CC434" s="8">
        <f t="shared" si="31"/>
        <v>19.83434720972501</v>
      </c>
      <c r="CD434" s="8">
        <f t="shared" si="32"/>
        <v>2.5328349829653387</v>
      </c>
      <c r="CE434">
        <v>316</v>
      </c>
      <c r="CF434" s="8">
        <f t="shared" si="33"/>
        <v>3126.6645569620255</v>
      </c>
      <c r="CG434" s="8">
        <f t="shared" si="34"/>
        <v>24484.560126582277</v>
      </c>
      <c r="CH434">
        <v>100.50688</v>
      </c>
    </row>
    <row r="435" spans="1:86" ht="15.5" x14ac:dyDescent="0.35">
      <c r="A435" t="s">
        <v>104</v>
      </c>
      <c r="B435">
        <v>2001</v>
      </c>
      <c r="C435" s="2">
        <v>46.566899999999997</v>
      </c>
      <c r="D435">
        <v>4136.4750000000004</v>
      </c>
      <c r="E435">
        <v>0.2077</v>
      </c>
      <c r="F435">
        <v>6.3475999999999999</v>
      </c>
      <c r="G435">
        <v>2740</v>
      </c>
      <c r="H435">
        <v>11</v>
      </c>
      <c r="I435" s="19">
        <v>74.156999999999996</v>
      </c>
      <c r="J435" s="19">
        <v>74.069999999999993</v>
      </c>
      <c r="K435" s="19">
        <v>3.9790000000000001</v>
      </c>
      <c r="L435" s="19"/>
      <c r="M435" s="19">
        <v>-64000000</v>
      </c>
      <c r="N435" s="19">
        <v>69.875500000000002</v>
      </c>
      <c r="P435">
        <v>2.2734000000000001</v>
      </c>
      <c r="Q435" s="19">
        <v>10403.09</v>
      </c>
      <c r="R435" s="19">
        <v>16920.730899999999</v>
      </c>
      <c r="S435" s="19">
        <v>-1.4993000000000001</v>
      </c>
      <c r="T435" s="19">
        <v>30560.393599999999</v>
      </c>
      <c r="U435" s="19">
        <v>18437.1492</v>
      </c>
      <c r="W435" s="19"/>
      <c r="X435">
        <v>95</v>
      </c>
      <c r="Z435">
        <v>70</v>
      </c>
      <c r="AA435">
        <v>6.5</v>
      </c>
      <c r="AB435">
        <v>17.899999999999999</v>
      </c>
      <c r="AC435">
        <v>78.843900000000005</v>
      </c>
      <c r="AD435">
        <v>84.942599999999999</v>
      </c>
      <c r="AE435">
        <v>12</v>
      </c>
      <c r="AF435">
        <v>92.195700000000002</v>
      </c>
      <c r="AG435">
        <v>4.8</v>
      </c>
      <c r="AH435">
        <v>0.49</v>
      </c>
      <c r="AI435">
        <v>7.4</v>
      </c>
      <c r="AJ435">
        <v>6.8</v>
      </c>
      <c r="AK435">
        <v>8</v>
      </c>
      <c r="AL435">
        <v>57.929699999999997</v>
      </c>
      <c r="AM435">
        <v>4.9000000000000004</v>
      </c>
      <c r="AN435">
        <v>1678</v>
      </c>
      <c r="AO435">
        <v>0</v>
      </c>
      <c r="AP435">
        <v>100</v>
      </c>
      <c r="AQ435">
        <v>99.965299999999999</v>
      </c>
      <c r="AR435">
        <v>100</v>
      </c>
      <c r="AU435">
        <v>17.373899999999999</v>
      </c>
      <c r="AV435" s="19"/>
      <c r="AY435">
        <v>2</v>
      </c>
      <c r="AZ435">
        <v>6</v>
      </c>
      <c r="BA435">
        <v>99.277299999999997</v>
      </c>
      <c r="BB435">
        <v>9.2308000000000003</v>
      </c>
      <c r="BC435">
        <v>4.8066000000000004</v>
      </c>
      <c r="BD435" s="19">
        <v>-0.75600000000000001</v>
      </c>
      <c r="BE435" s="19"/>
      <c r="BF435">
        <v>0</v>
      </c>
      <c r="BG435">
        <v>0</v>
      </c>
      <c r="BH435" s="20"/>
      <c r="BI435" s="20"/>
      <c r="BJ435" s="19"/>
      <c r="BK435">
        <v>0.99870000000000003</v>
      </c>
      <c r="BL435">
        <v>0.97340000000000004</v>
      </c>
      <c r="BM435">
        <v>0.95120000000000005</v>
      </c>
      <c r="BN435">
        <v>7</v>
      </c>
      <c r="BP435">
        <v>7.28</v>
      </c>
      <c r="BQ435" s="19">
        <v>87.728099999999998</v>
      </c>
      <c r="BR435">
        <v>77.508399999999995</v>
      </c>
      <c r="BS435" s="20">
        <v>7.1070000000000002</v>
      </c>
      <c r="BT435" s="20">
        <v>7.1070000000000002</v>
      </c>
      <c r="BU435" s="20">
        <v>17.739000000000001</v>
      </c>
      <c r="BV435" s="20">
        <v>17.648</v>
      </c>
      <c r="BW435" s="19"/>
      <c r="BX435">
        <v>29.23</v>
      </c>
      <c r="BY435" s="5">
        <v>988026</v>
      </c>
      <c r="BZ435" s="27">
        <v>7737121</v>
      </c>
      <c r="CA435" s="7">
        <f t="shared" si="30"/>
        <v>7.8308880535532461</v>
      </c>
      <c r="CB435">
        <v>393028</v>
      </c>
      <c r="CC435" s="8">
        <f t="shared" si="31"/>
        <v>19.685928229032029</v>
      </c>
      <c r="CD435" s="8">
        <f t="shared" si="32"/>
        <v>2.513881962608262</v>
      </c>
      <c r="CE435">
        <v>316</v>
      </c>
      <c r="CF435" s="8">
        <f t="shared" si="33"/>
        <v>3126.6645569620255</v>
      </c>
      <c r="CG435" s="8">
        <f t="shared" si="34"/>
        <v>24484.560126582277</v>
      </c>
      <c r="CH435">
        <v>101.06469</v>
      </c>
    </row>
    <row r="436" spans="1:86" ht="15.5" x14ac:dyDescent="0.35">
      <c r="A436" t="s">
        <v>104</v>
      </c>
      <c r="B436">
        <v>2002</v>
      </c>
      <c r="C436" s="2">
        <v>46.235399999999998</v>
      </c>
      <c r="D436">
        <v>4141.84</v>
      </c>
      <c r="E436">
        <v>0.1883</v>
      </c>
      <c r="F436">
        <v>5.8693999999999997</v>
      </c>
      <c r="G436">
        <v>2720</v>
      </c>
      <c r="H436">
        <v>11</v>
      </c>
      <c r="I436" s="19">
        <v>76.094999999999999</v>
      </c>
      <c r="J436" s="19">
        <v>75.59</v>
      </c>
      <c r="K436" s="19">
        <v>4.1139999999999999</v>
      </c>
      <c r="L436" s="19">
        <v>77.248699999999999</v>
      </c>
      <c r="M436" s="19">
        <v>45000000</v>
      </c>
      <c r="N436" s="19">
        <v>77.7727</v>
      </c>
      <c r="P436">
        <v>4.3590999999999998</v>
      </c>
      <c r="Q436" s="19">
        <v>11307.263000000001</v>
      </c>
      <c r="R436" s="19">
        <v>17255.4274</v>
      </c>
      <c r="S436" s="19">
        <v>1.978</v>
      </c>
      <c r="T436" s="19">
        <v>31164.8861</v>
      </c>
      <c r="U436" s="19">
        <v>19532.001499999998</v>
      </c>
      <c r="W436" s="19">
        <v>83.243200000000002</v>
      </c>
      <c r="X436">
        <v>95</v>
      </c>
      <c r="Z436">
        <v>65</v>
      </c>
      <c r="AA436">
        <v>6.3</v>
      </c>
      <c r="AB436">
        <v>28.9</v>
      </c>
      <c r="AC436">
        <v>78.739000000000004</v>
      </c>
      <c r="AD436">
        <v>91.738100000000003</v>
      </c>
      <c r="AE436">
        <v>13</v>
      </c>
      <c r="AF436">
        <v>92.275700000000001</v>
      </c>
      <c r="AG436">
        <v>4</v>
      </c>
      <c r="AH436">
        <v>0.43</v>
      </c>
      <c r="AI436">
        <v>7.2</v>
      </c>
      <c r="AJ436">
        <v>6.6</v>
      </c>
      <c r="AK436">
        <v>7.8</v>
      </c>
      <c r="AL436">
        <v>57.958199999999998</v>
      </c>
      <c r="AM436">
        <v>4.8</v>
      </c>
      <c r="AN436">
        <v>1821</v>
      </c>
      <c r="AO436">
        <v>0</v>
      </c>
      <c r="AP436">
        <v>100</v>
      </c>
      <c r="AQ436">
        <v>99.965199999999996</v>
      </c>
      <c r="AR436">
        <v>100</v>
      </c>
      <c r="AU436">
        <v>17.160799999999998</v>
      </c>
      <c r="AV436" s="19">
        <v>97.883600000000001</v>
      </c>
      <c r="AY436">
        <v>2</v>
      </c>
      <c r="AZ436">
        <v>6</v>
      </c>
      <c r="BA436">
        <v>99.277199999999993</v>
      </c>
      <c r="BB436">
        <v>9.2308000000000003</v>
      </c>
      <c r="BC436">
        <v>5.4256000000000002</v>
      </c>
      <c r="BD436" s="19">
        <v>2.74</v>
      </c>
      <c r="BE436" s="19">
        <v>81.081100000000006</v>
      </c>
      <c r="BF436">
        <v>0</v>
      </c>
      <c r="BG436">
        <v>0.1</v>
      </c>
      <c r="BH436" s="20">
        <v>0.25019999999999998</v>
      </c>
      <c r="BI436" s="20">
        <v>672.92089999999996</v>
      </c>
      <c r="BJ436" s="19">
        <v>91.044799999999995</v>
      </c>
      <c r="BK436">
        <v>0.99009999999999998</v>
      </c>
      <c r="BL436">
        <v>0.98650000000000004</v>
      </c>
      <c r="BM436">
        <v>0.98350000000000004</v>
      </c>
      <c r="BN436">
        <v>7</v>
      </c>
      <c r="BP436">
        <v>5.62</v>
      </c>
      <c r="BQ436" s="19">
        <v>91.100200000000001</v>
      </c>
      <c r="BR436">
        <v>79.560699999999997</v>
      </c>
      <c r="BS436" s="20">
        <v>6.9020000000000001</v>
      </c>
      <c r="BT436" s="20">
        <v>6.9020000000000001</v>
      </c>
      <c r="BU436" s="20">
        <v>15.429</v>
      </c>
      <c r="BV436" s="20">
        <v>15.313000000000001</v>
      </c>
      <c r="BW436" s="19">
        <v>86.5672</v>
      </c>
      <c r="BX436">
        <v>26.56</v>
      </c>
      <c r="BY436" s="27">
        <v>1159227</v>
      </c>
      <c r="BZ436" s="27">
        <v>7737121</v>
      </c>
      <c r="CA436" s="7">
        <f t="shared" si="30"/>
        <v>6.6743795650032309</v>
      </c>
      <c r="CB436">
        <v>395969</v>
      </c>
      <c r="CC436" s="8">
        <f t="shared" si="31"/>
        <v>19.539713967507556</v>
      </c>
      <c r="CD436" s="8">
        <f t="shared" si="32"/>
        <v>2.9275700875573594</v>
      </c>
      <c r="CE436">
        <v>316</v>
      </c>
      <c r="CF436" s="8">
        <f t="shared" si="33"/>
        <v>3668.4398734177216</v>
      </c>
      <c r="CG436" s="8">
        <f t="shared" si="34"/>
        <v>24484.560126582277</v>
      </c>
      <c r="CH436">
        <v>99.884990000000002</v>
      </c>
    </row>
    <row r="437" spans="1:86" ht="15.5" x14ac:dyDescent="0.35">
      <c r="A437" t="s">
        <v>104</v>
      </c>
      <c r="B437">
        <v>2003</v>
      </c>
      <c r="C437" s="2">
        <v>45.797800000000002</v>
      </c>
      <c r="D437">
        <v>4248.9170000000004</v>
      </c>
      <c r="E437">
        <v>0.20419999999999999</v>
      </c>
      <c r="F437">
        <v>6.5567000000000002</v>
      </c>
      <c r="G437">
        <v>2950</v>
      </c>
      <c r="H437">
        <v>11</v>
      </c>
      <c r="I437" s="19">
        <v>77.563999999999993</v>
      </c>
      <c r="J437" s="19">
        <v>77.44</v>
      </c>
      <c r="K437" s="19">
        <v>3.5779999999999998</v>
      </c>
      <c r="L437" s="19">
        <v>80.423299999999998</v>
      </c>
      <c r="M437" s="19">
        <v>-67000000</v>
      </c>
      <c r="N437" s="19">
        <v>86.391300000000001</v>
      </c>
      <c r="P437">
        <v>5.5694999999999997</v>
      </c>
      <c r="Q437" s="19">
        <v>13654.823</v>
      </c>
      <c r="R437" s="19">
        <v>17775.586800000001</v>
      </c>
      <c r="S437" s="19">
        <v>3.0145</v>
      </c>
      <c r="T437" s="19">
        <v>32104.341799999998</v>
      </c>
      <c r="U437" s="19">
        <v>20815.352900000002</v>
      </c>
      <c r="W437" s="19">
        <v>79.459500000000006</v>
      </c>
      <c r="X437">
        <v>94</v>
      </c>
      <c r="Y437">
        <v>89</v>
      </c>
      <c r="Z437">
        <v>90</v>
      </c>
      <c r="AA437">
        <v>6.2</v>
      </c>
      <c r="AB437">
        <v>31.6</v>
      </c>
      <c r="AC437">
        <v>78.546300000000002</v>
      </c>
      <c r="AD437">
        <v>95.802899999999994</v>
      </c>
      <c r="AE437">
        <v>13</v>
      </c>
      <c r="AF437">
        <v>92.358800000000002</v>
      </c>
      <c r="AG437">
        <v>4.5</v>
      </c>
      <c r="AH437">
        <v>0.17</v>
      </c>
      <c r="AI437">
        <v>7.1</v>
      </c>
      <c r="AJ437">
        <v>6.5</v>
      </c>
      <c r="AK437">
        <v>7.6</v>
      </c>
      <c r="AL437">
        <v>58.242899999999999</v>
      </c>
      <c r="AM437">
        <v>4.7</v>
      </c>
      <c r="AN437">
        <v>1626</v>
      </c>
      <c r="AO437">
        <v>0</v>
      </c>
      <c r="AP437">
        <v>100</v>
      </c>
      <c r="AQ437">
        <v>99.965100000000007</v>
      </c>
      <c r="AR437">
        <v>100</v>
      </c>
      <c r="AU437">
        <v>16.9497</v>
      </c>
      <c r="AV437" s="19">
        <v>99.497500000000002</v>
      </c>
      <c r="AY437">
        <v>2</v>
      </c>
      <c r="AZ437">
        <v>6</v>
      </c>
      <c r="BA437">
        <v>99.277100000000004</v>
      </c>
      <c r="BB437">
        <v>7.6923000000000004</v>
      </c>
      <c r="BC437">
        <v>5.5144000000000002</v>
      </c>
      <c r="BD437" s="19">
        <v>3.694</v>
      </c>
      <c r="BE437" s="19">
        <v>82.702699999999993</v>
      </c>
      <c r="BF437">
        <v>0</v>
      </c>
      <c r="BG437">
        <v>0.1</v>
      </c>
      <c r="BH437" s="20">
        <v>0.2374</v>
      </c>
      <c r="BI437" s="20">
        <v>678.26430000000005</v>
      </c>
      <c r="BJ437" s="19">
        <v>92.537300000000002</v>
      </c>
      <c r="BK437">
        <v>0.98450000000000004</v>
      </c>
      <c r="BL437">
        <v>0.99060000000000004</v>
      </c>
      <c r="BM437">
        <v>0.996</v>
      </c>
      <c r="BN437">
        <v>7</v>
      </c>
      <c r="BP437">
        <v>5.43</v>
      </c>
      <c r="BQ437" s="19">
        <v>89.171700000000001</v>
      </c>
      <c r="BR437">
        <v>77.207499999999996</v>
      </c>
      <c r="BS437" s="20">
        <v>7.4880000000000004</v>
      </c>
      <c r="BT437" s="20">
        <v>7.4880000000000004</v>
      </c>
      <c r="BU437" s="20">
        <v>17.567</v>
      </c>
      <c r="BV437" s="20">
        <v>17.364999999999998</v>
      </c>
      <c r="BW437" s="19">
        <v>92.0398</v>
      </c>
      <c r="BX437">
        <v>27.61</v>
      </c>
      <c r="BY437" s="27">
        <v>1159227</v>
      </c>
      <c r="BZ437" s="27">
        <v>7737121</v>
      </c>
      <c r="CA437" s="7">
        <f t="shared" si="30"/>
        <v>6.6743795650032309</v>
      </c>
      <c r="CB437">
        <v>398582</v>
      </c>
      <c r="CC437" s="8">
        <f t="shared" si="31"/>
        <v>19.411616681134621</v>
      </c>
      <c r="CD437" s="8">
        <f t="shared" si="32"/>
        <v>2.9083776989427519</v>
      </c>
      <c r="CE437">
        <v>316</v>
      </c>
      <c r="CF437" s="8">
        <f t="shared" si="33"/>
        <v>3668.4398734177216</v>
      </c>
      <c r="CG437" s="8">
        <f t="shared" si="34"/>
        <v>24484.560126582277</v>
      </c>
      <c r="CH437">
        <v>95.963920000000002</v>
      </c>
    </row>
    <row r="438" spans="1:86" ht="15.5" x14ac:dyDescent="0.35">
      <c r="A438" t="s">
        <v>104</v>
      </c>
      <c r="B438">
        <v>2004</v>
      </c>
      <c r="C438" s="2">
        <v>45.240099999999998</v>
      </c>
      <c r="D438">
        <v>4215.1319999999996</v>
      </c>
      <c r="E438">
        <v>0.2029</v>
      </c>
      <c r="F438">
        <v>6.4962</v>
      </c>
      <c r="G438">
        <v>2870</v>
      </c>
      <c r="H438">
        <v>11</v>
      </c>
      <c r="I438" s="19">
        <v>79.677999999999997</v>
      </c>
      <c r="J438" s="19">
        <v>78.900000000000006</v>
      </c>
      <c r="K438" s="19">
        <v>4.0730000000000004</v>
      </c>
      <c r="L438" s="19">
        <v>77.832499999999996</v>
      </c>
      <c r="M438" s="19">
        <v>-332000000</v>
      </c>
      <c r="N438" s="19">
        <v>96.541200000000003</v>
      </c>
      <c r="P438">
        <v>9.1631</v>
      </c>
      <c r="Q438" s="19">
        <v>15276.944</v>
      </c>
      <c r="R438" s="19">
        <v>17728.4915</v>
      </c>
      <c r="S438" s="19">
        <v>-0.26490000000000002</v>
      </c>
      <c r="T438" s="19">
        <v>32019.2834</v>
      </c>
      <c r="U438" s="19">
        <v>21568.723000000002</v>
      </c>
      <c r="W438" s="19">
        <v>76.119399999999999</v>
      </c>
      <c r="X438">
        <v>89</v>
      </c>
      <c r="Y438">
        <v>85</v>
      </c>
      <c r="Z438">
        <v>94</v>
      </c>
      <c r="AA438">
        <v>6.1</v>
      </c>
      <c r="AB438">
        <v>34.6</v>
      </c>
      <c r="AC438">
        <v>79.253699999999995</v>
      </c>
      <c r="AD438">
        <v>96.470399999999998</v>
      </c>
      <c r="AE438">
        <v>11</v>
      </c>
      <c r="AF438">
        <v>92.413899999999998</v>
      </c>
      <c r="AG438">
        <v>3.5</v>
      </c>
      <c r="AH438">
        <v>8.1000000000000003E-2</v>
      </c>
      <c r="AI438">
        <v>7</v>
      </c>
      <c r="AJ438">
        <v>6.4</v>
      </c>
      <c r="AK438">
        <v>7.5</v>
      </c>
      <c r="AL438">
        <v>57.7179</v>
      </c>
      <c r="AM438">
        <v>4.5999999999999996</v>
      </c>
      <c r="AN438">
        <v>1662</v>
      </c>
      <c r="AO438">
        <v>0</v>
      </c>
      <c r="AP438">
        <v>100</v>
      </c>
      <c r="AQ438">
        <v>99.965000000000003</v>
      </c>
      <c r="AR438">
        <v>100</v>
      </c>
      <c r="AU438">
        <v>16.7882</v>
      </c>
      <c r="AV438" s="19">
        <v>95.631100000000004</v>
      </c>
      <c r="AX438">
        <v>14.3</v>
      </c>
      <c r="AY438">
        <v>2</v>
      </c>
      <c r="AZ438">
        <v>6</v>
      </c>
      <c r="BA438">
        <v>98.423199999999994</v>
      </c>
      <c r="BB438">
        <v>9.2308000000000003</v>
      </c>
      <c r="BC438">
        <v>5.5970000000000004</v>
      </c>
      <c r="BD438" s="19">
        <v>0.40699999999999997</v>
      </c>
      <c r="BE438" s="19">
        <v>82.089600000000004</v>
      </c>
      <c r="BF438">
        <v>0</v>
      </c>
      <c r="BG438">
        <v>0.1</v>
      </c>
      <c r="BH438" s="20">
        <v>0.48970000000000002</v>
      </c>
      <c r="BI438" s="20">
        <v>1064.6298999999999</v>
      </c>
      <c r="BJ438" s="19">
        <v>89.423100000000005</v>
      </c>
      <c r="BK438">
        <v>0.98709999999999998</v>
      </c>
      <c r="BL438">
        <v>0.9627</v>
      </c>
      <c r="BM438">
        <v>0.94479999999999997</v>
      </c>
      <c r="BN438">
        <v>7</v>
      </c>
      <c r="BO438">
        <v>12.221</v>
      </c>
      <c r="BP438">
        <v>5.66</v>
      </c>
      <c r="BQ438" s="19">
        <v>86.356300000000005</v>
      </c>
      <c r="BR438">
        <v>76.7</v>
      </c>
      <c r="BS438" s="20">
        <v>7.3170000000000002</v>
      </c>
      <c r="BT438" s="20">
        <v>7.3170000000000002</v>
      </c>
      <c r="BU438" s="20">
        <v>18.579000000000001</v>
      </c>
      <c r="BV438" s="20">
        <v>18.297000000000001</v>
      </c>
      <c r="BW438" s="19">
        <v>90.384600000000006</v>
      </c>
      <c r="BX438">
        <v>31.38</v>
      </c>
      <c r="BY438" s="5">
        <v>1159227</v>
      </c>
      <c r="BZ438" s="6">
        <v>7737121</v>
      </c>
      <c r="CA438" s="7">
        <f t="shared" si="30"/>
        <v>6.6743795650032309</v>
      </c>
      <c r="CB438">
        <v>401268</v>
      </c>
      <c r="CC438" s="8">
        <f t="shared" si="31"/>
        <v>19.281679575744889</v>
      </c>
      <c r="CD438" s="8">
        <f t="shared" si="32"/>
        <v>2.888909656389246</v>
      </c>
      <c r="CE438">
        <v>316</v>
      </c>
      <c r="CF438" s="8">
        <f t="shared" si="33"/>
        <v>3668.4398734177216</v>
      </c>
      <c r="CG438" s="8">
        <f t="shared" si="34"/>
        <v>24484.560126582277</v>
      </c>
      <c r="CH438">
        <v>96.161259999999999</v>
      </c>
    </row>
    <row r="439" spans="1:86" ht="15.5" x14ac:dyDescent="0.35">
      <c r="A439" t="s">
        <v>104</v>
      </c>
      <c r="B439">
        <v>2005</v>
      </c>
      <c r="C439" s="2">
        <v>44.607100000000003</v>
      </c>
      <c r="D439">
        <v>4270.1379999999999</v>
      </c>
      <c r="E439">
        <v>0.1993</v>
      </c>
      <c r="F439">
        <v>6.5242000000000004</v>
      </c>
      <c r="G439">
        <v>3000</v>
      </c>
      <c r="H439">
        <v>11</v>
      </c>
      <c r="I439" s="19">
        <v>81.688000000000002</v>
      </c>
      <c r="J439" s="19">
        <v>81.56</v>
      </c>
      <c r="K439" s="19">
        <v>3.875</v>
      </c>
      <c r="L439" s="19">
        <v>78.0488</v>
      </c>
      <c r="M439" s="19">
        <v>-523000000</v>
      </c>
      <c r="N439" s="19">
        <v>92.011799999999994</v>
      </c>
      <c r="P439">
        <v>12.4381</v>
      </c>
      <c r="Q439" s="19">
        <v>15873.473</v>
      </c>
      <c r="R439" s="19">
        <v>18123.297500000001</v>
      </c>
      <c r="S439" s="19">
        <v>2.2269999999999999</v>
      </c>
      <c r="T439" s="19">
        <v>32732.339199999999</v>
      </c>
      <c r="U439" s="19">
        <v>22227.4755</v>
      </c>
      <c r="W439" s="19">
        <v>75.490200000000002</v>
      </c>
      <c r="X439">
        <v>92</v>
      </c>
      <c r="Y439">
        <v>85</v>
      </c>
      <c r="Z439">
        <v>86</v>
      </c>
      <c r="AA439">
        <v>6.1</v>
      </c>
      <c r="AB439">
        <v>41.2</v>
      </c>
      <c r="AC439">
        <v>79.3</v>
      </c>
      <c r="AD439">
        <v>94.767300000000006</v>
      </c>
      <c r="AE439">
        <v>11</v>
      </c>
      <c r="AF439">
        <v>94.025700000000001</v>
      </c>
      <c r="AG439">
        <v>4.2</v>
      </c>
      <c r="AH439">
        <v>1E-3</v>
      </c>
      <c r="AI439">
        <v>6.9</v>
      </c>
      <c r="AJ439">
        <v>6.4</v>
      </c>
      <c r="AK439">
        <v>7.4</v>
      </c>
      <c r="AL439">
        <v>59.104599999999998</v>
      </c>
      <c r="AM439">
        <v>4.5999999999999996</v>
      </c>
      <c r="AN439">
        <v>1626</v>
      </c>
      <c r="AO439">
        <v>0</v>
      </c>
      <c r="AP439">
        <v>100</v>
      </c>
      <c r="AQ439">
        <v>99.9649</v>
      </c>
      <c r="AR439">
        <v>100</v>
      </c>
      <c r="AU439">
        <v>16.723800000000001</v>
      </c>
      <c r="AV439" s="19">
        <v>96.601900000000001</v>
      </c>
      <c r="AX439">
        <v>14.2</v>
      </c>
      <c r="AY439">
        <v>2</v>
      </c>
      <c r="AZ439">
        <v>6</v>
      </c>
      <c r="BA439">
        <v>97.569199999999995</v>
      </c>
      <c r="BB439">
        <v>9.2308000000000003</v>
      </c>
      <c r="BC439">
        <v>5.9892000000000003</v>
      </c>
      <c r="BD439" s="19">
        <v>2.8820000000000001</v>
      </c>
      <c r="BE439" s="19">
        <v>79.411799999999999</v>
      </c>
      <c r="BF439">
        <v>3.5999999999999999E-3</v>
      </c>
      <c r="BG439">
        <v>0.1</v>
      </c>
      <c r="BH439" s="20">
        <v>0.5282</v>
      </c>
      <c r="BI439" s="20">
        <v>1162.4436000000001</v>
      </c>
      <c r="BJ439" s="19">
        <v>90.909099999999995</v>
      </c>
      <c r="BK439">
        <v>0.97529999999999994</v>
      </c>
      <c r="BL439">
        <v>0.96779999999999999</v>
      </c>
      <c r="BM439">
        <v>0.96220000000000006</v>
      </c>
      <c r="BN439">
        <v>7</v>
      </c>
      <c r="BO439">
        <v>11.904</v>
      </c>
      <c r="BP439">
        <v>5.5</v>
      </c>
      <c r="BQ439" s="19">
        <v>68.446700000000007</v>
      </c>
      <c r="BR439">
        <v>78.969300000000004</v>
      </c>
      <c r="BS439" s="20">
        <v>6.923</v>
      </c>
      <c r="BT439" s="20">
        <v>6.923</v>
      </c>
      <c r="BU439" s="20">
        <v>16.116</v>
      </c>
      <c r="BV439" s="20">
        <v>16.120999999999999</v>
      </c>
      <c r="BW439" s="19">
        <v>88.942300000000003</v>
      </c>
      <c r="BX439">
        <v>32.119999999999997</v>
      </c>
      <c r="BY439" s="5">
        <v>1135771</v>
      </c>
      <c r="BZ439" s="6">
        <v>7567827</v>
      </c>
      <c r="CA439" s="7">
        <f t="shared" si="30"/>
        <v>6.6631627326283205</v>
      </c>
      <c r="CB439">
        <v>403834</v>
      </c>
      <c r="CC439" s="8">
        <f t="shared" si="31"/>
        <v>18.739945125967601</v>
      </c>
      <c r="CD439" s="8">
        <f t="shared" si="32"/>
        <v>2.8124699752868754</v>
      </c>
      <c r="CE439">
        <v>316</v>
      </c>
      <c r="CF439" s="8">
        <f t="shared" si="33"/>
        <v>3594.2120253164558</v>
      </c>
      <c r="CG439" s="8">
        <f t="shared" si="34"/>
        <v>23948.819620253165</v>
      </c>
      <c r="CH439">
        <v>96.023349999999994</v>
      </c>
    </row>
    <row r="440" spans="1:86" ht="15.5" x14ac:dyDescent="0.35">
      <c r="A440" t="s">
        <v>104</v>
      </c>
      <c r="B440">
        <v>2006</v>
      </c>
      <c r="C440" s="2">
        <v>43.8568</v>
      </c>
      <c r="D440">
        <v>4434.0079999999998</v>
      </c>
      <c r="E440">
        <v>0.1966</v>
      </c>
      <c r="F440">
        <v>6.5627000000000004</v>
      </c>
      <c r="G440">
        <v>3060</v>
      </c>
      <c r="H440">
        <v>11</v>
      </c>
      <c r="I440" s="19">
        <v>83.792000000000002</v>
      </c>
      <c r="J440" s="19">
        <v>82.19</v>
      </c>
      <c r="K440" s="19">
        <v>3.7789999999999999</v>
      </c>
      <c r="L440" s="19">
        <v>80.487799999999993</v>
      </c>
      <c r="M440" s="19">
        <v>-635000000</v>
      </c>
      <c r="N440" s="19">
        <v>107.2261</v>
      </c>
      <c r="P440">
        <v>12.7446</v>
      </c>
      <c r="Q440" s="19">
        <v>16748.277999999998</v>
      </c>
      <c r="R440" s="19">
        <v>18479.230500000001</v>
      </c>
      <c r="S440" s="19">
        <v>1.964</v>
      </c>
      <c r="T440" s="19">
        <v>33375.186900000001</v>
      </c>
      <c r="U440" s="19">
        <v>23223.948799999998</v>
      </c>
      <c r="V440">
        <v>28</v>
      </c>
      <c r="W440" s="19">
        <v>80.9756</v>
      </c>
      <c r="X440">
        <v>85</v>
      </c>
      <c r="Y440">
        <v>86</v>
      </c>
      <c r="Z440">
        <v>94</v>
      </c>
      <c r="AA440">
        <v>6</v>
      </c>
      <c r="AB440">
        <v>40.4</v>
      </c>
      <c r="AC440">
        <v>79.438999999999993</v>
      </c>
      <c r="AD440">
        <v>98.794300000000007</v>
      </c>
      <c r="AE440">
        <v>12</v>
      </c>
      <c r="AF440">
        <v>94.136099999999999</v>
      </c>
      <c r="AG440">
        <v>2.5</v>
      </c>
      <c r="AH440">
        <v>1E-3</v>
      </c>
      <c r="AI440">
        <v>6.9</v>
      </c>
      <c r="AJ440">
        <v>6.3</v>
      </c>
      <c r="AK440">
        <v>7.4</v>
      </c>
      <c r="AL440">
        <v>62.695300000000003</v>
      </c>
      <c r="AM440">
        <v>4.5999999999999996</v>
      </c>
      <c r="AN440">
        <v>997</v>
      </c>
      <c r="AO440">
        <v>0</v>
      </c>
      <c r="AP440">
        <v>100</v>
      </c>
      <c r="AQ440">
        <v>99.964799999999997</v>
      </c>
      <c r="AR440">
        <v>100</v>
      </c>
      <c r="AU440">
        <v>16.7591</v>
      </c>
      <c r="AV440" s="19">
        <v>92.753600000000006</v>
      </c>
      <c r="AW440">
        <v>0.5</v>
      </c>
      <c r="AX440">
        <v>15.1</v>
      </c>
      <c r="AY440">
        <v>2</v>
      </c>
      <c r="AZ440">
        <v>6</v>
      </c>
      <c r="BA440">
        <v>96.715299999999999</v>
      </c>
      <c r="BB440">
        <v>9.2308000000000003</v>
      </c>
      <c r="BC440">
        <v>6.0336999999999996</v>
      </c>
      <c r="BD440" s="19">
        <v>2.335</v>
      </c>
      <c r="BE440" s="19">
        <v>83.823499999999996</v>
      </c>
      <c r="BF440">
        <v>3.5000000000000001E-3</v>
      </c>
      <c r="BG440">
        <v>0.2</v>
      </c>
      <c r="BH440" s="20">
        <v>0.57840000000000003</v>
      </c>
      <c r="BI440" s="20">
        <v>1256.7057</v>
      </c>
      <c r="BJ440" s="19">
        <v>91.387600000000006</v>
      </c>
      <c r="BK440">
        <v>0.99890000000000001</v>
      </c>
      <c r="BL440">
        <v>0.98870000000000002</v>
      </c>
      <c r="BM440">
        <v>0.98109999999999997</v>
      </c>
      <c r="BN440">
        <v>7</v>
      </c>
      <c r="BO440">
        <v>10.337</v>
      </c>
      <c r="BP440">
        <v>6.38</v>
      </c>
      <c r="BQ440" s="19">
        <v>73.756699999999995</v>
      </c>
      <c r="BR440">
        <v>79.637200000000007</v>
      </c>
      <c r="BS440" s="20">
        <v>6.798</v>
      </c>
      <c r="BT440" s="20">
        <v>6.798</v>
      </c>
      <c r="BU440" s="20">
        <v>15.459</v>
      </c>
      <c r="BV440" s="20">
        <v>15.487</v>
      </c>
      <c r="BW440" s="19">
        <v>89.903800000000004</v>
      </c>
      <c r="BX440">
        <v>31.8</v>
      </c>
      <c r="BY440" s="14">
        <v>1148012</v>
      </c>
      <c r="BZ440" s="6">
        <v>7405218</v>
      </c>
      <c r="CA440" s="7">
        <f t="shared" si="30"/>
        <v>6.4504709010010348</v>
      </c>
      <c r="CB440">
        <v>405308</v>
      </c>
      <c r="CC440" s="8">
        <f t="shared" si="31"/>
        <v>18.270594214770004</v>
      </c>
      <c r="CD440" s="8">
        <f t="shared" si="32"/>
        <v>2.832443475085614</v>
      </c>
      <c r="CE440">
        <v>316</v>
      </c>
      <c r="CF440" s="8">
        <f t="shared" si="33"/>
        <v>3632.9493670886077</v>
      </c>
      <c r="CG440" s="8">
        <f t="shared" si="34"/>
        <v>23434.234177215189</v>
      </c>
      <c r="CH440">
        <v>96.604200000000006</v>
      </c>
    </row>
    <row r="441" spans="1:86" ht="15.5" x14ac:dyDescent="0.35">
      <c r="A441" t="s">
        <v>104</v>
      </c>
      <c r="B441">
        <v>2007</v>
      </c>
      <c r="C441" s="2">
        <v>43.004199999999997</v>
      </c>
      <c r="D441">
        <v>4522.7640000000001</v>
      </c>
      <c r="E441">
        <v>0.19170000000000001</v>
      </c>
      <c r="F441">
        <v>6.6971999999999996</v>
      </c>
      <c r="G441">
        <v>3150</v>
      </c>
      <c r="H441">
        <v>11</v>
      </c>
      <c r="I441" s="19">
        <v>84.376000000000005</v>
      </c>
      <c r="J441" s="19">
        <v>84.7</v>
      </c>
      <c r="K441" s="19">
        <v>5.1950000000000003</v>
      </c>
      <c r="L441" s="19">
        <v>81.067999999999998</v>
      </c>
      <c r="M441" s="19">
        <v>-307000000</v>
      </c>
      <c r="N441" s="19">
        <v>118.04300000000001</v>
      </c>
      <c r="P441">
        <v>20.130099999999999</v>
      </c>
      <c r="Q441" s="19">
        <v>19655.100999999999</v>
      </c>
      <c r="R441" s="19">
        <v>19342.391899999999</v>
      </c>
      <c r="S441" s="19">
        <v>4.6710000000000003</v>
      </c>
      <c r="T441" s="19">
        <v>34934.135699999999</v>
      </c>
      <c r="U441" s="19">
        <v>25012.609</v>
      </c>
      <c r="V441">
        <v>29.2</v>
      </c>
      <c r="W441" s="19">
        <v>84.465999999999994</v>
      </c>
      <c r="X441">
        <v>74</v>
      </c>
      <c r="Y441">
        <v>82</v>
      </c>
      <c r="Z441">
        <v>79</v>
      </c>
      <c r="AA441">
        <v>6</v>
      </c>
      <c r="AB441">
        <v>46.9</v>
      </c>
      <c r="AC441">
        <v>79.792699999999996</v>
      </c>
      <c r="AD441">
        <v>98.211399999999998</v>
      </c>
      <c r="AE441">
        <v>10</v>
      </c>
      <c r="AF441">
        <v>94.125900000000001</v>
      </c>
      <c r="AG441">
        <v>3.9</v>
      </c>
      <c r="AH441">
        <v>0</v>
      </c>
      <c r="AI441">
        <v>6.9</v>
      </c>
      <c r="AJ441">
        <v>6.3</v>
      </c>
      <c r="AK441">
        <v>7.4</v>
      </c>
      <c r="AL441">
        <v>63.075899999999997</v>
      </c>
      <c r="AM441">
        <v>4.5999999999999996</v>
      </c>
      <c r="AN441">
        <v>926</v>
      </c>
      <c r="AO441">
        <v>0</v>
      </c>
      <c r="AP441">
        <v>100</v>
      </c>
      <c r="AQ441">
        <v>99.964799999999997</v>
      </c>
      <c r="AR441">
        <v>100</v>
      </c>
      <c r="AU441">
        <v>16.8432</v>
      </c>
      <c r="AV441" s="19">
        <v>95.1691</v>
      </c>
      <c r="AW441">
        <v>0.4</v>
      </c>
      <c r="AX441">
        <v>15.3</v>
      </c>
      <c r="AY441">
        <v>2</v>
      </c>
      <c r="AZ441">
        <v>6</v>
      </c>
      <c r="BA441">
        <v>95.861400000000003</v>
      </c>
      <c r="BB441">
        <v>9.2308000000000003</v>
      </c>
      <c r="BC441">
        <v>5.4573999999999998</v>
      </c>
      <c r="BD441" s="19">
        <v>5.0380000000000003</v>
      </c>
      <c r="BE441" s="19">
        <v>85.436899999999994</v>
      </c>
      <c r="BF441">
        <v>3.5000000000000001E-3</v>
      </c>
      <c r="BG441">
        <v>0.2</v>
      </c>
      <c r="BH441" s="20">
        <v>0.5454</v>
      </c>
      <c r="BI441" s="20">
        <v>1181.7463</v>
      </c>
      <c r="BJ441" s="19">
        <v>92.344499999999996</v>
      </c>
      <c r="BK441">
        <v>0.99560000000000004</v>
      </c>
      <c r="BL441">
        <v>0.97319999999999995</v>
      </c>
      <c r="BM441">
        <v>0.95720000000000005</v>
      </c>
      <c r="BN441">
        <v>7</v>
      </c>
      <c r="BO441">
        <v>11.542</v>
      </c>
      <c r="BP441">
        <v>5.46</v>
      </c>
      <c r="BQ441" s="19">
        <v>76.309100000000001</v>
      </c>
      <c r="BR441">
        <v>81.570499999999996</v>
      </c>
      <c r="BS441" s="20">
        <v>6.4720000000000004</v>
      </c>
      <c r="BT441" s="20">
        <v>6.4720000000000004</v>
      </c>
      <c r="BU441" s="20">
        <v>13.489000000000001</v>
      </c>
      <c r="BV441" s="20">
        <v>13.538</v>
      </c>
      <c r="BW441" s="19">
        <v>90.865399999999994</v>
      </c>
      <c r="BX441">
        <v>27.23</v>
      </c>
      <c r="BY441" s="5">
        <v>1193033</v>
      </c>
      <c r="BZ441" s="6">
        <v>8082229</v>
      </c>
      <c r="CA441" s="7">
        <f t="shared" si="30"/>
        <v>6.7745225823594151</v>
      </c>
      <c r="CB441">
        <v>406724</v>
      </c>
      <c r="CC441" s="8">
        <f t="shared" si="31"/>
        <v>19.87153204630167</v>
      </c>
      <c r="CD441" s="8">
        <f t="shared" si="32"/>
        <v>2.9332741613477444</v>
      </c>
      <c r="CE441">
        <v>316</v>
      </c>
      <c r="CF441" s="8">
        <f t="shared" si="33"/>
        <v>3775.4208860759495</v>
      </c>
      <c r="CG441" s="8">
        <f t="shared" si="34"/>
        <v>25576.674050632912</v>
      </c>
      <c r="CH441">
        <v>95.062110000000004</v>
      </c>
    </row>
    <row r="442" spans="1:86" ht="15.5" x14ac:dyDescent="0.35">
      <c r="A442" t="s">
        <v>104</v>
      </c>
      <c r="B442">
        <v>2008</v>
      </c>
      <c r="C442" s="2">
        <v>42.446199999999997</v>
      </c>
      <c r="D442">
        <v>4529.4309999999996</v>
      </c>
      <c r="E442">
        <v>0.1842</v>
      </c>
      <c r="F442">
        <v>6.6746999999999996</v>
      </c>
      <c r="G442">
        <v>3160</v>
      </c>
      <c r="H442">
        <v>11</v>
      </c>
      <c r="I442" s="19">
        <v>88.328000000000003</v>
      </c>
      <c r="J442" s="19">
        <v>88.92</v>
      </c>
      <c r="K442" s="19">
        <v>4.5810000000000004</v>
      </c>
      <c r="L442" s="19">
        <v>80.582499999999996</v>
      </c>
      <c r="M442" s="19">
        <v>-95000000</v>
      </c>
      <c r="N442" s="19">
        <v>133.5325</v>
      </c>
      <c r="P442">
        <v>23.4406</v>
      </c>
      <c r="Q442" s="19">
        <v>22487.726999999999</v>
      </c>
      <c r="R442" s="19">
        <v>20064.4398</v>
      </c>
      <c r="S442" s="19">
        <v>3.7330000000000001</v>
      </c>
      <c r="T442" s="19">
        <v>36238.220399999998</v>
      </c>
      <c r="U442" s="19">
        <v>26653.897499999999</v>
      </c>
      <c r="V442">
        <v>29</v>
      </c>
      <c r="W442" s="19">
        <v>86.893199999999993</v>
      </c>
      <c r="X442">
        <v>72</v>
      </c>
      <c r="Y442">
        <v>86</v>
      </c>
      <c r="Z442">
        <v>78</v>
      </c>
      <c r="AA442">
        <v>6</v>
      </c>
      <c r="AB442">
        <v>50.1</v>
      </c>
      <c r="AC442">
        <v>79.636600000000001</v>
      </c>
      <c r="AD442">
        <v>97.001400000000004</v>
      </c>
      <c r="AE442">
        <v>10</v>
      </c>
      <c r="AF442">
        <v>94.032399999999996</v>
      </c>
      <c r="AG442">
        <v>4.3</v>
      </c>
      <c r="AH442">
        <v>2E-3</v>
      </c>
      <c r="AI442">
        <v>6.9</v>
      </c>
      <c r="AJ442">
        <v>6.3</v>
      </c>
      <c r="AK442">
        <v>7.4</v>
      </c>
      <c r="AL442">
        <v>63.423099999999998</v>
      </c>
      <c r="AM442">
        <v>4.5999999999999996</v>
      </c>
      <c r="AN442">
        <v>869</v>
      </c>
      <c r="AO442">
        <v>0</v>
      </c>
      <c r="AP442">
        <v>100</v>
      </c>
      <c r="AQ442">
        <v>99.964799999999997</v>
      </c>
      <c r="AR442">
        <v>100</v>
      </c>
      <c r="AU442">
        <v>16.9437</v>
      </c>
      <c r="AV442" s="19">
        <v>95.192300000000003</v>
      </c>
      <c r="AW442">
        <v>0.1</v>
      </c>
      <c r="AX442">
        <v>14.9</v>
      </c>
      <c r="AY442">
        <v>2</v>
      </c>
      <c r="AZ442">
        <v>6</v>
      </c>
      <c r="BA442">
        <v>95.007499999999993</v>
      </c>
      <c r="BB442">
        <v>8.6957000000000004</v>
      </c>
      <c r="BC442">
        <v>5.0918000000000001</v>
      </c>
      <c r="BD442" s="19">
        <v>4.4089999999999998</v>
      </c>
      <c r="BE442" s="19">
        <v>85.922300000000007</v>
      </c>
      <c r="BF442">
        <v>6.4999999999999997E-3</v>
      </c>
      <c r="BG442">
        <v>0.2</v>
      </c>
      <c r="BH442" s="20">
        <v>0.52669999999999995</v>
      </c>
      <c r="BI442" s="20">
        <v>1294.0726</v>
      </c>
      <c r="BJ442" s="19">
        <v>91.826899999999995</v>
      </c>
      <c r="BK442">
        <v>0.99609999999999999</v>
      </c>
      <c r="BL442">
        <v>0.97919999999999996</v>
      </c>
      <c r="BM442">
        <v>0.96730000000000005</v>
      </c>
      <c r="BN442">
        <v>7</v>
      </c>
      <c r="BO442">
        <v>8.2710000000000008</v>
      </c>
      <c r="BP442">
        <v>6.38</v>
      </c>
      <c r="BQ442" s="19">
        <v>79.183700000000002</v>
      </c>
      <c r="BR442">
        <v>83.662899999999993</v>
      </c>
      <c r="BS442" s="20">
        <v>5.9770000000000003</v>
      </c>
      <c r="BT442" s="20">
        <v>5.9770000000000003</v>
      </c>
      <c r="BU442" s="20">
        <v>11.617000000000001</v>
      </c>
      <c r="BV442" s="20">
        <v>11.657</v>
      </c>
      <c r="BW442" s="19">
        <v>90.865399999999994</v>
      </c>
      <c r="BX442">
        <v>33.97</v>
      </c>
      <c r="BY442" s="5">
        <v>1221378</v>
      </c>
      <c r="BZ442" s="6">
        <v>7917563</v>
      </c>
      <c r="CA442" s="7">
        <f t="shared" si="30"/>
        <v>6.4824837192089593</v>
      </c>
      <c r="CB442">
        <v>409379</v>
      </c>
      <c r="CC442" s="8">
        <f t="shared" si="31"/>
        <v>19.340422933272102</v>
      </c>
      <c r="CD442" s="8">
        <f t="shared" si="32"/>
        <v>2.9834896269715836</v>
      </c>
      <c r="CE442">
        <v>316</v>
      </c>
      <c r="CF442" s="8">
        <f t="shared" si="33"/>
        <v>3865.1202531645567</v>
      </c>
      <c r="CG442" s="8">
        <f t="shared" si="34"/>
        <v>25055.57911392405</v>
      </c>
      <c r="CH442">
        <v>96.196820000000002</v>
      </c>
    </row>
    <row r="443" spans="1:86" ht="15.5" x14ac:dyDescent="0.35">
      <c r="A443" t="s">
        <v>104</v>
      </c>
      <c r="B443">
        <v>2009</v>
      </c>
      <c r="C443" s="2">
        <v>42.703899999999997</v>
      </c>
      <c r="D443">
        <v>4262.2359999999999</v>
      </c>
      <c r="E443">
        <v>0.17219999999999999</v>
      </c>
      <c r="F443">
        <v>6.1055999999999999</v>
      </c>
      <c r="G443">
        <v>2940</v>
      </c>
      <c r="H443">
        <v>11</v>
      </c>
      <c r="I443" s="19">
        <v>89.953000000000003</v>
      </c>
      <c r="J443" s="19">
        <v>88.53</v>
      </c>
      <c r="K443" s="19">
        <v>3.16</v>
      </c>
      <c r="L443" s="19">
        <v>73.684200000000004</v>
      </c>
      <c r="M443" s="19">
        <v>-563000000</v>
      </c>
      <c r="N443" s="19">
        <v>109.6011</v>
      </c>
      <c r="O443">
        <v>21.393000000000001</v>
      </c>
      <c r="P443">
        <v>27.009799999999998</v>
      </c>
      <c r="Q443" s="19">
        <v>21318.804</v>
      </c>
      <c r="R443" s="19">
        <v>19635.876499999998</v>
      </c>
      <c r="S443" s="19">
        <v>-2.1358999999999999</v>
      </c>
      <c r="T443" s="19">
        <v>35464.195699999997</v>
      </c>
      <c r="U443" s="19">
        <v>26767.894700000001</v>
      </c>
      <c r="V443">
        <v>30.2</v>
      </c>
      <c r="W443" s="19">
        <v>84.210499999999996</v>
      </c>
      <c r="X443">
        <v>73</v>
      </c>
      <c r="Y443">
        <v>86</v>
      </c>
      <c r="Z443">
        <v>82</v>
      </c>
      <c r="AA443">
        <v>6</v>
      </c>
      <c r="AB443">
        <v>58.9</v>
      </c>
      <c r="AC443">
        <v>80.241500000000002</v>
      </c>
      <c r="AD443">
        <v>94.677099999999996</v>
      </c>
      <c r="AE443">
        <v>11</v>
      </c>
      <c r="AF443">
        <v>94.284099999999995</v>
      </c>
      <c r="AG443">
        <v>5.3</v>
      </c>
      <c r="AH443">
        <v>1E-3</v>
      </c>
      <c r="AI443">
        <v>6.9</v>
      </c>
      <c r="AJ443">
        <v>6.3</v>
      </c>
      <c r="AK443">
        <v>7.4</v>
      </c>
      <c r="AL443">
        <v>63.14</v>
      </c>
      <c r="AM443">
        <v>4.5999999999999996</v>
      </c>
      <c r="AN443">
        <v>836</v>
      </c>
      <c r="AO443">
        <v>0</v>
      </c>
      <c r="AP443">
        <v>100</v>
      </c>
      <c r="AQ443">
        <v>99.964699999999993</v>
      </c>
      <c r="AR443">
        <v>100</v>
      </c>
      <c r="AU443">
        <v>17.027899999999999</v>
      </c>
      <c r="AV443" s="19">
        <v>92.891000000000005</v>
      </c>
      <c r="AW443">
        <v>0.4</v>
      </c>
      <c r="AX443">
        <v>15.5</v>
      </c>
      <c r="AY443">
        <v>2</v>
      </c>
      <c r="AZ443">
        <v>6</v>
      </c>
      <c r="BA443">
        <v>94.153599999999997</v>
      </c>
      <c r="BB443">
        <v>8.6957000000000004</v>
      </c>
      <c r="BC443">
        <v>5.1440999999999999</v>
      </c>
      <c r="BD443" s="19">
        <v>-1.395</v>
      </c>
      <c r="BE443" s="19">
        <v>88.995199999999997</v>
      </c>
      <c r="BF443">
        <v>3.1399999999999997E-2</v>
      </c>
      <c r="BG443">
        <v>0.3</v>
      </c>
      <c r="BH443" s="20">
        <v>0.50739999999999996</v>
      </c>
      <c r="BI443" s="20">
        <v>1176.5322000000001</v>
      </c>
      <c r="BJ443" s="19">
        <v>90.521299999999997</v>
      </c>
      <c r="BK443">
        <v>1.0013000000000001</v>
      </c>
      <c r="BN443">
        <v>7</v>
      </c>
      <c r="BO443">
        <v>9.8810000000000002</v>
      </c>
      <c r="BP443">
        <v>7.06</v>
      </c>
      <c r="BQ443" s="19">
        <v>89.367999999999995</v>
      </c>
      <c r="BR443">
        <v>80.267700000000005</v>
      </c>
      <c r="BS443" s="20">
        <v>6.8890000000000002</v>
      </c>
      <c r="BT443" s="20">
        <v>6.8959999999999999</v>
      </c>
      <c r="BU443" s="20">
        <v>14.491</v>
      </c>
      <c r="BV443" s="20">
        <v>14.526</v>
      </c>
      <c r="BW443" s="19">
        <v>87.677700000000002</v>
      </c>
      <c r="BX443">
        <v>38.659999999999997</v>
      </c>
      <c r="BY443" s="5">
        <v>1116457</v>
      </c>
      <c r="BZ443" s="6">
        <v>6903106</v>
      </c>
      <c r="CA443" s="7">
        <f t="shared" si="30"/>
        <v>6.183046906419146</v>
      </c>
      <c r="CB443">
        <v>412477</v>
      </c>
      <c r="CC443" s="8">
        <f t="shared" si="31"/>
        <v>16.735735568286231</v>
      </c>
      <c r="CD443" s="8">
        <f t="shared" si="32"/>
        <v>2.7067133440167574</v>
      </c>
      <c r="CE443">
        <v>316</v>
      </c>
      <c r="CF443" s="8">
        <f t="shared" si="33"/>
        <v>3533.0917721518986</v>
      </c>
      <c r="CG443" s="8">
        <f t="shared" si="34"/>
        <v>21845.272151898735</v>
      </c>
      <c r="CH443">
        <v>98.302279999999996</v>
      </c>
    </row>
    <row r="444" spans="1:86" ht="15.5" x14ac:dyDescent="0.35">
      <c r="A444" t="s">
        <v>104</v>
      </c>
      <c r="B444">
        <v>2010</v>
      </c>
      <c r="C444" s="2">
        <v>43.463099999999997</v>
      </c>
      <c r="D444">
        <v>4365.1090000000004</v>
      </c>
      <c r="E444">
        <v>0.1671</v>
      </c>
      <c r="F444">
        <v>6.2609000000000004</v>
      </c>
      <c r="G444">
        <v>2980</v>
      </c>
      <c r="H444">
        <v>11</v>
      </c>
      <c r="I444" s="19">
        <v>91.789000000000001</v>
      </c>
      <c r="J444" s="19">
        <v>92.11</v>
      </c>
      <c r="K444" s="19">
        <v>4.1509999999999998</v>
      </c>
      <c r="L444" s="19">
        <v>74.761899999999997</v>
      </c>
      <c r="M444" s="19">
        <v>-408000000</v>
      </c>
      <c r="N444" s="19">
        <v>137.5427</v>
      </c>
      <c r="O444">
        <v>22.704999999999998</v>
      </c>
      <c r="P444">
        <v>29.785599999999999</v>
      </c>
      <c r="Q444" s="19">
        <v>21989.786</v>
      </c>
      <c r="R444" s="19">
        <v>20750.6054</v>
      </c>
      <c r="S444" s="19">
        <v>5.6769999999999996</v>
      </c>
      <c r="T444" s="19">
        <v>37477.498500000002</v>
      </c>
      <c r="U444" s="19">
        <v>28912.441999999999</v>
      </c>
      <c r="V444">
        <v>29</v>
      </c>
      <c r="W444" s="19">
        <v>84.210499999999996</v>
      </c>
      <c r="X444">
        <v>76</v>
      </c>
      <c r="Y444">
        <v>75</v>
      </c>
      <c r="Z444">
        <v>73</v>
      </c>
      <c r="AA444">
        <v>6</v>
      </c>
      <c r="AB444">
        <v>63</v>
      </c>
      <c r="AC444">
        <v>81.397599999999997</v>
      </c>
      <c r="AD444">
        <v>103.70440000000001</v>
      </c>
      <c r="AE444">
        <v>9</v>
      </c>
      <c r="AF444">
        <v>94.997500000000002</v>
      </c>
      <c r="AG444">
        <v>3.9</v>
      </c>
      <c r="AH444">
        <v>6.2E-2</v>
      </c>
      <c r="AI444">
        <v>6.9</v>
      </c>
      <c r="AJ444">
        <v>6.3</v>
      </c>
      <c r="AK444">
        <v>7.4</v>
      </c>
      <c r="AL444">
        <v>64.6374</v>
      </c>
      <c r="AM444">
        <v>4.5999999999999996</v>
      </c>
      <c r="AN444">
        <v>741</v>
      </c>
      <c r="AO444">
        <v>0</v>
      </c>
      <c r="AP444">
        <v>100</v>
      </c>
      <c r="AQ444">
        <v>99.964699999999993</v>
      </c>
      <c r="AR444">
        <v>99.983999999999995</v>
      </c>
      <c r="AU444">
        <v>17.063199999999998</v>
      </c>
      <c r="AV444" s="19">
        <v>91.943100000000001</v>
      </c>
      <c r="AW444">
        <v>0.2</v>
      </c>
      <c r="AX444">
        <v>15.6</v>
      </c>
      <c r="AY444">
        <v>2</v>
      </c>
      <c r="AZ444">
        <v>6</v>
      </c>
      <c r="BA444">
        <v>93.299800000000005</v>
      </c>
      <c r="BB444">
        <v>8.6957000000000004</v>
      </c>
      <c r="BC444">
        <v>5.1351000000000004</v>
      </c>
      <c r="BD444" s="19">
        <v>6.1970000000000001</v>
      </c>
      <c r="BE444" s="19">
        <v>91.387600000000006</v>
      </c>
      <c r="BF444">
        <v>3.2199999999999999E-2</v>
      </c>
      <c r="BG444">
        <v>1.2</v>
      </c>
      <c r="BH444" s="20">
        <v>0.58740000000000003</v>
      </c>
      <c r="BI444" s="20">
        <v>1391.9485</v>
      </c>
      <c r="BJ444" s="19">
        <v>89.099500000000006</v>
      </c>
      <c r="BK444">
        <v>1.0028999999999999</v>
      </c>
      <c r="BL444">
        <v>0.93520000000000003</v>
      </c>
      <c r="BM444">
        <v>0.89219999999999999</v>
      </c>
      <c r="BN444">
        <v>7</v>
      </c>
      <c r="BO444">
        <v>9.5340000000000007</v>
      </c>
      <c r="BP444">
        <v>7.61</v>
      </c>
      <c r="BQ444" s="19">
        <v>94.983199999999997</v>
      </c>
      <c r="BR444">
        <v>81.292000000000002</v>
      </c>
      <c r="BS444" s="20">
        <v>6.8470000000000004</v>
      </c>
      <c r="BT444" s="20">
        <v>6.8609999999999998</v>
      </c>
      <c r="BU444" s="20">
        <v>13.228999999999999</v>
      </c>
      <c r="BV444" s="20">
        <v>13.243</v>
      </c>
      <c r="BW444" s="19">
        <v>88.625600000000006</v>
      </c>
      <c r="BX444">
        <v>35.74</v>
      </c>
      <c r="BY444" s="5">
        <v>1276983</v>
      </c>
      <c r="BZ444" s="6">
        <v>7560834</v>
      </c>
      <c r="CA444" s="7">
        <f t="shared" si="30"/>
        <v>5.9208572079659634</v>
      </c>
      <c r="CB444">
        <v>414508</v>
      </c>
      <c r="CC444" s="8">
        <f t="shared" si="31"/>
        <v>18.240501992723903</v>
      </c>
      <c r="CD444" s="8">
        <f t="shared" si="32"/>
        <v>3.0807197931041137</v>
      </c>
      <c r="CE444">
        <v>316</v>
      </c>
      <c r="CF444" s="8">
        <f t="shared" si="33"/>
        <v>4041.0854430379745</v>
      </c>
      <c r="CG444" s="8">
        <f t="shared" si="34"/>
        <v>23926.689873417723</v>
      </c>
      <c r="CH444">
        <v>98.314419999999998</v>
      </c>
    </row>
    <row r="445" spans="1:86" ht="15.5" x14ac:dyDescent="0.35">
      <c r="A445" t="s">
        <v>104</v>
      </c>
      <c r="B445">
        <v>2011</v>
      </c>
      <c r="C445" s="2">
        <v>44.336199999999998</v>
      </c>
      <c r="D445">
        <v>4430.5190000000002</v>
      </c>
      <c r="E445">
        <v>0.1646</v>
      </c>
      <c r="F445">
        <v>6.2035</v>
      </c>
      <c r="G445">
        <v>3040</v>
      </c>
      <c r="H445">
        <v>11</v>
      </c>
      <c r="I445" s="19">
        <v>94.096000000000004</v>
      </c>
      <c r="J445" s="19">
        <v>93.47</v>
      </c>
      <c r="K445" s="19">
        <v>4.6689999999999996</v>
      </c>
      <c r="L445" s="19">
        <v>72.985799999999998</v>
      </c>
      <c r="M445" s="19">
        <v>-19000000</v>
      </c>
      <c r="N445" s="19">
        <v>168.21289999999999</v>
      </c>
      <c r="P445">
        <v>30.303699999999999</v>
      </c>
      <c r="Q445" s="19">
        <v>23585.252</v>
      </c>
      <c r="R445" s="19">
        <v>20867.839100000001</v>
      </c>
      <c r="S445" s="19">
        <v>0.56499999999999995</v>
      </c>
      <c r="T445" s="19">
        <v>37689.233200000002</v>
      </c>
      <c r="U445" s="19">
        <v>29425.974999999999</v>
      </c>
      <c r="V445">
        <v>29.1</v>
      </c>
      <c r="W445" s="19">
        <v>84.360200000000006</v>
      </c>
      <c r="X445">
        <v>96</v>
      </c>
      <c r="Y445">
        <v>82</v>
      </c>
      <c r="Z445">
        <v>84</v>
      </c>
      <c r="AA445">
        <v>6</v>
      </c>
      <c r="AB445">
        <v>68</v>
      </c>
      <c r="AC445">
        <v>80.746300000000005</v>
      </c>
      <c r="AD445">
        <v>102.8116</v>
      </c>
      <c r="AE445">
        <v>11</v>
      </c>
      <c r="AF445">
        <v>95.210800000000006</v>
      </c>
      <c r="AG445">
        <v>4.8</v>
      </c>
      <c r="AH445">
        <v>7.2999999999999995E-2</v>
      </c>
      <c r="AI445">
        <v>6.8</v>
      </c>
      <c r="AJ445">
        <v>6.3</v>
      </c>
      <c r="AK445">
        <v>7.3</v>
      </c>
      <c r="AL445">
        <v>64.278099999999995</v>
      </c>
      <c r="AM445">
        <v>4.5999999999999996</v>
      </c>
      <c r="AN445">
        <v>999</v>
      </c>
      <c r="AO445">
        <v>0</v>
      </c>
      <c r="AP445">
        <v>100</v>
      </c>
      <c r="AQ445">
        <v>99.964699999999993</v>
      </c>
      <c r="AR445">
        <v>99.966399999999993</v>
      </c>
      <c r="AU445">
        <v>16.102699999999999</v>
      </c>
      <c r="AV445" s="19">
        <v>84.834100000000007</v>
      </c>
      <c r="AW445">
        <v>0.2</v>
      </c>
      <c r="AX445">
        <v>15.1</v>
      </c>
      <c r="AY445">
        <v>2</v>
      </c>
      <c r="AZ445">
        <v>6</v>
      </c>
      <c r="BA445">
        <v>92.445899999999995</v>
      </c>
      <c r="BB445">
        <v>8.6957000000000004</v>
      </c>
      <c r="BC445">
        <v>5.4443999999999999</v>
      </c>
      <c r="BD445" s="19">
        <v>0.99199999999999999</v>
      </c>
      <c r="BE445" s="19">
        <v>89.099500000000006</v>
      </c>
      <c r="BF445">
        <v>0.45850000000000002</v>
      </c>
      <c r="BG445">
        <v>2</v>
      </c>
      <c r="BH445" s="20">
        <v>0.66510000000000002</v>
      </c>
      <c r="BI445" s="20">
        <v>1761.1369999999999</v>
      </c>
      <c r="BJ445" s="19">
        <v>87.323899999999995</v>
      </c>
      <c r="BK445">
        <v>1.0117</v>
      </c>
      <c r="BL445">
        <v>1.0048999999999999</v>
      </c>
      <c r="BM445">
        <v>0.99990000000000001</v>
      </c>
      <c r="BN445">
        <v>7</v>
      </c>
      <c r="BO445">
        <v>10.175000000000001</v>
      </c>
      <c r="BP445">
        <v>7.06</v>
      </c>
      <c r="BQ445" s="19">
        <v>98.408799999999999</v>
      </c>
      <c r="BR445">
        <v>81.8369</v>
      </c>
      <c r="BS445" s="20">
        <v>6.3780000000000001</v>
      </c>
      <c r="BT445" s="20">
        <v>6.3879999999999999</v>
      </c>
      <c r="BU445" s="20">
        <v>13.324999999999999</v>
      </c>
      <c r="BV445" s="20">
        <v>13.340999999999999</v>
      </c>
      <c r="BW445" s="19">
        <v>87.793400000000005</v>
      </c>
      <c r="BX445">
        <v>31.03</v>
      </c>
      <c r="BY445" s="5">
        <v>1342460</v>
      </c>
      <c r="BZ445" s="6">
        <v>7681557</v>
      </c>
      <c r="CA445" s="7">
        <f t="shared" si="30"/>
        <v>5.7220006555130132</v>
      </c>
      <c r="CB445">
        <v>416268</v>
      </c>
      <c r="CC445" s="8">
        <f t="shared" si="31"/>
        <v>18.453393006428552</v>
      </c>
      <c r="CD445" s="8">
        <f t="shared" si="32"/>
        <v>3.2249896701163672</v>
      </c>
      <c r="CE445">
        <v>316</v>
      </c>
      <c r="CF445" s="8">
        <f t="shared" si="33"/>
        <v>4248.2911392405067</v>
      </c>
      <c r="CG445" s="8">
        <f t="shared" si="34"/>
        <v>24308.724683544304</v>
      </c>
      <c r="CH445">
        <v>97.987539999999996</v>
      </c>
    </row>
    <row r="446" spans="1:86" ht="15.5" x14ac:dyDescent="0.35">
      <c r="A446" s="9" t="s">
        <v>104</v>
      </c>
      <c r="B446" s="9">
        <v>2012</v>
      </c>
      <c r="C446" s="10">
        <v>45.452199999999998</v>
      </c>
      <c r="D446" s="9">
        <v>5697.9219999999996</v>
      </c>
      <c r="E446" s="9">
        <v>0.1668</v>
      </c>
      <c r="F446" s="9">
        <v>6.4874000000000001</v>
      </c>
      <c r="G446" s="9">
        <v>3240</v>
      </c>
      <c r="H446" s="9">
        <v>11</v>
      </c>
      <c r="I446" s="21">
        <v>97.132999999999996</v>
      </c>
      <c r="J446" s="21">
        <v>96.04</v>
      </c>
      <c r="K446" s="21">
        <v>3.8420000000000001</v>
      </c>
      <c r="L446" s="21">
        <v>78.673000000000002</v>
      </c>
      <c r="M446" s="21">
        <v>157000000</v>
      </c>
      <c r="N446" s="21">
        <v>163.02330000000001</v>
      </c>
      <c r="O446" s="9"/>
      <c r="P446" s="9">
        <v>31.822399999999998</v>
      </c>
      <c r="Q446" s="21">
        <v>23028.989000000001</v>
      </c>
      <c r="R446" s="21">
        <v>21529.4928</v>
      </c>
      <c r="S446" s="21">
        <v>3.1707000000000001</v>
      </c>
      <c r="T446" s="21">
        <v>38884.240599999997</v>
      </c>
      <c r="U446" s="21">
        <v>30716.129099999998</v>
      </c>
      <c r="V446" s="9">
        <v>29.4</v>
      </c>
      <c r="W446" s="21">
        <v>84.834100000000007</v>
      </c>
      <c r="X446" s="9">
        <v>99</v>
      </c>
      <c r="Y446" s="9">
        <v>93</v>
      </c>
      <c r="Z446" s="9">
        <v>93</v>
      </c>
      <c r="AA446" s="9">
        <v>6</v>
      </c>
      <c r="AB446" s="9">
        <v>68.2</v>
      </c>
      <c r="AC446" s="9">
        <v>80.746300000000005</v>
      </c>
      <c r="AD446" s="9">
        <v>104.10550000000001</v>
      </c>
      <c r="AE446" s="9">
        <v>9</v>
      </c>
      <c r="AF446" s="9">
        <v>94.9482</v>
      </c>
      <c r="AG446" s="9">
        <v>2.8</v>
      </c>
      <c r="AH446" s="9">
        <v>7.8E-2</v>
      </c>
      <c r="AI446" s="9">
        <v>6.8</v>
      </c>
      <c r="AJ446" s="9">
        <v>6.3</v>
      </c>
      <c r="AK446" s="9">
        <v>7.3</v>
      </c>
      <c r="AL446" s="9">
        <v>59.298900000000003</v>
      </c>
      <c r="AM446" s="9">
        <v>4.5999999999999996</v>
      </c>
      <c r="AN446" s="9">
        <v>911</v>
      </c>
      <c r="AO446" s="9">
        <v>0</v>
      </c>
      <c r="AP446" s="9">
        <v>100</v>
      </c>
      <c r="AQ446" s="9">
        <v>99.964699999999993</v>
      </c>
      <c r="AR446" s="9">
        <v>99.948800000000006</v>
      </c>
      <c r="AS446" s="9"/>
      <c r="AT446" s="9"/>
      <c r="AU446" s="9">
        <v>14.106400000000001</v>
      </c>
      <c r="AV446" s="21">
        <v>87.203800000000001</v>
      </c>
      <c r="AW446" s="9">
        <v>0.1</v>
      </c>
      <c r="AX446" s="9">
        <v>15.8</v>
      </c>
      <c r="AY446" s="9">
        <v>2</v>
      </c>
      <c r="AZ446" s="9">
        <v>6</v>
      </c>
      <c r="BA446" s="9">
        <v>91.591999999999999</v>
      </c>
      <c r="BB446" s="9">
        <v>8.6957000000000004</v>
      </c>
      <c r="BC446" s="9">
        <v>5.4993999999999996</v>
      </c>
      <c r="BD446" s="21">
        <v>4.101</v>
      </c>
      <c r="BE446" s="21">
        <v>89.099500000000006</v>
      </c>
      <c r="BF446" s="9">
        <v>1.1234</v>
      </c>
      <c r="BG446" s="9">
        <v>2.7</v>
      </c>
      <c r="BH446" s="22">
        <v>0.80430000000000001</v>
      </c>
      <c r="BI446" s="22">
        <v>1968.675</v>
      </c>
      <c r="BJ446" s="21">
        <v>87.793400000000005</v>
      </c>
      <c r="BK446" s="9">
        <v>1.0009999999999999</v>
      </c>
      <c r="BL446" s="9">
        <v>1.0125999999999999</v>
      </c>
      <c r="BM446" s="9">
        <v>1.0213000000000001</v>
      </c>
      <c r="BN446" s="9">
        <v>7</v>
      </c>
      <c r="BO446" s="9">
        <v>10.818</v>
      </c>
      <c r="BP446" s="9">
        <v>6.06</v>
      </c>
      <c r="BQ446" s="21">
        <v>86.472899999999996</v>
      </c>
      <c r="BR446" s="9">
        <v>81.682500000000005</v>
      </c>
      <c r="BS446" s="22">
        <v>6.1970000000000001</v>
      </c>
      <c r="BT446" s="22">
        <v>6.2030000000000003</v>
      </c>
      <c r="BU446" s="22">
        <v>13.824999999999999</v>
      </c>
      <c r="BV446" s="22">
        <v>13.85</v>
      </c>
      <c r="BW446" s="21">
        <v>88.262900000000002</v>
      </c>
      <c r="BX446" s="9">
        <v>31.99</v>
      </c>
      <c r="BY446" s="14">
        <v>1350986</v>
      </c>
      <c r="BZ446" s="6">
        <v>7832229</v>
      </c>
      <c r="CA446" s="7">
        <f t="shared" si="30"/>
        <v>5.7974168496194629</v>
      </c>
      <c r="CB446">
        <v>420028</v>
      </c>
      <c r="CC446" s="8">
        <f t="shared" si="31"/>
        <v>18.646921157637109</v>
      </c>
      <c r="CD446" s="8">
        <f t="shared" si="32"/>
        <v>3.2164189054063064</v>
      </c>
      <c r="CE446">
        <v>316</v>
      </c>
      <c r="CF446" s="8">
        <f t="shared" si="33"/>
        <v>4275.2721518987346</v>
      </c>
      <c r="CG446" s="8">
        <f t="shared" si="34"/>
        <v>24785.534810126581</v>
      </c>
      <c r="CH446" s="9">
        <v>98.744910000000004</v>
      </c>
    </row>
    <row r="447" spans="1:86" ht="15.5" x14ac:dyDescent="0.35">
      <c r="A447" t="s">
        <v>104</v>
      </c>
      <c r="B447">
        <v>2013</v>
      </c>
      <c r="C447" s="2">
        <v>46.700499999999998</v>
      </c>
      <c r="D447">
        <v>4068.6089999999999</v>
      </c>
      <c r="E447">
        <v>0.13719999999999999</v>
      </c>
      <c r="F447">
        <v>5.5933999999999999</v>
      </c>
      <c r="G447">
        <v>2890</v>
      </c>
      <c r="H447">
        <v>11</v>
      </c>
      <c r="I447" s="19">
        <v>98.082999999999998</v>
      </c>
      <c r="J447" s="19">
        <v>97.01</v>
      </c>
      <c r="K447" s="19">
        <v>3.1909999999999998</v>
      </c>
      <c r="L447" s="19">
        <v>80.568700000000007</v>
      </c>
      <c r="M447" s="19">
        <v>270000000</v>
      </c>
      <c r="N447" s="19">
        <v>139.34280000000001</v>
      </c>
      <c r="P447">
        <v>33.378300000000003</v>
      </c>
      <c r="Q447" s="19">
        <v>25617.752</v>
      </c>
      <c r="R447" s="19">
        <v>22565.008600000001</v>
      </c>
      <c r="S447" s="19">
        <v>4.8098000000000001</v>
      </c>
      <c r="T447" s="19">
        <v>40754.477200000001</v>
      </c>
      <c r="U447" s="19">
        <v>33048.184300000001</v>
      </c>
      <c r="V447">
        <v>28.8</v>
      </c>
      <c r="W447" s="19">
        <v>86.255899999999997</v>
      </c>
      <c r="X447">
        <v>99</v>
      </c>
      <c r="Y447">
        <v>94</v>
      </c>
      <c r="Z447">
        <v>99</v>
      </c>
      <c r="AA447">
        <v>5.9</v>
      </c>
      <c r="AB447">
        <v>68.900000000000006</v>
      </c>
      <c r="AC447">
        <v>81.746300000000005</v>
      </c>
      <c r="AD447">
        <v>100.52290000000001</v>
      </c>
      <c r="AE447">
        <v>7</v>
      </c>
      <c r="AF447">
        <v>95.081900000000005</v>
      </c>
      <c r="AG447">
        <v>4.7</v>
      </c>
      <c r="AH447">
        <v>0</v>
      </c>
      <c r="AI447">
        <v>6.7</v>
      </c>
      <c r="AJ447">
        <v>6.2</v>
      </c>
      <c r="AK447">
        <v>7.2</v>
      </c>
      <c r="AL447">
        <v>59.436300000000003</v>
      </c>
      <c r="AM447">
        <v>4.5</v>
      </c>
      <c r="AN447">
        <v>861</v>
      </c>
      <c r="AO447">
        <v>0</v>
      </c>
      <c r="AP447">
        <v>100</v>
      </c>
      <c r="AQ447">
        <v>99.964600000000004</v>
      </c>
      <c r="AR447">
        <v>99.931100000000001</v>
      </c>
      <c r="AU447">
        <v>13.3767</v>
      </c>
      <c r="AV447" s="19">
        <v>83.886300000000006</v>
      </c>
      <c r="AW447">
        <v>0</v>
      </c>
      <c r="AX447">
        <v>15.8</v>
      </c>
      <c r="AY447">
        <v>2</v>
      </c>
      <c r="AZ447">
        <v>6</v>
      </c>
      <c r="BA447">
        <v>90.738100000000003</v>
      </c>
      <c r="BB447">
        <v>14.2857</v>
      </c>
      <c r="BC447">
        <v>5.74</v>
      </c>
      <c r="BD447" s="19">
        <v>6.2919999999999998</v>
      </c>
      <c r="BE447" s="19">
        <v>88.151700000000005</v>
      </c>
      <c r="BF447">
        <v>1.5797000000000001</v>
      </c>
      <c r="BG447">
        <v>3.2</v>
      </c>
      <c r="BH447" s="20">
        <v>0.74339999999999995</v>
      </c>
      <c r="BI447" s="20">
        <v>1880.4641999999999</v>
      </c>
      <c r="BJ447" s="19">
        <v>87.793400000000005</v>
      </c>
      <c r="BK447">
        <v>1.0051000000000001</v>
      </c>
      <c r="BL447">
        <v>1.018</v>
      </c>
      <c r="BM447">
        <v>1.0281</v>
      </c>
      <c r="BN447">
        <v>7</v>
      </c>
      <c r="BO447">
        <v>9.9149999999999991</v>
      </c>
      <c r="BP447">
        <v>7.06</v>
      </c>
      <c r="BQ447" s="19">
        <v>90.440100000000001</v>
      </c>
      <c r="BR447">
        <v>82.651799999999994</v>
      </c>
      <c r="BS447" s="20">
        <v>6.1059999999999999</v>
      </c>
      <c r="BT447" s="20">
        <v>6.1150000000000002</v>
      </c>
      <c r="BU447" s="20">
        <v>12.71</v>
      </c>
      <c r="BV447" s="20">
        <v>12.731999999999999</v>
      </c>
      <c r="BW447" s="19">
        <v>87.793400000000005</v>
      </c>
      <c r="BX447">
        <v>32.51</v>
      </c>
      <c r="BY447" s="5">
        <v>1460645</v>
      </c>
      <c r="BZ447" s="6">
        <v>8501147</v>
      </c>
      <c r="CA447" s="7">
        <f t="shared" si="30"/>
        <v>5.8201322018697219</v>
      </c>
      <c r="CB447">
        <v>425967</v>
      </c>
      <c r="CC447" s="8">
        <f t="shared" si="31"/>
        <v>19.957290118718117</v>
      </c>
      <c r="CD447" s="8">
        <f t="shared" si="32"/>
        <v>3.4290097589719393</v>
      </c>
      <c r="CE447">
        <v>316</v>
      </c>
      <c r="CF447" s="8">
        <f t="shared" si="33"/>
        <v>4622.2943037974683</v>
      </c>
      <c r="CG447" s="8">
        <f t="shared" si="34"/>
        <v>26902.363924050635</v>
      </c>
      <c r="CH447">
        <v>98.404259999999994</v>
      </c>
    </row>
    <row r="448" spans="1:86" ht="15.5" x14ac:dyDescent="0.35">
      <c r="A448" t="s">
        <v>104</v>
      </c>
      <c r="B448">
        <v>2014</v>
      </c>
      <c r="C448" s="2">
        <v>47.679699999999997</v>
      </c>
      <c r="D448">
        <v>3917.6669999999999</v>
      </c>
      <c r="E448">
        <v>0.1268</v>
      </c>
      <c r="F448">
        <v>5.4522000000000004</v>
      </c>
      <c r="G448">
        <v>2910</v>
      </c>
      <c r="H448">
        <v>11</v>
      </c>
      <c r="I448" s="19">
        <v>98.84</v>
      </c>
      <c r="J448" s="19">
        <v>97.38</v>
      </c>
      <c r="K448" s="19">
        <v>2.8130000000000002</v>
      </c>
      <c r="L448" s="19">
        <v>78.365399999999994</v>
      </c>
      <c r="M448" s="19">
        <v>989000000</v>
      </c>
      <c r="N448" s="19">
        <v>112.3456</v>
      </c>
      <c r="P448">
        <v>34.881999999999998</v>
      </c>
      <c r="Q448" s="19">
        <v>27772.945</v>
      </c>
      <c r="R448" s="19">
        <v>23806.831900000001</v>
      </c>
      <c r="S448" s="19">
        <v>5.5033000000000003</v>
      </c>
      <c r="T448" s="19">
        <v>42997.324200000003</v>
      </c>
      <c r="U448" s="19">
        <v>35118.486100000002</v>
      </c>
      <c r="V448">
        <v>29</v>
      </c>
      <c r="W448" s="19">
        <v>80.769199999999998</v>
      </c>
      <c r="X448">
        <v>99</v>
      </c>
      <c r="Y448">
        <v>90</v>
      </c>
      <c r="Z448">
        <v>98</v>
      </c>
      <c r="AA448">
        <v>5.9</v>
      </c>
      <c r="AB448">
        <v>73.099999999999994</v>
      </c>
      <c r="AC448">
        <v>82.046300000000002</v>
      </c>
      <c r="AD448">
        <v>99.842100000000002</v>
      </c>
      <c r="AE448">
        <v>8</v>
      </c>
      <c r="AF448">
        <v>95.190700000000007</v>
      </c>
      <c r="AG448">
        <v>2.2999999999999998</v>
      </c>
      <c r="AH448">
        <v>0</v>
      </c>
      <c r="AI448">
        <v>6.7</v>
      </c>
      <c r="AJ448">
        <v>6.2</v>
      </c>
      <c r="AK448">
        <v>7.2</v>
      </c>
      <c r="AL448">
        <v>59.3063</v>
      </c>
      <c r="AM448">
        <v>4.5</v>
      </c>
      <c r="AN448">
        <v>9192</v>
      </c>
      <c r="AO448">
        <v>0</v>
      </c>
      <c r="AP448">
        <v>100</v>
      </c>
      <c r="AQ448">
        <v>99.964600000000004</v>
      </c>
      <c r="AR448">
        <v>99.913499999999999</v>
      </c>
      <c r="AU448">
        <v>13.480499999999999</v>
      </c>
      <c r="AV448" s="19">
        <v>90.476200000000006</v>
      </c>
      <c r="AW448">
        <v>0</v>
      </c>
      <c r="AX448">
        <v>16.600000000000001</v>
      </c>
      <c r="AY448">
        <v>2</v>
      </c>
      <c r="AZ448">
        <v>6</v>
      </c>
      <c r="BA448">
        <v>89.884299999999996</v>
      </c>
      <c r="BB448">
        <v>14.2857</v>
      </c>
      <c r="BC448">
        <v>5.5976999999999997</v>
      </c>
      <c r="BD448" s="19">
        <v>7.6319999999999997</v>
      </c>
      <c r="BE448" s="19">
        <v>82.211500000000001</v>
      </c>
      <c r="BF448">
        <v>3.3603999999999998</v>
      </c>
      <c r="BG448">
        <v>4.5</v>
      </c>
      <c r="BH448" s="20">
        <v>0.69179999999999997</v>
      </c>
      <c r="BI448" s="20">
        <v>1835.3281999999999</v>
      </c>
      <c r="BJ448" s="19">
        <v>86.057699999999997</v>
      </c>
      <c r="BK448">
        <v>1.0141</v>
      </c>
      <c r="BL448">
        <v>1.0266</v>
      </c>
      <c r="BM448">
        <v>1.0367999999999999</v>
      </c>
      <c r="BN448">
        <v>7</v>
      </c>
      <c r="BO448">
        <v>10.269</v>
      </c>
      <c r="BP448">
        <v>7.05</v>
      </c>
      <c r="BQ448" s="19">
        <v>90.685599999999994</v>
      </c>
      <c r="BR448">
        <v>83.951300000000003</v>
      </c>
      <c r="BS448" s="20">
        <v>5.7249999999999996</v>
      </c>
      <c r="BT448" s="20">
        <v>5.7370000000000001</v>
      </c>
      <c r="BU448" s="20">
        <v>11.677</v>
      </c>
      <c r="BV448" s="20">
        <v>11.688000000000001</v>
      </c>
      <c r="BW448" s="19">
        <v>89.162599999999998</v>
      </c>
      <c r="BX448">
        <v>27.51</v>
      </c>
      <c r="BY448" s="5">
        <v>1554679</v>
      </c>
      <c r="BZ448" s="6">
        <v>8780948</v>
      </c>
      <c r="CA448" s="7">
        <f t="shared" si="30"/>
        <v>5.6480778347170055</v>
      </c>
      <c r="CB448">
        <v>434558</v>
      </c>
      <c r="CC448" s="8">
        <f t="shared" si="31"/>
        <v>20.20661913944744</v>
      </c>
      <c r="CD448" s="8">
        <f t="shared" si="32"/>
        <v>3.5776098932708638</v>
      </c>
      <c r="CE448">
        <v>316</v>
      </c>
      <c r="CF448" s="8">
        <f t="shared" si="33"/>
        <v>4919.8702531645567</v>
      </c>
      <c r="CG448" s="8">
        <f t="shared" si="34"/>
        <v>27787.810126582277</v>
      </c>
      <c r="CH448">
        <v>99.020319999999998</v>
      </c>
    </row>
    <row r="449" spans="1:86" ht="15.5" x14ac:dyDescent="0.35">
      <c r="A449" t="s">
        <v>104</v>
      </c>
      <c r="B449">
        <v>2015</v>
      </c>
      <c r="C449" s="2">
        <v>48.2746</v>
      </c>
      <c r="D449">
        <v>3058.0749999999998</v>
      </c>
      <c r="E449">
        <v>8.1600000000000006E-2</v>
      </c>
      <c r="F449">
        <v>3.7570999999999999</v>
      </c>
      <c r="G449">
        <v>2220</v>
      </c>
      <c r="H449">
        <v>11</v>
      </c>
      <c r="I449" s="19">
        <v>100.003</v>
      </c>
      <c r="J449" s="19">
        <v>98.6</v>
      </c>
      <c r="K449" s="19">
        <v>2.79</v>
      </c>
      <c r="L449" s="19">
        <v>77.619</v>
      </c>
      <c r="M449" s="19">
        <v>299000000</v>
      </c>
      <c r="N449" s="19">
        <v>100</v>
      </c>
      <c r="P449">
        <v>36.6768</v>
      </c>
      <c r="Q449" s="19">
        <v>25847.296999999999</v>
      </c>
      <c r="R449" s="19">
        <v>25481.897799999999</v>
      </c>
      <c r="S449" s="19">
        <v>7.0361000000000002</v>
      </c>
      <c r="T449" s="19">
        <v>46022.6469</v>
      </c>
      <c r="U449" s="19">
        <v>38307.369200000001</v>
      </c>
      <c r="V449">
        <v>29.4</v>
      </c>
      <c r="W449" s="19">
        <v>74.761899999999997</v>
      </c>
      <c r="X449">
        <v>97</v>
      </c>
      <c r="Y449">
        <v>95</v>
      </c>
      <c r="Z449">
        <v>89</v>
      </c>
      <c r="AA449">
        <v>5.8</v>
      </c>
      <c r="AB449">
        <v>76</v>
      </c>
      <c r="AC449">
        <v>81.897599999999997</v>
      </c>
      <c r="AD449">
        <v>98.968599999999995</v>
      </c>
      <c r="AE449">
        <v>7</v>
      </c>
      <c r="AF449">
        <v>95.286500000000004</v>
      </c>
      <c r="AG449">
        <v>2.8</v>
      </c>
      <c r="AH449">
        <v>0</v>
      </c>
      <c r="AI449">
        <v>6.6</v>
      </c>
      <c r="AJ449">
        <v>6.1</v>
      </c>
      <c r="AK449">
        <v>7.1</v>
      </c>
      <c r="AL449">
        <v>59.650599999999997</v>
      </c>
      <c r="AM449">
        <v>4.4000000000000004</v>
      </c>
      <c r="AN449">
        <v>9588</v>
      </c>
      <c r="AO449">
        <v>0</v>
      </c>
      <c r="AP449">
        <v>100</v>
      </c>
      <c r="AQ449">
        <v>99.964600000000004</v>
      </c>
      <c r="AR449">
        <v>99.895899999999997</v>
      </c>
      <c r="AU449">
        <v>13.6815</v>
      </c>
      <c r="AV449" s="19">
        <v>87.142899999999997</v>
      </c>
      <c r="AW449">
        <v>0.1</v>
      </c>
      <c r="AX449">
        <v>16.5</v>
      </c>
      <c r="AY449">
        <v>2</v>
      </c>
      <c r="AZ449">
        <v>6</v>
      </c>
      <c r="BA449">
        <v>89.0304</v>
      </c>
      <c r="BB449">
        <v>12.857100000000001</v>
      </c>
      <c r="BC449">
        <v>5.4126000000000003</v>
      </c>
      <c r="BD449" s="19">
        <v>9.6199999999999992</v>
      </c>
      <c r="BE449" s="19">
        <v>84.285700000000006</v>
      </c>
      <c r="BF449">
        <v>7.8258999999999999</v>
      </c>
      <c r="BG449">
        <v>6</v>
      </c>
      <c r="BH449" s="20">
        <v>0.71509999999999996</v>
      </c>
      <c r="BI449" s="20">
        <v>1865.2556999999999</v>
      </c>
      <c r="BJ449" s="19">
        <v>82.857100000000003</v>
      </c>
      <c r="BK449">
        <v>1.0147999999999999</v>
      </c>
      <c r="BL449">
        <v>1.0401</v>
      </c>
      <c r="BM449">
        <v>1.0620000000000001</v>
      </c>
      <c r="BN449">
        <v>7</v>
      </c>
      <c r="BO449">
        <v>10.538</v>
      </c>
      <c r="BP449">
        <v>7.03</v>
      </c>
      <c r="BQ449" s="19">
        <v>100</v>
      </c>
      <c r="BR449">
        <v>84.444999999999993</v>
      </c>
      <c r="BS449" s="20">
        <v>5.3890000000000002</v>
      </c>
      <c r="BT449" s="20">
        <v>5.3890000000000002</v>
      </c>
      <c r="BU449" s="20">
        <v>11.653</v>
      </c>
      <c r="BV449" s="20">
        <v>11.638999999999999</v>
      </c>
      <c r="BW449" s="19">
        <v>89.162599999999998</v>
      </c>
      <c r="BX449">
        <v>26.51</v>
      </c>
      <c r="BY449" s="5">
        <v>1586068</v>
      </c>
      <c r="BZ449" s="6">
        <v>8915297</v>
      </c>
      <c r="CA449" s="7">
        <f t="shared" si="30"/>
        <v>5.6210055306582065</v>
      </c>
      <c r="CB449">
        <v>445053</v>
      </c>
      <c r="CC449" s="8">
        <f t="shared" si="31"/>
        <v>20.031989448447714</v>
      </c>
      <c r="CD449" s="8">
        <f t="shared" si="32"/>
        <v>3.5637733034043135</v>
      </c>
      <c r="CE449">
        <v>316</v>
      </c>
      <c r="CF449" s="8">
        <f t="shared" si="33"/>
        <v>5019.2025316455693</v>
      </c>
      <c r="CG449" s="8">
        <f t="shared" si="34"/>
        <v>28212.965189873419</v>
      </c>
      <c r="CH449">
        <v>100</v>
      </c>
    </row>
    <row r="450" spans="1:86" ht="15.5" x14ac:dyDescent="0.35">
      <c r="A450" t="s">
        <v>104</v>
      </c>
      <c r="B450">
        <v>2016</v>
      </c>
      <c r="C450" s="2">
        <v>48.833500000000001</v>
      </c>
      <c r="D450">
        <v>4116.192</v>
      </c>
      <c r="E450">
        <v>6.4000000000000001E-2</v>
      </c>
      <c r="F450">
        <v>2.9983</v>
      </c>
      <c r="G450">
        <v>2220</v>
      </c>
      <c r="H450">
        <v>11</v>
      </c>
      <c r="I450" s="19">
        <v>100.90300000000001</v>
      </c>
      <c r="J450" s="19">
        <v>99.55</v>
      </c>
      <c r="K450" s="19">
        <v>2.9319999999999999</v>
      </c>
      <c r="L450" s="19">
        <v>73.8095</v>
      </c>
      <c r="M450" s="19">
        <v>-66000000</v>
      </c>
      <c r="N450" s="19">
        <v>122.19799999999999</v>
      </c>
      <c r="P450">
        <v>37.618000000000002</v>
      </c>
      <c r="Q450" s="19">
        <v>26738.151999999998</v>
      </c>
      <c r="R450" s="19">
        <v>25920.9077</v>
      </c>
      <c r="S450" s="19">
        <v>1.7228000000000001</v>
      </c>
      <c r="T450" s="19">
        <v>46815.539100000002</v>
      </c>
      <c r="U450" s="19">
        <v>40923.441099999996</v>
      </c>
      <c r="V450">
        <v>29.1</v>
      </c>
      <c r="W450" s="19">
        <v>77.142899999999997</v>
      </c>
      <c r="X450">
        <v>97</v>
      </c>
      <c r="Y450">
        <v>97</v>
      </c>
      <c r="Z450">
        <v>93</v>
      </c>
      <c r="AA450">
        <v>5.7</v>
      </c>
      <c r="AB450">
        <v>78.099999999999994</v>
      </c>
      <c r="AC450">
        <v>82.453699999999998</v>
      </c>
      <c r="AD450">
        <v>100.0491</v>
      </c>
      <c r="AE450">
        <v>10</v>
      </c>
      <c r="AF450">
        <v>94.964299999999994</v>
      </c>
      <c r="AG450">
        <v>6</v>
      </c>
      <c r="AH450">
        <v>0.15</v>
      </c>
      <c r="AI450">
        <v>6.5</v>
      </c>
      <c r="AJ450">
        <v>6</v>
      </c>
      <c r="AK450">
        <v>7</v>
      </c>
      <c r="AL450">
        <v>57.957599999999999</v>
      </c>
      <c r="AM450">
        <v>4.4000000000000004</v>
      </c>
      <c r="AN450">
        <v>8624</v>
      </c>
      <c r="AO450">
        <v>0</v>
      </c>
      <c r="AP450">
        <v>100</v>
      </c>
      <c r="AQ450">
        <v>99.964600000000004</v>
      </c>
      <c r="AR450">
        <v>99.878200000000007</v>
      </c>
      <c r="AU450">
        <v>12.5326</v>
      </c>
      <c r="AV450" s="19">
        <v>89.047600000000003</v>
      </c>
      <c r="AW450">
        <v>0.1</v>
      </c>
      <c r="AX450">
        <v>16.7</v>
      </c>
      <c r="AY450">
        <v>2</v>
      </c>
      <c r="AZ450">
        <v>6</v>
      </c>
      <c r="BA450">
        <v>88.176500000000004</v>
      </c>
      <c r="BB450">
        <v>12.857100000000001</v>
      </c>
      <c r="BC450">
        <v>5.6510999999999996</v>
      </c>
      <c r="BD450" s="19">
        <v>4.0780000000000003</v>
      </c>
      <c r="BE450" s="19">
        <v>84.761899999999997</v>
      </c>
      <c r="BF450">
        <v>15.8996</v>
      </c>
      <c r="BG450">
        <v>9.1999999999999993</v>
      </c>
      <c r="BH450" s="20">
        <v>0.55689999999999995</v>
      </c>
      <c r="BI450" s="20">
        <v>1989.5945999999999</v>
      </c>
      <c r="BJ450" s="19">
        <v>80.952399999999997</v>
      </c>
      <c r="BK450">
        <v>1.0210999999999999</v>
      </c>
      <c r="BL450">
        <v>1.0309999999999999</v>
      </c>
      <c r="BM450">
        <v>1.0404</v>
      </c>
      <c r="BN450">
        <v>7</v>
      </c>
      <c r="BO450">
        <v>8.7579999999999991</v>
      </c>
      <c r="BP450">
        <v>6.01</v>
      </c>
      <c r="BQ450" s="19">
        <v>101.8742</v>
      </c>
      <c r="BR450">
        <v>86.070599999999999</v>
      </c>
      <c r="BS450" s="20">
        <v>4.6870000000000003</v>
      </c>
      <c r="BT450" s="20">
        <v>4.694</v>
      </c>
      <c r="BU450" s="20">
        <v>10.696</v>
      </c>
      <c r="BV450" s="20">
        <v>10.7</v>
      </c>
      <c r="BW450" s="19">
        <v>88.67</v>
      </c>
      <c r="BX450">
        <v>29.85</v>
      </c>
      <c r="BY450" s="5">
        <v>1619532</v>
      </c>
      <c r="BZ450" s="6">
        <v>8971191</v>
      </c>
      <c r="CA450" s="7">
        <f t="shared" si="30"/>
        <v>5.5393724853846669</v>
      </c>
      <c r="CB450">
        <v>455356</v>
      </c>
      <c r="CC450" s="8">
        <f t="shared" si="31"/>
        <v>19.701488505696641</v>
      </c>
      <c r="CD450" s="8">
        <f t="shared" si="32"/>
        <v>3.5566282205571027</v>
      </c>
      <c r="CE450">
        <v>316</v>
      </c>
      <c r="CF450" s="8">
        <f t="shared" si="33"/>
        <v>5125.1012658227846</v>
      </c>
      <c r="CG450" s="8">
        <f t="shared" si="34"/>
        <v>28389.844936708861</v>
      </c>
      <c r="CH450">
        <v>100.73739</v>
      </c>
    </row>
    <row r="451" spans="1:86" ht="15.5" x14ac:dyDescent="0.35">
      <c r="A451" t="s">
        <v>104</v>
      </c>
      <c r="B451">
        <v>2017</v>
      </c>
      <c r="C451" s="2">
        <v>48.904800000000002</v>
      </c>
      <c r="D451">
        <v>4044.2809999999999</v>
      </c>
      <c r="E451">
        <v>6.4699999999999994E-2</v>
      </c>
      <c r="F451">
        <v>3.3292999999999999</v>
      </c>
      <c r="G451">
        <v>2220</v>
      </c>
      <c r="H451">
        <v>11</v>
      </c>
      <c r="I451" s="19">
        <v>102.175</v>
      </c>
      <c r="J451" s="19">
        <v>100.88</v>
      </c>
      <c r="K451" s="19">
        <v>3.3260000000000001</v>
      </c>
      <c r="L451" s="19">
        <v>74.761899999999997</v>
      </c>
      <c r="M451" s="19">
        <v>2680000000</v>
      </c>
      <c r="N451" s="19">
        <v>109.6374</v>
      </c>
      <c r="P451">
        <v>38.751300000000001</v>
      </c>
      <c r="Q451" s="19">
        <v>30816.538</v>
      </c>
      <c r="R451" s="19">
        <v>28492.3073</v>
      </c>
      <c r="S451" s="19">
        <v>9.9201999999999995</v>
      </c>
      <c r="T451" s="19">
        <v>51459.722900000001</v>
      </c>
      <c r="U451" s="19">
        <v>45676.693200000002</v>
      </c>
      <c r="V451">
        <v>29.2</v>
      </c>
      <c r="W451" s="19">
        <v>80</v>
      </c>
      <c r="X451">
        <v>98</v>
      </c>
      <c r="Y451">
        <v>88</v>
      </c>
      <c r="Z451">
        <v>91</v>
      </c>
      <c r="AA451">
        <v>5.6</v>
      </c>
      <c r="AB451">
        <v>81</v>
      </c>
      <c r="AC451">
        <v>82.346299999999999</v>
      </c>
      <c r="AD451">
        <v>100.63890000000001</v>
      </c>
      <c r="AE451">
        <v>7</v>
      </c>
      <c r="AF451">
        <v>94.986800000000002</v>
      </c>
      <c r="AG451">
        <v>4.9000000000000004</v>
      </c>
      <c r="AH451">
        <v>0.28999999999999998</v>
      </c>
      <c r="AI451">
        <v>6.4</v>
      </c>
      <c r="AJ451">
        <v>5.9</v>
      </c>
      <c r="AK451">
        <v>6.8</v>
      </c>
      <c r="AL451">
        <v>58.561999999999998</v>
      </c>
      <c r="AM451">
        <v>4.3</v>
      </c>
      <c r="AN451">
        <v>14372</v>
      </c>
      <c r="AO451">
        <v>0</v>
      </c>
      <c r="AP451">
        <v>100</v>
      </c>
      <c r="AQ451">
        <v>99.964500000000001</v>
      </c>
      <c r="AR451">
        <v>99.860600000000005</v>
      </c>
      <c r="AU451">
        <v>12.9026</v>
      </c>
      <c r="AV451" s="19">
        <v>93.333299999999994</v>
      </c>
      <c r="AW451">
        <v>0.2</v>
      </c>
      <c r="AX451">
        <v>16.8</v>
      </c>
      <c r="AY451">
        <v>2</v>
      </c>
      <c r="AZ451">
        <v>6</v>
      </c>
      <c r="BA451">
        <v>88.176500000000004</v>
      </c>
      <c r="BB451">
        <v>11.940300000000001</v>
      </c>
      <c r="BC451">
        <v>5.4915000000000003</v>
      </c>
      <c r="BD451" s="19">
        <v>12.971</v>
      </c>
      <c r="BE451" s="19">
        <v>88.095200000000006</v>
      </c>
      <c r="BF451">
        <v>10.4216</v>
      </c>
      <c r="BG451">
        <v>7.3</v>
      </c>
      <c r="BH451" s="20">
        <v>0.55230000000000001</v>
      </c>
      <c r="BI451" s="20">
        <v>2027.4014999999999</v>
      </c>
      <c r="BJ451" s="19">
        <v>84.285700000000006</v>
      </c>
      <c r="BK451">
        <v>1.0019</v>
      </c>
      <c r="BL451">
        <v>1</v>
      </c>
      <c r="BM451">
        <v>0.99839999999999995</v>
      </c>
      <c r="BN451">
        <v>7</v>
      </c>
      <c r="BO451">
        <v>8.5850000000000009</v>
      </c>
      <c r="BP451">
        <v>5.18</v>
      </c>
      <c r="BQ451" s="19">
        <v>99.264700000000005</v>
      </c>
      <c r="BR451">
        <v>87.064499999999995</v>
      </c>
      <c r="BS451" s="20">
        <v>4.0019999999999998</v>
      </c>
      <c r="BT451" s="20">
        <v>4.008</v>
      </c>
      <c r="BU451" s="20">
        <v>10.57</v>
      </c>
      <c r="BV451" s="20">
        <v>10.579000000000001</v>
      </c>
      <c r="BW451" s="19">
        <v>87.192099999999996</v>
      </c>
      <c r="BX451">
        <v>26.49</v>
      </c>
      <c r="BY451" s="5">
        <v>1829467</v>
      </c>
      <c r="BZ451" s="6">
        <v>9580329</v>
      </c>
      <c r="CA451" s="7">
        <f t="shared" ref="CA451:CA514" si="35">BZ451/BY451</f>
        <v>5.2366776771595225</v>
      </c>
      <c r="CB451">
        <v>467999</v>
      </c>
      <c r="CC451" s="8">
        <f t="shared" ref="CC451:CC514" si="36">BZ451/CB451</f>
        <v>20.470832202632913</v>
      </c>
      <c r="CD451" s="8">
        <f t="shared" ref="CD451:CD514" si="37">BY451/CB451</f>
        <v>3.9091258742005861</v>
      </c>
      <c r="CE451">
        <v>316</v>
      </c>
      <c r="CF451" s="8">
        <f t="shared" ref="CF451:CF514" si="38">BY451/CE451</f>
        <v>5789.4525316455693</v>
      </c>
      <c r="CG451" s="8">
        <f t="shared" ref="CG451:CG514" si="39">BZ451/CE451</f>
        <v>30317.496835443038</v>
      </c>
      <c r="CH451">
        <v>100.42643</v>
      </c>
    </row>
    <row r="452" spans="1:86" ht="15.5" x14ac:dyDescent="0.35">
      <c r="A452" t="s">
        <v>104</v>
      </c>
      <c r="B452">
        <v>2018</v>
      </c>
      <c r="C452" s="2">
        <v>48.251600000000003</v>
      </c>
      <c r="D452">
        <v>3640.364</v>
      </c>
      <c r="E452">
        <v>6.0699999999999997E-2</v>
      </c>
      <c r="F452">
        <v>3.234</v>
      </c>
      <c r="G452">
        <v>2220</v>
      </c>
      <c r="H452">
        <v>11</v>
      </c>
      <c r="I452" s="19">
        <v>103.95399999999999</v>
      </c>
      <c r="J452" s="19">
        <v>102.13</v>
      </c>
      <c r="K452" s="19">
        <v>3.5790000000000002</v>
      </c>
      <c r="L452" s="19">
        <v>70</v>
      </c>
      <c r="M452" s="19">
        <v>2156000000</v>
      </c>
      <c r="N452" s="19">
        <v>122.44240000000001</v>
      </c>
      <c r="P452">
        <v>39.589300000000001</v>
      </c>
      <c r="Q452" s="19">
        <v>34035.11</v>
      </c>
      <c r="R452" s="19">
        <v>29492.5864</v>
      </c>
      <c r="S452" s="19">
        <v>3.5106999999999999</v>
      </c>
      <c r="T452" s="19">
        <v>53266.318800000001</v>
      </c>
      <c r="U452" s="19">
        <v>48105.950100000002</v>
      </c>
      <c r="V452">
        <v>28.7</v>
      </c>
      <c r="W452" s="19">
        <v>78.095200000000006</v>
      </c>
      <c r="X452">
        <v>97</v>
      </c>
      <c r="Y452">
        <v>98</v>
      </c>
      <c r="Z452">
        <v>96</v>
      </c>
      <c r="AA452">
        <v>5.5</v>
      </c>
      <c r="AB452">
        <v>81.7</v>
      </c>
      <c r="AC452">
        <v>82.248800000000003</v>
      </c>
      <c r="AD452">
        <v>100.4158</v>
      </c>
      <c r="AE452">
        <v>9</v>
      </c>
      <c r="AF452">
        <v>95.011700000000005</v>
      </c>
      <c r="AG452">
        <v>4.5999999999999996</v>
      </c>
      <c r="AH452">
        <v>0.26</v>
      </c>
      <c r="AI452">
        <v>6.3</v>
      </c>
      <c r="AJ452">
        <v>5.8</v>
      </c>
      <c r="AK452">
        <v>6.7</v>
      </c>
      <c r="AL452">
        <v>58.494</v>
      </c>
      <c r="AM452">
        <v>4.2</v>
      </c>
      <c r="AN452">
        <v>16961</v>
      </c>
      <c r="AO452">
        <v>0</v>
      </c>
      <c r="AP452">
        <v>100</v>
      </c>
      <c r="AQ452">
        <v>99.964500000000001</v>
      </c>
      <c r="AR452">
        <v>99.843000000000004</v>
      </c>
      <c r="AU452">
        <v>13.113300000000001</v>
      </c>
      <c r="AV452" s="19">
        <v>93.867900000000006</v>
      </c>
      <c r="AW452">
        <v>0.1</v>
      </c>
      <c r="AX452">
        <v>17.100000000000001</v>
      </c>
      <c r="AZ452">
        <v>6</v>
      </c>
      <c r="BA452">
        <v>88.176400000000001</v>
      </c>
      <c r="BB452">
        <v>11.940300000000001</v>
      </c>
      <c r="BC452">
        <v>5.4002999999999997</v>
      </c>
      <c r="BD452" s="19">
        <v>7.1890000000000001</v>
      </c>
      <c r="BE452" s="19">
        <v>88.571399999999997</v>
      </c>
      <c r="BF452">
        <v>10.1427</v>
      </c>
      <c r="BG452">
        <v>7.6</v>
      </c>
      <c r="BH452" s="20">
        <v>0.57210000000000005</v>
      </c>
      <c r="BI452" s="20">
        <v>1904.9221</v>
      </c>
      <c r="BJ452" s="19">
        <v>81.904799999999994</v>
      </c>
      <c r="BK452">
        <v>1.0067999999999999</v>
      </c>
      <c r="BL452">
        <v>1.0041</v>
      </c>
      <c r="BM452">
        <v>1.0017</v>
      </c>
      <c r="BN452">
        <v>7</v>
      </c>
      <c r="BO452">
        <v>7.2830000000000004</v>
      </c>
      <c r="BP452">
        <v>5.01</v>
      </c>
      <c r="BQ452" s="19">
        <v>98.736699999999999</v>
      </c>
      <c r="BR452">
        <v>88.601200000000006</v>
      </c>
      <c r="BS452" s="20">
        <v>3.6579999999999999</v>
      </c>
      <c r="BT452" s="20">
        <v>3.665</v>
      </c>
      <c r="BU452" s="20">
        <v>9.0489999999999995</v>
      </c>
      <c r="BV452" s="20">
        <v>9.0609999999999999</v>
      </c>
      <c r="BW452" s="19">
        <v>82.524299999999997</v>
      </c>
      <c r="BX452">
        <v>24.24</v>
      </c>
      <c r="BY452" s="5">
        <v>1982579</v>
      </c>
      <c r="BZ452" s="6">
        <v>10114196</v>
      </c>
      <c r="CA452" s="7">
        <f t="shared" si="35"/>
        <v>5.1015349199199624</v>
      </c>
      <c r="CB452">
        <v>484630</v>
      </c>
      <c r="CC452" s="8">
        <f t="shared" si="36"/>
        <v>20.86993376390236</v>
      </c>
      <c r="CD452" s="8">
        <f t="shared" si="37"/>
        <v>4.090912655015166</v>
      </c>
      <c r="CE452">
        <v>316</v>
      </c>
      <c r="CF452" s="8">
        <f t="shared" si="38"/>
        <v>6273.9841772151894</v>
      </c>
      <c r="CG452" s="8">
        <f t="shared" si="39"/>
        <v>32006.949367088608</v>
      </c>
      <c r="CH452">
        <v>100.54579</v>
      </c>
    </row>
    <row r="453" spans="1:86" ht="15.5" x14ac:dyDescent="0.35">
      <c r="A453" t="s">
        <v>104</v>
      </c>
      <c r="B453">
        <v>2019</v>
      </c>
      <c r="C453" s="2">
        <v>47.354700000000001</v>
      </c>
      <c r="D453">
        <v>3558.4929999999999</v>
      </c>
      <c r="E453">
        <v>6.2300000000000001E-2</v>
      </c>
      <c r="F453">
        <v>3.3188</v>
      </c>
      <c r="G453">
        <v>2220</v>
      </c>
      <c r="H453">
        <v>11</v>
      </c>
      <c r="I453" s="19">
        <v>105.538</v>
      </c>
      <c r="J453" s="19">
        <v>103.44</v>
      </c>
      <c r="K453" s="19">
        <v>3.831</v>
      </c>
      <c r="L453" s="19">
        <v>60</v>
      </c>
      <c r="M453" s="19">
        <v>2924000000</v>
      </c>
      <c r="N453" s="19">
        <v>121.87949999999999</v>
      </c>
      <c r="P453">
        <v>40.18</v>
      </c>
      <c r="Q453" s="19">
        <v>33145.432999999997</v>
      </c>
      <c r="R453" s="19">
        <v>29513.867099999999</v>
      </c>
      <c r="S453" s="19">
        <v>7.22E-2</v>
      </c>
      <c r="T453" s="19">
        <v>53304.753599999996</v>
      </c>
      <c r="U453" s="19">
        <v>51377.369899999998</v>
      </c>
      <c r="V453">
        <v>31</v>
      </c>
      <c r="W453" s="19">
        <v>76.666700000000006</v>
      </c>
      <c r="X453">
        <v>98</v>
      </c>
      <c r="Y453">
        <v>98</v>
      </c>
      <c r="Z453">
        <v>96</v>
      </c>
      <c r="AA453">
        <v>5.4</v>
      </c>
      <c r="AB453">
        <v>85.8</v>
      </c>
      <c r="AC453">
        <v>82.658500000000004</v>
      </c>
      <c r="AD453">
        <v>98.523799999999994</v>
      </c>
      <c r="AE453">
        <v>8</v>
      </c>
      <c r="AF453">
        <v>95.038899999999998</v>
      </c>
      <c r="AG453">
        <v>4.0999999999999996</v>
      </c>
      <c r="AH453">
        <v>0.14000000000000001</v>
      </c>
      <c r="AI453">
        <v>6.1</v>
      </c>
      <c r="AJ453">
        <v>5.7</v>
      </c>
      <c r="AK453">
        <v>6.5</v>
      </c>
      <c r="AL453">
        <v>57.8215</v>
      </c>
      <c r="AM453">
        <v>4.0999999999999996</v>
      </c>
      <c r="AN453">
        <v>20302</v>
      </c>
      <c r="AO453">
        <v>0</v>
      </c>
      <c r="AP453">
        <v>100</v>
      </c>
      <c r="AQ453">
        <v>99.964500000000001</v>
      </c>
      <c r="AR453">
        <v>99.825299999999999</v>
      </c>
      <c r="AU453">
        <v>12.5909</v>
      </c>
      <c r="AV453" s="19">
        <v>83.018900000000002</v>
      </c>
      <c r="AW453">
        <v>0.3</v>
      </c>
      <c r="AX453">
        <v>16.899999999999999</v>
      </c>
      <c r="AZ453">
        <v>6</v>
      </c>
      <c r="BA453">
        <v>88.176400000000001</v>
      </c>
      <c r="BB453">
        <v>14.9254</v>
      </c>
      <c r="BC453">
        <v>5.6737000000000002</v>
      </c>
      <c r="BD453" s="19">
        <v>4.0860000000000003</v>
      </c>
      <c r="BE453" s="19">
        <v>76.666700000000006</v>
      </c>
      <c r="BF453">
        <v>9.8033000000000001</v>
      </c>
      <c r="BG453">
        <v>7.4</v>
      </c>
      <c r="BH453" s="20">
        <v>0.55989999999999995</v>
      </c>
      <c r="BI453" s="20">
        <v>1902.7163</v>
      </c>
      <c r="BJ453" s="19">
        <v>79.047600000000003</v>
      </c>
      <c r="BK453">
        <v>1.0078</v>
      </c>
      <c r="BL453">
        <v>1.0049999999999999</v>
      </c>
      <c r="BM453">
        <v>1.0024999999999999</v>
      </c>
      <c r="BN453">
        <v>7</v>
      </c>
      <c r="BO453">
        <v>8.5609999999999999</v>
      </c>
      <c r="BP453">
        <v>5.95</v>
      </c>
      <c r="BQ453" s="19">
        <v>100.10420000000001</v>
      </c>
      <c r="BR453">
        <v>89.234200000000001</v>
      </c>
      <c r="BS453" s="20">
        <v>3.6160000000000001</v>
      </c>
      <c r="BT453" s="20">
        <v>3.6269999999999998</v>
      </c>
      <c r="BU453" s="20">
        <v>9.3019999999999996</v>
      </c>
      <c r="BV453" s="20">
        <v>9.33</v>
      </c>
      <c r="BW453" s="19">
        <v>82.608699999999999</v>
      </c>
      <c r="BX453">
        <v>19.260000000000002</v>
      </c>
      <c r="BY453" s="5">
        <v>2022912</v>
      </c>
      <c r="BZ453" s="6">
        <v>9911282</v>
      </c>
      <c r="CA453" s="7">
        <f t="shared" si="35"/>
        <v>4.899512188370033</v>
      </c>
      <c r="CB453">
        <v>504062</v>
      </c>
      <c r="CC453" s="8">
        <f t="shared" si="36"/>
        <v>19.662823224127191</v>
      </c>
      <c r="CD453" s="8">
        <f t="shared" si="37"/>
        <v>4.0132205958790781</v>
      </c>
      <c r="CE453">
        <v>316</v>
      </c>
      <c r="CF453" s="8">
        <f t="shared" si="38"/>
        <v>6401.6202531645567</v>
      </c>
      <c r="CG453" s="8">
        <f t="shared" si="39"/>
        <v>31364.816455696204</v>
      </c>
      <c r="CH453">
        <v>100.8387</v>
      </c>
    </row>
    <row r="454" spans="1:86" ht="15.5" x14ac:dyDescent="0.35">
      <c r="A454" t="s">
        <v>104</v>
      </c>
      <c r="B454">
        <v>2020</v>
      </c>
      <c r="C454" s="2">
        <v>46.697400000000002</v>
      </c>
      <c r="D454">
        <v>3525.6709999999998</v>
      </c>
      <c r="E454">
        <v>6.25E-2</v>
      </c>
      <c r="F454">
        <v>3.1442000000000001</v>
      </c>
      <c r="G454">
        <v>2220</v>
      </c>
      <c r="H454">
        <v>11</v>
      </c>
      <c r="I454" s="19">
        <v>106.36799999999999</v>
      </c>
      <c r="J454" s="19">
        <v>103.61</v>
      </c>
      <c r="K454" s="19">
        <v>2.9140000000000001</v>
      </c>
      <c r="L454" s="19">
        <v>62.857100000000003</v>
      </c>
      <c r="M454" s="19">
        <v>2625000000</v>
      </c>
      <c r="N454" s="19">
        <v>102.8018</v>
      </c>
      <c r="P454">
        <v>41.109400000000001</v>
      </c>
      <c r="Q454" s="19">
        <v>31847.185000000001</v>
      </c>
      <c r="R454" s="19">
        <v>27865.329300000001</v>
      </c>
      <c r="S454" s="19">
        <v>-5.5856000000000003</v>
      </c>
      <c r="T454" s="19">
        <v>50327.343099999998</v>
      </c>
      <c r="U454" s="19">
        <v>49929.966800000002</v>
      </c>
      <c r="V454">
        <v>31.4</v>
      </c>
      <c r="W454" s="19">
        <v>80.952399999999997</v>
      </c>
      <c r="X454">
        <v>98</v>
      </c>
      <c r="Y454">
        <v>98</v>
      </c>
      <c r="Z454">
        <v>95</v>
      </c>
      <c r="AA454">
        <v>5.2</v>
      </c>
      <c r="AB454">
        <v>86.9</v>
      </c>
      <c r="AC454">
        <v>82.0976</v>
      </c>
      <c r="AD454">
        <v>99.881799999999998</v>
      </c>
      <c r="AE454">
        <v>10</v>
      </c>
      <c r="AF454">
        <v>95.049400000000006</v>
      </c>
      <c r="AH454">
        <v>6.8000000000000005E-2</v>
      </c>
      <c r="AI454">
        <v>6</v>
      </c>
      <c r="AJ454">
        <v>5.5</v>
      </c>
      <c r="AK454">
        <v>6.4</v>
      </c>
      <c r="AL454">
        <v>58.9696</v>
      </c>
      <c r="AM454">
        <v>4</v>
      </c>
      <c r="AN454">
        <v>6904</v>
      </c>
      <c r="AO454">
        <v>0</v>
      </c>
      <c r="AP454">
        <v>100</v>
      </c>
      <c r="AQ454">
        <v>99.964500000000001</v>
      </c>
      <c r="AR454">
        <v>99.807699999999997</v>
      </c>
      <c r="AU454">
        <v>11.7227</v>
      </c>
      <c r="AV454" s="19">
        <v>82.075500000000005</v>
      </c>
      <c r="AW454">
        <v>0.3</v>
      </c>
      <c r="AX454">
        <v>16.899999999999999</v>
      </c>
      <c r="AZ454">
        <v>6</v>
      </c>
      <c r="BA454">
        <v>88.176400000000001</v>
      </c>
      <c r="BB454">
        <v>13.4328</v>
      </c>
      <c r="BC454">
        <v>7.0702999999999996</v>
      </c>
      <c r="BD454" s="19">
        <v>-3.359</v>
      </c>
      <c r="BE454" s="19">
        <v>85.714299999999994</v>
      </c>
      <c r="BF454">
        <v>11.3308</v>
      </c>
      <c r="BG454">
        <v>9.1999999999999993</v>
      </c>
      <c r="BH454" s="20">
        <v>0.64570000000000005</v>
      </c>
      <c r="BI454" s="20">
        <v>1964.9152999999999</v>
      </c>
      <c r="BJ454" s="19">
        <v>78.095200000000006</v>
      </c>
      <c r="BK454">
        <v>0.99670000000000003</v>
      </c>
      <c r="BL454">
        <v>1.0047999999999999</v>
      </c>
      <c r="BM454">
        <v>1.0115000000000001</v>
      </c>
      <c r="BN454">
        <v>7</v>
      </c>
      <c r="BO454">
        <v>9.2959999999999994</v>
      </c>
      <c r="BP454">
        <v>5.69</v>
      </c>
      <c r="BQ454" s="19">
        <v>110.44670000000001</v>
      </c>
      <c r="BR454">
        <v>89.234200000000001</v>
      </c>
      <c r="BS454" s="20">
        <v>4.3470000000000004</v>
      </c>
      <c r="BT454" s="20">
        <v>4.3570000000000002</v>
      </c>
      <c r="BU454" s="20">
        <v>10.872</v>
      </c>
      <c r="BV454" s="20">
        <v>10.916</v>
      </c>
      <c r="BW454" s="19">
        <v>85.024199999999993</v>
      </c>
      <c r="BX454">
        <v>18.2</v>
      </c>
      <c r="BY454" s="5">
        <v>705714</v>
      </c>
      <c r="BZ454" s="6">
        <v>2945184</v>
      </c>
      <c r="CA454" s="7">
        <f t="shared" si="35"/>
        <v>4.1733393414329321</v>
      </c>
      <c r="CB454">
        <v>515332</v>
      </c>
      <c r="CC454" s="8">
        <f t="shared" si="36"/>
        <v>5.7151195734012248</v>
      </c>
      <c r="CD454" s="8">
        <f t="shared" si="37"/>
        <v>1.369435625965397</v>
      </c>
      <c r="CE454">
        <v>316</v>
      </c>
      <c r="CF454" s="8">
        <f t="shared" si="38"/>
        <v>2233.2721518987341</v>
      </c>
      <c r="CG454" s="8">
        <f t="shared" si="39"/>
        <v>9320.2025316455693</v>
      </c>
      <c r="CH454">
        <v>101.36511</v>
      </c>
    </row>
    <row r="455" spans="1:86" ht="15.5" x14ac:dyDescent="0.35">
      <c r="A455" t="s">
        <v>104</v>
      </c>
      <c r="B455">
        <v>2021</v>
      </c>
      <c r="C455" s="2">
        <v>47.055300000000003</v>
      </c>
      <c r="D455">
        <v>3499.3910000000001</v>
      </c>
      <c r="E455">
        <v>5.5300000000000002E-2</v>
      </c>
      <c r="F455">
        <v>3.1383000000000001</v>
      </c>
      <c r="G455">
        <v>2220</v>
      </c>
      <c r="H455">
        <v>11</v>
      </c>
      <c r="I455" s="19">
        <v>107.119</v>
      </c>
      <c r="J455" s="19">
        <v>106.33</v>
      </c>
      <c r="K455" s="19">
        <v>6.2510000000000003</v>
      </c>
      <c r="L455" s="19">
        <v>62.857100000000003</v>
      </c>
      <c r="M455" s="19">
        <v>1851000000</v>
      </c>
      <c r="N455" s="19">
        <v>119.31399999999999</v>
      </c>
      <c r="P455">
        <v>42.183100000000003</v>
      </c>
      <c r="Q455" s="19">
        <v>38240.205999999998</v>
      </c>
      <c r="R455" s="19">
        <v>31420.734</v>
      </c>
      <c r="S455" s="19">
        <v>12.7592</v>
      </c>
      <c r="T455" s="19">
        <v>56748.730300000003</v>
      </c>
      <c r="U455" s="19">
        <v>56748.730300000003</v>
      </c>
      <c r="W455" s="19">
        <v>77.142899999999997</v>
      </c>
      <c r="X455">
        <v>99</v>
      </c>
      <c r="Y455">
        <v>99</v>
      </c>
      <c r="Z455">
        <v>90</v>
      </c>
      <c r="AA455">
        <v>5.0999999999999996</v>
      </c>
      <c r="AB455">
        <v>87.5</v>
      </c>
      <c r="AC455">
        <v>82.258499999999998</v>
      </c>
      <c r="AD455">
        <v>99.812799999999996</v>
      </c>
      <c r="AE455">
        <v>10</v>
      </c>
      <c r="AH455">
        <v>9.2999999999999999E-2</v>
      </c>
      <c r="AI455">
        <v>5.8</v>
      </c>
      <c r="AJ455">
        <v>5.4</v>
      </c>
      <c r="AK455">
        <v>6.2</v>
      </c>
      <c r="AL455">
        <v>58.918799999999997</v>
      </c>
      <c r="AM455">
        <v>3.9</v>
      </c>
      <c r="AN455">
        <v>4638</v>
      </c>
      <c r="AO455">
        <v>0</v>
      </c>
      <c r="AP455">
        <v>100</v>
      </c>
      <c r="AQ455">
        <v>99.964399999999998</v>
      </c>
      <c r="AR455">
        <v>99.79</v>
      </c>
      <c r="AV455" s="19">
        <v>77.830200000000005</v>
      </c>
      <c r="AX455">
        <v>16.7</v>
      </c>
      <c r="AZ455">
        <v>6</v>
      </c>
      <c r="BA455">
        <v>88.176400000000001</v>
      </c>
      <c r="BB455">
        <v>13.4328</v>
      </c>
      <c r="BC455">
        <v>6.9819000000000004</v>
      </c>
      <c r="BD455" s="19">
        <v>13.301</v>
      </c>
      <c r="BE455" s="19">
        <v>74.285700000000006</v>
      </c>
      <c r="BF455">
        <v>11.889799999999999</v>
      </c>
      <c r="BG455">
        <v>8.6</v>
      </c>
      <c r="BH455" s="20">
        <v>0.65210000000000001</v>
      </c>
      <c r="BI455" s="20">
        <v>2157.5551999999998</v>
      </c>
      <c r="BJ455" s="19">
        <v>77.142899999999997</v>
      </c>
      <c r="BN455">
        <v>7</v>
      </c>
      <c r="BO455">
        <v>10.224</v>
      </c>
      <c r="BP455">
        <v>6.47</v>
      </c>
      <c r="BQ455" s="19">
        <v>104.1151</v>
      </c>
      <c r="BS455" s="20">
        <v>3.3940000000000001</v>
      </c>
      <c r="BT455" s="20">
        <v>3.403</v>
      </c>
      <c r="BU455" s="20">
        <v>9.4060000000000006</v>
      </c>
      <c r="BV455" s="20">
        <v>9.4440000000000008</v>
      </c>
      <c r="BW455" s="19">
        <v>82.608699999999999</v>
      </c>
      <c r="BX455">
        <v>18.190000000000001</v>
      </c>
      <c r="BY455" s="5">
        <v>981987</v>
      </c>
      <c r="BZ455" s="6">
        <v>4612959</v>
      </c>
      <c r="CA455" s="7">
        <f t="shared" si="35"/>
        <v>4.6975764444946826</v>
      </c>
      <c r="CB455">
        <v>518536</v>
      </c>
      <c r="CC455" s="8">
        <f t="shared" si="36"/>
        <v>8.8961210022062112</v>
      </c>
      <c r="CD455" s="8">
        <f t="shared" si="37"/>
        <v>1.8937682243855778</v>
      </c>
      <c r="CE455">
        <v>316</v>
      </c>
      <c r="CF455" s="8">
        <f t="shared" si="38"/>
        <v>3107.5537974683543</v>
      </c>
      <c r="CG455" s="8">
        <f t="shared" si="39"/>
        <v>14597.971518987342</v>
      </c>
      <c r="CH455">
        <v>99.306079999999994</v>
      </c>
    </row>
    <row r="456" spans="1:86" ht="15.5" x14ac:dyDescent="0.35">
      <c r="A456" t="s">
        <v>104</v>
      </c>
      <c r="B456">
        <v>2022</v>
      </c>
      <c r="C456" s="2">
        <v>48.139000000000003</v>
      </c>
      <c r="E456">
        <v>5.74E-2</v>
      </c>
      <c r="F456">
        <v>3.3104</v>
      </c>
      <c r="H456">
        <v>11</v>
      </c>
      <c r="I456" s="19">
        <v>113.68600000000001</v>
      </c>
      <c r="J456" s="19">
        <v>114.08</v>
      </c>
      <c r="K456" s="19">
        <v>8.7970000000000006</v>
      </c>
      <c r="L456" s="19">
        <v>61.792499999999997</v>
      </c>
      <c r="M456" s="19">
        <v>-145000000</v>
      </c>
      <c r="N456" s="19"/>
      <c r="P456">
        <v>43.445</v>
      </c>
      <c r="Q456" s="19">
        <v>37015.18</v>
      </c>
      <c r="R456" s="19">
        <v>31925.185399999998</v>
      </c>
      <c r="S456" s="19">
        <v>1.6054999999999999</v>
      </c>
      <c r="T456" s="19">
        <v>57659.815799999997</v>
      </c>
      <c r="U456" s="19">
        <v>60352.483099999998</v>
      </c>
      <c r="W456" s="19">
        <v>76.886799999999994</v>
      </c>
      <c r="X456">
        <v>98</v>
      </c>
      <c r="Y456">
        <v>98</v>
      </c>
      <c r="Z456">
        <v>96</v>
      </c>
      <c r="AA456">
        <v>5</v>
      </c>
      <c r="AB456">
        <v>91.5</v>
      </c>
      <c r="AC456">
        <v>82.448800000000006</v>
      </c>
      <c r="AD456">
        <v>98.549099999999996</v>
      </c>
      <c r="AE456">
        <v>10</v>
      </c>
      <c r="AI456">
        <v>5.7</v>
      </c>
      <c r="AJ456">
        <v>5.2</v>
      </c>
      <c r="AK456">
        <v>6</v>
      </c>
      <c r="AL456">
        <v>59.168999999999997</v>
      </c>
      <c r="AM456">
        <v>3.8</v>
      </c>
      <c r="AN456">
        <v>2480</v>
      </c>
      <c r="AO456">
        <v>0</v>
      </c>
      <c r="AP456">
        <v>100</v>
      </c>
      <c r="AQ456">
        <v>99.964399999999998</v>
      </c>
      <c r="AR456">
        <v>99.772400000000005</v>
      </c>
      <c r="AV456" s="19">
        <v>79.716999999999999</v>
      </c>
      <c r="AY456">
        <v>2</v>
      </c>
      <c r="AZ456">
        <v>6</v>
      </c>
      <c r="BA456">
        <v>88.176400000000001</v>
      </c>
      <c r="BB456">
        <v>27.848099999999999</v>
      </c>
      <c r="BC456">
        <v>6.3818999999999999</v>
      </c>
      <c r="BD456" s="19">
        <v>4.2690000000000001</v>
      </c>
      <c r="BE456" s="19">
        <v>73.113200000000006</v>
      </c>
      <c r="BH456" s="20">
        <v>0.60429999999999995</v>
      </c>
      <c r="BI456" s="20">
        <v>2427.5623000000001</v>
      </c>
      <c r="BJ456" s="19">
        <v>76.415099999999995</v>
      </c>
      <c r="BN456">
        <v>7</v>
      </c>
      <c r="BO456">
        <v>6.2110000000000003</v>
      </c>
      <c r="BQ456" s="19"/>
      <c r="BS456" s="20">
        <v>2.9209999999999998</v>
      </c>
      <c r="BT456" s="20">
        <v>2.9289999999999998</v>
      </c>
      <c r="BU456" s="20">
        <v>8.24</v>
      </c>
      <c r="BV456" s="20">
        <v>8.2710000000000008</v>
      </c>
      <c r="BW456" s="19">
        <v>83.5749</v>
      </c>
      <c r="BX456">
        <v>21.02</v>
      </c>
      <c r="BY456" s="5">
        <v>1814161</v>
      </c>
      <c r="BZ456" s="6">
        <v>8210424</v>
      </c>
      <c r="CA456" s="7">
        <f t="shared" si="35"/>
        <v>4.5257416513749327</v>
      </c>
      <c r="CB456">
        <v>531511</v>
      </c>
      <c r="CC456" s="8">
        <f t="shared" si="36"/>
        <v>15.447326584021779</v>
      </c>
      <c r="CD456" s="8">
        <f t="shared" si="37"/>
        <v>3.4132144019596962</v>
      </c>
      <c r="CE456">
        <v>316</v>
      </c>
      <c r="CF456" s="8">
        <f t="shared" si="38"/>
        <v>5741.0158227848106</v>
      </c>
      <c r="CG456" s="8">
        <f t="shared" si="39"/>
        <v>25982.354430379746</v>
      </c>
      <c r="CH456">
        <v>96.765469999999993</v>
      </c>
    </row>
    <row r="457" spans="1:86" ht="15.5" x14ac:dyDescent="0.35">
      <c r="A457" t="s">
        <v>104</v>
      </c>
      <c r="B457">
        <v>2023</v>
      </c>
      <c r="C457" s="26">
        <v>49.146500000000003</v>
      </c>
      <c r="E457">
        <v>5.11E-2</v>
      </c>
      <c r="F457">
        <v>3.0476999999999999</v>
      </c>
      <c r="H457">
        <v>11</v>
      </c>
      <c r="I457" s="19">
        <v>120.011</v>
      </c>
      <c r="J457" s="19">
        <v>118.3</v>
      </c>
      <c r="K457" s="19">
        <v>6.0270000000000001</v>
      </c>
      <c r="L457" s="19">
        <v>58.490600000000001</v>
      </c>
      <c r="M457" s="19">
        <v>1423000000</v>
      </c>
      <c r="N457" s="19"/>
      <c r="P457">
        <v>44.280200000000001</v>
      </c>
      <c r="Q457" s="19">
        <v>40987.245999999999</v>
      </c>
      <c r="R457" s="19">
        <v>33000.593099999998</v>
      </c>
      <c r="S457" s="19">
        <v>3.3685</v>
      </c>
      <c r="T457" s="19">
        <v>59602.100899999998</v>
      </c>
      <c r="U457" s="19">
        <v>63419.823700000001</v>
      </c>
      <c r="W457" s="19">
        <v>65.566000000000003</v>
      </c>
      <c r="X457">
        <v>98</v>
      </c>
      <c r="Y457">
        <v>98</v>
      </c>
      <c r="Z457">
        <v>95</v>
      </c>
      <c r="AA457">
        <v>4.8</v>
      </c>
      <c r="AB457">
        <v>92.1</v>
      </c>
      <c r="AC457">
        <v>83.507300000000001</v>
      </c>
      <c r="AE457">
        <v>8</v>
      </c>
      <c r="AI457">
        <v>5.5</v>
      </c>
      <c r="AJ457">
        <v>5.0999999999999996</v>
      </c>
      <c r="AK457">
        <v>5.9</v>
      </c>
      <c r="AL457" s="24">
        <v>59.168999999999997</v>
      </c>
      <c r="AM457">
        <v>3.7</v>
      </c>
      <c r="AN457">
        <v>6591</v>
      </c>
      <c r="AV457" s="19">
        <v>77.251199999999997</v>
      </c>
      <c r="AY457" s="25">
        <v>2</v>
      </c>
      <c r="AZ457">
        <v>6</v>
      </c>
      <c r="BB457">
        <v>27.848099999999999</v>
      </c>
      <c r="BD457" s="19">
        <v>6.7969999999999997</v>
      </c>
      <c r="BE457" s="19">
        <v>74.056600000000003</v>
      </c>
      <c r="BH457" s="20"/>
      <c r="BI457" s="20"/>
      <c r="BJ457" s="19">
        <v>75.471699999999998</v>
      </c>
      <c r="BN457">
        <v>7</v>
      </c>
      <c r="BO457">
        <v>8.157</v>
      </c>
      <c r="BQ457" s="19"/>
      <c r="BS457" s="20">
        <v>3.11</v>
      </c>
      <c r="BT457" s="20">
        <v>3.11</v>
      </c>
      <c r="BU457" s="20">
        <v>9.1660000000000004</v>
      </c>
      <c r="BV457" s="20">
        <v>9.1379999999999999</v>
      </c>
      <c r="BW457" s="19">
        <v>76.960800000000006</v>
      </c>
      <c r="BX457">
        <v>18.21</v>
      </c>
      <c r="BY457" s="5">
        <v>2252000</v>
      </c>
      <c r="BZ457" s="6">
        <v>9892292</v>
      </c>
      <c r="CA457" s="7">
        <f t="shared" si="35"/>
        <v>4.3926696269982237</v>
      </c>
      <c r="CB457">
        <v>552747</v>
      </c>
      <c r="CC457" s="8">
        <f t="shared" si="36"/>
        <v>17.896600072004009</v>
      </c>
      <c r="CD457" s="8">
        <f t="shared" si="37"/>
        <v>4.0741966939666794</v>
      </c>
      <c r="CE457">
        <v>316</v>
      </c>
      <c r="CF457" s="8">
        <f t="shared" si="38"/>
        <v>7126.5822784810125</v>
      </c>
      <c r="CG457" s="8">
        <f t="shared" si="39"/>
        <v>31304.721518987342</v>
      </c>
      <c r="CH457">
        <v>96.470209999999994</v>
      </c>
    </row>
    <row r="458" spans="1:86" ht="15.5" x14ac:dyDescent="0.35">
      <c r="A458" t="s">
        <v>105</v>
      </c>
      <c r="B458">
        <v>2000</v>
      </c>
      <c r="C458" s="2">
        <v>47.599699999999999</v>
      </c>
      <c r="D458">
        <v>233101.6</v>
      </c>
      <c r="E458">
        <v>0.1983</v>
      </c>
      <c r="F458">
        <v>11.1089</v>
      </c>
      <c r="G458">
        <v>215000</v>
      </c>
      <c r="H458">
        <v>13</v>
      </c>
      <c r="I458" s="19">
        <v>74.522000000000006</v>
      </c>
      <c r="J458" s="19">
        <v>75.75</v>
      </c>
      <c r="K458" s="19">
        <v>4.9669999999999996</v>
      </c>
      <c r="L458" s="19">
        <v>96.808499999999995</v>
      </c>
      <c r="M458" s="19">
        <v>7257000000</v>
      </c>
      <c r="N458" s="19">
        <v>40.767400000000002</v>
      </c>
      <c r="O458">
        <v>21.532</v>
      </c>
      <c r="P458">
        <v>1.6191</v>
      </c>
      <c r="Q458" s="19">
        <v>26338.583999999999</v>
      </c>
      <c r="R458" s="19">
        <v>40665.338100000001</v>
      </c>
      <c r="S458" s="19">
        <v>3.4775</v>
      </c>
      <c r="T458" s="19">
        <v>56016.8727</v>
      </c>
      <c r="U458" s="19">
        <v>31887.853500000001</v>
      </c>
      <c r="W458" s="19">
        <v>98.9071</v>
      </c>
      <c r="X458">
        <v>97</v>
      </c>
      <c r="Z458">
        <v>96</v>
      </c>
      <c r="AA458">
        <v>5.0999999999999996</v>
      </c>
      <c r="AB458">
        <v>44</v>
      </c>
      <c r="AC458">
        <v>77.987799999999993</v>
      </c>
      <c r="AE458">
        <v>13</v>
      </c>
      <c r="AF458">
        <v>91.4221</v>
      </c>
      <c r="AG458">
        <v>7.5</v>
      </c>
      <c r="AH458">
        <v>0.11</v>
      </c>
      <c r="AI458">
        <v>6.2</v>
      </c>
      <c r="AJ458">
        <v>5.5</v>
      </c>
      <c r="AK458">
        <v>6.8</v>
      </c>
      <c r="AL458">
        <v>64.929900000000004</v>
      </c>
      <c r="AM458">
        <v>3.8</v>
      </c>
      <c r="AN458">
        <v>59308</v>
      </c>
      <c r="AO458">
        <v>0</v>
      </c>
      <c r="AP458">
        <v>100</v>
      </c>
      <c r="AQ458">
        <v>98.0565</v>
      </c>
      <c r="AR458">
        <v>99.993899999999996</v>
      </c>
      <c r="AS458">
        <v>97.420699999999997</v>
      </c>
      <c r="AT458">
        <v>97.446899999999999</v>
      </c>
      <c r="AU458">
        <v>19.1568</v>
      </c>
      <c r="AV458" s="19">
        <v>100</v>
      </c>
      <c r="AY458">
        <v>2</v>
      </c>
      <c r="AZ458">
        <v>6</v>
      </c>
      <c r="BA458">
        <v>97.440799999999996</v>
      </c>
      <c r="BB458">
        <v>36</v>
      </c>
      <c r="BC458">
        <v>5.3105000000000002</v>
      </c>
      <c r="BD458" s="19">
        <v>4.2279999999999998</v>
      </c>
      <c r="BE458" s="19">
        <v>99.456500000000005</v>
      </c>
      <c r="BF458">
        <v>3.3147000000000002</v>
      </c>
      <c r="BG458">
        <v>1.7</v>
      </c>
      <c r="BH458" s="20">
        <v>1.7898000000000001</v>
      </c>
      <c r="BI458" s="20">
        <v>2637.9321</v>
      </c>
      <c r="BJ458" s="19">
        <v>95.522400000000005</v>
      </c>
      <c r="BK458">
        <v>0.9788</v>
      </c>
      <c r="BL458">
        <v>0.96789999999999998</v>
      </c>
      <c r="BM458">
        <v>0.95779999999999998</v>
      </c>
      <c r="BN458">
        <v>6</v>
      </c>
      <c r="BO458">
        <v>4.234</v>
      </c>
      <c r="BP458">
        <v>9.52</v>
      </c>
      <c r="BQ458" s="19">
        <v>105.7039</v>
      </c>
      <c r="BR458">
        <v>92.797600000000003</v>
      </c>
      <c r="BS458" s="20">
        <v>2.7250000000000001</v>
      </c>
      <c r="BT458" s="20">
        <v>2.7250000000000001</v>
      </c>
      <c r="BU458" s="20">
        <v>5.1920000000000002</v>
      </c>
      <c r="BV458" s="20">
        <v>5.258</v>
      </c>
      <c r="BW458" s="19">
        <v>98.009900000000002</v>
      </c>
      <c r="BX458">
        <v>16.61</v>
      </c>
      <c r="BY458" s="6">
        <v>25875000</v>
      </c>
      <c r="BZ458" s="5">
        <v>81263000</v>
      </c>
      <c r="CA458" s="7">
        <f t="shared" si="35"/>
        <v>3.1405990338164251</v>
      </c>
      <c r="CB458">
        <v>15925513</v>
      </c>
      <c r="CC458" s="8">
        <f t="shared" si="36"/>
        <v>5.1026927672596791</v>
      </c>
      <c r="CD458" s="8">
        <f t="shared" si="37"/>
        <v>1.6247514287294857</v>
      </c>
      <c r="CE458">
        <v>37377</v>
      </c>
      <c r="CF458" s="8">
        <f t="shared" si="38"/>
        <v>692.2706477245365</v>
      </c>
      <c r="CG458" s="8">
        <f t="shared" si="39"/>
        <v>2174.14452738315</v>
      </c>
      <c r="CH458">
        <v>97.5261</v>
      </c>
    </row>
    <row r="459" spans="1:86" ht="15.5" x14ac:dyDescent="0.35">
      <c r="A459" t="s">
        <v>105</v>
      </c>
      <c r="B459">
        <v>2001</v>
      </c>
      <c r="C459" s="2">
        <v>47.723500000000001</v>
      </c>
      <c r="D459">
        <v>244263.5</v>
      </c>
      <c r="E459">
        <v>0.19889999999999999</v>
      </c>
      <c r="F459">
        <v>11.3124</v>
      </c>
      <c r="G459">
        <v>217000</v>
      </c>
      <c r="H459">
        <v>13</v>
      </c>
      <c r="I459" s="19">
        <v>78.331999999999994</v>
      </c>
      <c r="J459" s="19">
        <v>79.75</v>
      </c>
      <c r="K459" s="19">
        <v>3.9790000000000001</v>
      </c>
      <c r="L459" s="19"/>
      <c r="M459" s="19">
        <v>9814000000</v>
      </c>
      <c r="N459" s="19">
        <v>40.469499999999996</v>
      </c>
      <c r="O459">
        <v>22.396000000000001</v>
      </c>
      <c r="P459">
        <v>2.8809</v>
      </c>
      <c r="Q459" s="19">
        <v>27055.556</v>
      </c>
      <c r="R459" s="19">
        <v>41297.319799999997</v>
      </c>
      <c r="S459" s="19">
        <v>1.5541</v>
      </c>
      <c r="T459" s="19">
        <v>56887.433199999999</v>
      </c>
      <c r="U459" s="19">
        <v>33262.982400000001</v>
      </c>
      <c r="W459" s="19"/>
      <c r="X459">
        <v>97</v>
      </c>
      <c r="Z459">
        <v>95</v>
      </c>
      <c r="AA459">
        <v>5</v>
      </c>
      <c r="AB459">
        <v>49.4</v>
      </c>
      <c r="AC459">
        <v>78.190200000000004</v>
      </c>
      <c r="AE459">
        <v>13</v>
      </c>
      <c r="AF459">
        <v>91.511700000000005</v>
      </c>
      <c r="AG459">
        <v>7</v>
      </c>
      <c r="AH459">
        <v>0.11</v>
      </c>
      <c r="AI459">
        <v>6.1</v>
      </c>
      <c r="AJ459">
        <v>5.4</v>
      </c>
      <c r="AK459">
        <v>6.7</v>
      </c>
      <c r="AL459">
        <v>64.076300000000003</v>
      </c>
      <c r="AM459">
        <v>3.8</v>
      </c>
      <c r="AN459">
        <v>56096</v>
      </c>
      <c r="AO459">
        <v>0</v>
      </c>
      <c r="AP459">
        <v>100</v>
      </c>
      <c r="AQ459">
        <v>98.031700000000001</v>
      </c>
      <c r="AR459">
        <v>99.992699999999999</v>
      </c>
      <c r="AS459">
        <v>97.420699999999997</v>
      </c>
      <c r="AT459">
        <v>97.446899999999999</v>
      </c>
      <c r="AU459">
        <v>18.809100000000001</v>
      </c>
      <c r="AV459" s="19"/>
      <c r="AY459">
        <v>2</v>
      </c>
      <c r="AZ459">
        <v>6</v>
      </c>
      <c r="BA459">
        <v>97.441100000000006</v>
      </c>
      <c r="BB459">
        <v>36</v>
      </c>
      <c r="BC459">
        <v>5.6016000000000004</v>
      </c>
      <c r="BD459" s="19">
        <v>2.3279999999999998</v>
      </c>
      <c r="BE459" s="19"/>
      <c r="BF459">
        <v>3.5255999999999998</v>
      </c>
      <c r="BG459">
        <v>1.8</v>
      </c>
      <c r="BH459" s="20">
        <v>1.7961</v>
      </c>
      <c r="BI459" s="20">
        <v>2828.2982999999999</v>
      </c>
      <c r="BJ459" s="19"/>
      <c r="BK459">
        <v>0.97929999999999995</v>
      </c>
      <c r="BL459">
        <v>0.97340000000000004</v>
      </c>
      <c r="BM459">
        <v>0.96779999999999999</v>
      </c>
      <c r="BN459">
        <v>6</v>
      </c>
      <c r="BO459">
        <v>4.0060000000000002</v>
      </c>
      <c r="BP459">
        <v>9.5500000000000007</v>
      </c>
      <c r="BQ459" s="19">
        <v>107.16200000000001</v>
      </c>
      <c r="BR459">
        <v>94.264399999999995</v>
      </c>
      <c r="BS459" s="20">
        <v>2.1190000000000002</v>
      </c>
      <c r="BT459" s="20">
        <v>2.1190000000000002</v>
      </c>
      <c r="BU459" s="20">
        <v>4.3259999999999996</v>
      </c>
      <c r="BV459" s="20">
        <v>4.3719999999999999</v>
      </c>
      <c r="BW459" s="19"/>
      <c r="BX459">
        <v>12.82</v>
      </c>
      <c r="BY459" s="6">
        <v>25186000</v>
      </c>
      <c r="BZ459" s="5">
        <v>80475000</v>
      </c>
      <c r="CA459" s="7">
        <f t="shared" si="35"/>
        <v>3.1952275073453507</v>
      </c>
      <c r="CB459">
        <v>16046180</v>
      </c>
      <c r="CC459" s="8">
        <f t="shared" si="36"/>
        <v>5.0152123433739373</v>
      </c>
      <c r="CD459" s="8">
        <f t="shared" si="37"/>
        <v>1.5695947571322271</v>
      </c>
      <c r="CE459">
        <v>37377</v>
      </c>
      <c r="CF459" s="8">
        <f t="shared" si="38"/>
        <v>673.83685153971692</v>
      </c>
      <c r="CG459" s="8">
        <f t="shared" si="39"/>
        <v>2153.062043502689</v>
      </c>
      <c r="CH459">
        <v>100.38464</v>
      </c>
    </row>
    <row r="460" spans="1:86" ht="15.5" x14ac:dyDescent="0.35">
      <c r="A460" t="s">
        <v>105</v>
      </c>
      <c r="B460">
        <v>2002</v>
      </c>
      <c r="C460" s="2">
        <v>47.777999999999999</v>
      </c>
      <c r="D460">
        <v>246104.4</v>
      </c>
      <c r="E460">
        <v>0.1988</v>
      </c>
      <c r="F460">
        <v>11.264099999999999</v>
      </c>
      <c r="G460">
        <v>215000</v>
      </c>
      <c r="H460">
        <v>13</v>
      </c>
      <c r="I460" s="19">
        <v>81.350999999999999</v>
      </c>
      <c r="J460" s="19">
        <v>82.38</v>
      </c>
      <c r="K460" s="19">
        <v>4.1139999999999999</v>
      </c>
      <c r="L460" s="19">
        <v>96.296300000000002</v>
      </c>
      <c r="M460" s="19">
        <v>11032000000</v>
      </c>
      <c r="N460" s="19">
        <v>42.784100000000002</v>
      </c>
      <c r="O460">
        <v>21.699000000000002</v>
      </c>
      <c r="P460">
        <v>7.1890999999999998</v>
      </c>
      <c r="Q460" s="19">
        <v>29505.471000000001</v>
      </c>
      <c r="R460" s="19">
        <v>41135.419099999999</v>
      </c>
      <c r="S460" s="19">
        <v>-0.39200000000000002</v>
      </c>
      <c r="T460" s="19">
        <v>56664.413500000002</v>
      </c>
      <c r="U460" s="19">
        <v>34568.459300000002</v>
      </c>
      <c r="W460" s="19">
        <v>96.756799999999998</v>
      </c>
      <c r="X460">
        <v>97</v>
      </c>
      <c r="Z460">
        <v>95</v>
      </c>
      <c r="AA460">
        <v>4.9000000000000004</v>
      </c>
      <c r="AB460">
        <v>61.3</v>
      </c>
      <c r="AC460">
        <v>78.292699999999996</v>
      </c>
      <c r="AE460">
        <v>13</v>
      </c>
      <c r="AF460">
        <v>91.612700000000004</v>
      </c>
      <c r="AG460">
        <v>6.8</v>
      </c>
      <c r="AH460">
        <v>0.16</v>
      </c>
      <c r="AI460">
        <v>5.9</v>
      </c>
      <c r="AJ460">
        <v>5.3</v>
      </c>
      <c r="AK460">
        <v>6.5</v>
      </c>
      <c r="AL460">
        <v>64.242999999999995</v>
      </c>
      <c r="AM460">
        <v>3.7</v>
      </c>
      <c r="AN460">
        <v>28824</v>
      </c>
      <c r="AO460">
        <v>0</v>
      </c>
      <c r="AP460">
        <v>100</v>
      </c>
      <c r="AQ460">
        <v>98.000799999999998</v>
      </c>
      <c r="AR460">
        <v>99.991500000000002</v>
      </c>
      <c r="AS460">
        <v>97.420400000000001</v>
      </c>
      <c r="AT460">
        <v>97.446899999999999</v>
      </c>
      <c r="AU460">
        <v>18.4176</v>
      </c>
      <c r="AV460" s="19">
        <v>93.121700000000004</v>
      </c>
      <c r="AY460">
        <v>2</v>
      </c>
      <c r="AZ460">
        <v>6</v>
      </c>
      <c r="BA460">
        <v>97.441400000000002</v>
      </c>
      <c r="BB460">
        <v>34</v>
      </c>
      <c r="BC460">
        <v>6.0404999999999998</v>
      </c>
      <c r="BD460" s="19">
        <v>0.246</v>
      </c>
      <c r="BE460" s="19">
        <v>98.918899999999994</v>
      </c>
      <c r="BF460">
        <v>4.1418999999999997</v>
      </c>
      <c r="BG460">
        <v>1.9</v>
      </c>
      <c r="BH460" s="20">
        <v>1.7454000000000001</v>
      </c>
      <c r="BI460" s="20">
        <v>2701.1642999999999</v>
      </c>
      <c r="BJ460" s="19">
        <v>95.024900000000002</v>
      </c>
      <c r="BK460">
        <v>0.9788</v>
      </c>
      <c r="BL460">
        <v>0.97550000000000003</v>
      </c>
      <c r="BM460">
        <v>0.97230000000000005</v>
      </c>
      <c r="BN460">
        <v>6</v>
      </c>
      <c r="BO460">
        <v>3.8620000000000001</v>
      </c>
      <c r="BP460">
        <v>9.9600000000000009</v>
      </c>
      <c r="BQ460" s="19">
        <v>104.7585</v>
      </c>
      <c r="BR460">
        <v>93.537300000000002</v>
      </c>
      <c r="BS460" s="20">
        <v>2.5539999999999998</v>
      </c>
      <c r="BT460" s="20">
        <v>2.5539999999999998</v>
      </c>
      <c r="BU460" s="20">
        <v>4.5410000000000004</v>
      </c>
      <c r="BV460" s="20">
        <v>4.5819999999999999</v>
      </c>
      <c r="BW460" s="19">
        <v>96.019900000000007</v>
      </c>
      <c r="BX460">
        <v>12.98</v>
      </c>
      <c r="BY460" s="6">
        <v>25164300</v>
      </c>
      <c r="BZ460" s="5">
        <v>82371500</v>
      </c>
      <c r="CA460" s="7">
        <f t="shared" si="35"/>
        <v>3.2733475598367527</v>
      </c>
      <c r="CB460">
        <v>16148929</v>
      </c>
      <c r="CC460" s="8">
        <f t="shared" si="36"/>
        <v>5.1007407364290227</v>
      </c>
      <c r="CD460" s="8">
        <f t="shared" si="37"/>
        <v>1.5582643282412103</v>
      </c>
      <c r="CE460">
        <v>37377</v>
      </c>
      <c r="CF460" s="8">
        <f t="shared" si="38"/>
        <v>673.25628060036922</v>
      </c>
      <c r="CG460" s="8">
        <f t="shared" si="39"/>
        <v>2203.8018032479868</v>
      </c>
      <c r="CH460">
        <v>102.09251</v>
      </c>
    </row>
    <row r="461" spans="1:86" ht="15.5" x14ac:dyDescent="0.35">
      <c r="A461" t="s">
        <v>105</v>
      </c>
      <c r="B461">
        <v>2003</v>
      </c>
      <c r="C461" s="2">
        <v>47.883699999999997</v>
      </c>
      <c r="D461">
        <v>261415.5</v>
      </c>
      <c r="E461">
        <v>0.20130000000000001</v>
      </c>
      <c r="F461">
        <v>11.361599999999999</v>
      </c>
      <c r="G461">
        <v>216000</v>
      </c>
      <c r="H461">
        <v>13</v>
      </c>
      <c r="I461" s="19">
        <v>83.161000000000001</v>
      </c>
      <c r="J461" s="19">
        <v>83.69</v>
      </c>
      <c r="K461" s="19">
        <v>3.5779999999999998</v>
      </c>
      <c r="L461" s="19">
        <v>95.767200000000003</v>
      </c>
      <c r="M461" s="19">
        <v>29892000000</v>
      </c>
      <c r="N461" s="19">
        <v>51.891800000000003</v>
      </c>
      <c r="O461">
        <v>21.379000000000001</v>
      </c>
      <c r="P461">
        <v>12.1465</v>
      </c>
      <c r="Q461" s="19">
        <v>35960.302000000003</v>
      </c>
      <c r="R461" s="19">
        <v>40981.847699999998</v>
      </c>
      <c r="S461" s="19">
        <v>-0.37330000000000002</v>
      </c>
      <c r="T461" s="19">
        <v>56452.8675</v>
      </c>
      <c r="U461" s="19">
        <v>34290.754999999997</v>
      </c>
      <c r="W461" s="19">
        <v>97.837800000000001</v>
      </c>
      <c r="X461">
        <v>98</v>
      </c>
      <c r="Z461">
        <v>96</v>
      </c>
      <c r="AA461">
        <v>4.8</v>
      </c>
      <c r="AB461">
        <v>64.400000000000006</v>
      </c>
      <c r="AC461">
        <v>78.492699999999999</v>
      </c>
      <c r="AE461">
        <v>12</v>
      </c>
      <c r="AF461">
        <v>91.757499999999993</v>
      </c>
      <c r="AG461">
        <v>6.9</v>
      </c>
      <c r="AH461">
        <v>5.1999999999999998E-2</v>
      </c>
      <c r="AI461">
        <v>5.7</v>
      </c>
      <c r="AJ461">
        <v>5.0999999999999996</v>
      </c>
      <c r="AK461">
        <v>6.3</v>
      </c>
      <c r="AL461">
        <v>64.080500000000001</v>
      </c>
      <c r="AM461">
        <v>3.6</v>
      </c>
      <c r="AN461">
        <v>7937</v>
      </c>
      <c r="AO461">
        <v>0</v>
      </c>
      <c r="AP461">
        <v>100</v>
      </c>
      <c r="AQ461">
        <v>97.971299999999999</v>
      </c>
      <c r="AR461">
        <v>99.990300000000005</v>
      </c>
      <c r="AS461">
        <v>97.420100000000005</v>
      </c>
      <c r="AT461">
        <v>97.446899999999999</v>
      </c>
      <c r="AU461">
        <v>18.0181</v>
      </c>
      <c r="AV461" s="19">
        <v>87.437200000000004</v>
      </c>
      <c r="AY461">
        <v>2</v>
      </c>
      <c r="AZ461">
        <v>6</v>
      </c>
      <c r="BA461">
        <v>97.441599999999994</v>
      </c>
      <c r="BB461">
        <v>36.666699999999999</v>
      </c>
      <c r="BC461">
        <v>6.3433000000000002</v>
      </c>
      <c r="BD461" s="19">
        <v>9.8000000000000004E-2</v>
      </c>
      <c r="BE461" s="19">
        <v>97.297300000000007</v>
      </c>
      <c r="BF461">
        <v>4.0921000000000003</v>
      </c>
      <c r="BG461">
        <v>1.9</v>
      </c>
      <c r="BH461" s="20">
        <v>1.7839</v>
      </c>
      <c r="BI461" s="20">
        <v>2681.9758000000002</v>
      </c>
      <c r="BJ461" s="19">
        <v>95.024900000000002</v>
      </c>
      <c r="BK461">
        <v>0.97650000000000003</v>
      </c>
      <c r="BL461">
        <v>0.98119999999999996</v>
      </c>
      <c r="BM461">
        <v>0.98540000000000005</v>
      </c>
      <c r="BN461">
        <v>6</v>
      </c>
      <c r="BO461">
        <v>4.7839999999999998</v>
      </c>
      <c r="BP461">
        <v>9.5500000000000007</v>
      </c>
      <c r="BQ461" s="19">
        <v>105.1833</v>
      </c>
      <c r="BR461">
        <v>90.642499999999998</v>
      </c>
      <c r="BS461" s="20">
        <v>3.593</v>
      </c>
      <c r="BT461" s="20">
        <v>3.593</v>
      </c>
      <c r="BU461" s="20">
        <v>6.5309999999999997</v>
      </c>
      <c r="BV461" s="20">
        <v>6.5839999999999996</v>
      </c>
      <c r="BW461" s="19">
        <v>96.019900000000007</v>
      </c>
      <c r="BX461">
        <v>18.09</v>
      </c>
      <c r="BY461" s="6">
        <v>24942300</v>
      </c>
      <c r="BZ461" s="5">
        <v>81205900</v>
      </c>
      <c r="CA461" s="7">
        <f t="shared" si="35"/>
        <v>3.2557502716269151</v>
      </c>
      <c r="CB461">
        <v>16225302</v>
      </c>
      <c r="CC461" s="8">
        <f t="shared" si="36"/>
        <v>5.004892975181602</v>
      </c>
      <c r="CD461" s="8">
        <f t="shared" si="37"/>
        <v>1.5372471957686829</v>
      </c>
      <c r="CE461">
        <v>37377</v>
      </c>
      <c r="CF461" s="8">
        <f t="shared" si="38"/>
        <v>667.3167991010514</v>
      </c>
      <c r="CG461" s="8">
        <f t="shared" si="39"/>
        <v>2172.6168499344517</v>
      </c>
      <c r="CH461">
        <v>102.76772</v>
      </c>
    </row>
    <row r="462" spans="1:86" ht="15.5" x14ac:dyDescent="0.35">
      <c r="A462" t="s">
        <v>105</v>
      </c>
      <c r="B462">
        <v>2004</v>
      </c>
      <c r="C462" s="2">
        <v>48.048699999999997</v>
      </c>
      <c r="D462">
        <v>268310.3</v>
      </c>
      <c r="E462">
        <v>0.19989999999999999</v>
      </c>
      <c r="F462">
        <v>11.4733</v>
      </c>
      <c r="G462">
        <v>217000</v>
      </c>
      <c r="H462">
        <v>13</v>
      </c>
      <c r="I462" s="19">
        <v>84.311000000000007</v>
      </c>
      <c r="J462" s="19">
        <v>84.73</v>
      </c>
      <c r="K462" s="19">
        <v>4.0730000000000004</v>
      </c>
      <c r="L462" s="19">
        <v>95.566500000000005</v>
      </c>
      <c r="M462" s="19">
        <v>50443000000</v>
      </c>
      <c r="N462" s="19">
        <v>62.656199999999998</v>
      </c>
      <c r="O462">
        <v>22.327999999999999</v>
      </c>
      <c r="P462">
        <v>19.5184</v>
      </c>
      <c r="Q462" s="19">
        <v>40652.199000000001</v>
      </c>
      <c r="R462" s="19">
        <v>41663.147799999999</v>
      </c>
      <c r="S462" s="19">
        <v>1.6624000000000001</v>
      </c>
      <c r="T462" s="19">
        <v>57391.364500000003</v>
      </c>
      <c r="U462" s="19">
        <v>35965.546799999996</v>
      </c>
      <c r="V462">
        <v>29.8</v>
      </c>
      <c r="W462" s="19">
        <v>98.009900000000002</v>
      </c>
      <c r="X462">
        <v>98</v>
      </c>
      <c r="Z462">
        <v>96</v>
      </c>
      <c r="AA462">
        <v>4.5999999999999996</v>
      </c>
      <c r="AB462">
        <v>68.5</v>
      </c>
      <c r="AC462">
        <v>79.095100000000002</v>
      </c>
      <c r="AE462">
        <v>11</v>
      </c>
      <c r="AF462">
        <v>91.978099999999998</v>
      </c>
      <c r="AG462">
        <v>5.6</v>
      </c>
      <c r="AH462">
        <v>0.13</v>
      </c>
      <c r="AI462">
        <v>5.5</v>
      </c>
      <c r="AJ462">
        <v>4.9000000000000004</v>
      </c>
      <c r="AK462">
        <v>6.1</v>
      </c>
      <c r="AL462">
        <v>64.140500000000003</v>
      </c>
      <c r="AM462">
        <v>3.5</v>
      </c>
      <c r="AN462">
        <v>-9230</v>
      </c>
      <c r="AO462">
        <v>0</v>
      </c>
      <c r="AP462">
        <v>100</v>
      </c>
      <c r="AQ462">
        <v>97.943100000000001</v>
      </c>
      <c r="AR462">
        <v>99.989099999999993</v>
      </c>
      <c r="AS462">
        <v>97.423000000000002</v>
      </c>
      <c r="AT462">
        <v>97.450199999999995</v>
      </c>
      <c r="AU462">
        <v>17.6465</v>
      </c>
      <c r="AV462" s="19">
        <v>81.553399999999996</v>
      </c>
      <c r="AW462">
        <v>0.2</v>
      </c>
      <c r="AY462">
        <v>2</v>
      </c>
      <c r="AZ462">
        <v>6</v>
      </c>
      <c r="BA462">
        <v>97.4452</v>
      </c>
      <c r="BB462">
        <v>36.666699999999999</v>
      </c>
      <c r="BC462">
        <v>6.2378</v>
      </c>
      <c r="BD462" s="19">
        <v>2.0129999999999999</v>
      </c>
      <c r="BE462" s="19">
        <v>98.507499999999993</v>
      </c>
      <c r="BF462">
        <v>5.2431000000000001</v>
      </c>
      <c r="BG462">
        <v>2.2000000000000002</v>
      </c>
      <c r="BH462" s="20">
        <v>1.7889999999999999</v>
      </c>
      <c r="BI462" s="20">
        <v>2951.2123999999999</v>
      </c>
      <c r="BJ462" s="19">
        <v>95.192300000000003</v>
      </c>
      <c r="BK462">
        <v>0.97470000000000001</v>
      </c>
      <c r="BL462">
        <v>0.97960000000000003</v>
      </c>
      <c r="BM462">
        <v>0.98399999999999999</v>
      </c>
      <c r="BN462">
        <v>6</v>
      </c>
      <c r="BO462">
        <v>4.8559999999999999</v>
      </c>
      <c r="BP462">
        <v>9.65</v>
      </c>
      <c r="BQ462" s="19">
        <v>104.8369</v>
      </c>
      <c r="BR462">
        <v>88.182500000000005</v>
      </c>
      <c r="BS462" s="20">
        <v>4.6459999999999999</v>
      </c>
      <c r="BT462" s="20">
        <v>4.6459999999999999</v>
      </c>
      <c r="BU462" s="20">
        <v>7.915</v>
      </c>
      <c r="BV462" s="20">
        <v>8.0009999999999994</v>
      </c>
      <c r="BW462" s="19">
        <v>98.076899999999995</v>
      </c>
      <c r="BX462">
        <v>19.690000000000001</v>
      </c>
      <c r="BY462" s="6">
        <v>25672800</v>
      </c>
      <c r="BZ462" s="5">
        <v>80912600</v>
      </c>
      <c r="CA462" s="7">
        <f t="shared" si="35"/>
        <v>3.1516858309183262</v>
      </c>
      <c r="CB462">
        <v>16281779</v>
      </c>
      <c r="CC462" s="8">
        <f t="shared" si="36"/>
        <v>4.9695183800246889</v>
      </c>
      <c r="CD462" s="8">
        <f t="shared" si="37"/>
        <v>1.5767810139174596</v>
      </c>
      <c r="CE462">
        <v>37377</v>
      </c>
      <c r="CF462" s="8">
        <f t="shared" si="38"/>
        <v>686.86090376434709</v>
      </c>
      <c r="CG462" s="8">
        <f t="shared" si="39"/>
        <v>2164.7697782058485</v>
      </c>
      <c r="CH462">
        <v>102.08224</v>
      </c>
    </row>
    <row r="463" spans="1:86" ht="15.5" x14ac:dyDescent="0.35">
      <c r="A463" t="s">
        <v>105</v>
      </c>
      <c r="B463">
        <v>2005</v>
      </c>
      <c r="C463" s="2">
        <v>48.168700000000001</v>
      </c>
      <c r="D463">
        <v>262649.40000000002</v>
      </c>
      <c r="E463">
        <v>0.19109999999999999</v>
      </c>
      <c r="F463">
        <v>11.164300000000001</v>
      </c>
      <c r="G463">
        <v>212000</v>
      </c>
      <c r="H463">
        <v>13</v>
      </c>
      <c r="I463" s="19">
        <v>85.567999999999998</v>
      </c>
      <c r="J463" s="19">
        <v>86.39</v>
      </c>
      <c r="K463" s="19">
        <v>3.875</v>
      </c>
      <c r="L463" s="19">
        <v>96.0976</v>
      </c>
      <c r="M463" s="19">
        <v>45652000000</v>
      </c>
      <c r="N463" s="19">
        <v>71.238200000000006</v>
      </c>
      <c r="O463">
        <v>22.312999999999999</v>
      </c>
      <c r="P463">
        <v>24.900200000000002</v>
      </c>
      <c r="Q463" s="19">
        <v>42225.811000000002</v>
      </c>
      <c r="R463" s="19">
        <v>42411.345300000001</v>
      </c>
      <c r="S463" s="19">
        <v>1.7958000000000001</v>
      </c>
      <c r="T463" s="19">
        <v>58422.013500000001</v>
      </c>
      <c r="U463" s="19">
        <v>37778.486400000002</v>
      </c>
      <c r="V463">
        <v>29</v>
      </c>
      <c r="W463" s="19">
        <v>98.039199999999994</v>
      </c>
      <c r="X463">
        <v>96</v>
      </c>
      <c r="Z463">
        <v>95</v>
      </c>
      <c r="AA463">
        <v>4.4000000000000004</v>
      </c>
      <c r="AB463">
        <v>81</v>
      </c>
      <c r="AC463">
        <v>79.346299999999999</v>
      </c>
      <c r="AE463">
        <v>10</v>
      </c>
      <c r="AF463">
        <v>93.189099999999996</v>
      </c>
      <c r="AG463">
        <v>5.0999999999999996</v>
      </c>
      <c r="AH463">
        <v>0.11</v>
      </c>
      <c r="AI463">
        <v>5.3</v>
      </c>
      <c r="AJ463">
        <v>4.8</v>
      </c>
      <c r="AK463">
        <v>5.8</v>
      </c>
      <c r="AL463">
        <v>64.519599999999997</v>
      </c>
      <c r="AM463">
        <v>3.4</v>
      </c>
      <c r="AN463">
        <v>-22496</v>
      </c>
      <c r="AO463">
        <v>0</v>
      </c>
      <c r="AP463">
        <v>100</v>
      </c>
      <c r="AQ463">
        <v>97.916300000000007</v>
      </c>
      <c r="AR463">
        <v>99.988</v>
      </c>
      <c r="AS463">
        <v>97.425899999999999</v>
      </c>
      <c r="AT463">
        <v>97.453500000000005</v>
      </c>
      <c r="AU463">
        <v>17.338699999999999</v>
      </c>
      <c r="AV463" s="19">
        <v>79.126199999999997</v>
      </c>
      <c r="AW463">
        <v>0.1</v>
      </c>
      <c r="AY463">
        <v>2</v>
      </c>
      <c r="AZ463">
        <v>6</v>
      </c>
      <c r="BA463">
        <v>97.448700000000002</v>
      </c>
      <c r="BB463">
        <v>36.666699999999999</v>
      </c>
      <c r="BC463">
        <v>6.2127999999999997</v>
      </c>
      <c r="BD463" s="19">
        <v>2.0289999999999999</v>
      </c>
      <c r="BE463" s="19">
        <v>98.529399999999995</v>
      </c>
      <c r="BF463">
        <v>7.4527999999999999</v>
      </c>
      <c r="BG463">
        <v>2.7</v>
      </c>
      <c r="BH463" s="20">
        <v>1.7739</v>
      </c>
      <c r="BI463" s="20">
        <v>2908.9845999999998</v>
      </c>
      <c r="BJ463" s="19">
        <v>95.693799999999996</v>
      </c>
      <c r="BK463">
        <v>0.97719999999999996</v>
      </c>
      <c r="BL463">
        <v>0.97889999999999999</v>
      </c>
      <c r="BM463">
        <v>0.98019999999999996</v>
      </c>
      <c r="BN463">
        <v>6</v>
      </c>
      <c r="BO463">
        <v>6.431</v>
      </c>
      <c r="BP463">
        <v>9.7899999999999991</v>
      </c>
      <c r="BQ463" s="19">
        <v>102.01479999999999</v>
      </c>
      <c r="BR463">
        <v>83.631900000000002</v>
      </c>
      <c r="BS463" s="20">
        <v>5.8719999999999999</v>
      </c>
      <c r="BT463" s="20">
        <v>5.8730000000000002</v>
      </c>
      <c r="BU463" s="20">
        <v>11.542</v>
      </c>
      <c r="BV463" s="20">
        <v>11.848000000000001</v>
      </c>
      <c r="BW463" s="19">
        <v>99.038499999999999</v>
      </c>
      <c r="BX463">
        <v>16.059999999999999</v>
      </c>
      <c r="BY463" s="6">
        <v>26193900</v>
      </c>
      <c r="BZ463" s="5">
        <v>80160700</v>
      </c>
      <c r="CA463" s="7">
        <f t="shared" si="35"/>
        <v>3.0602812105108441</v>
      </c>
      <c r="CB463">
        <v>16319868</v>
      </c>
      <c r="CC463" s="8">
        <f t="shared" si="36"/>
        <v>4.9118473262161189</v>
      </c>
      <c r="CD463" s="8">
        <f t="shared" si="37"/>
        <v>1.6050313642242695</v>
      </c>
      <c r="CE463">
        <v>37377</v>
      </c>
      <c r="CF463" s="8">
        <f t="shared" si="38"/>
        <v>700.80263263504298</v>
      </c>
      <c r="CG463" s="8">
        <f t="shared" si="39"/>
        <v>2144.6531289295558</v>
      </c>
      <c r="CH463">
        <v>101.10672</v>
      </c>
    </row>
    <row r="464" spans="1:86" ht="15.5" x14ac:dyDescent="0.35">
      <c r="A464" t="s">
        <v>105</v>
      </c>
      <c r="B464">
        <v>2006</v>
      </c>
      <c r="C464" s="2">
        <v>48.213700000000003</v>
      </c>
      <c r="D464">
        <v>264963.59999999998</v>
      </c>
      <c r="E464">
        <v>0.18010000000000001</v>
      </c>
      <c r="F464">
        <v>10.873799999999999</v>
      </c>
      <c r="G464">
        <v>207000</v>
      </c>
      <c r="H464">
        <v>13</v>
      </c>
      <c r="I464" s="19">
        <v>86.981999999999999</v>
      </c>
      <c r="J464" s="19">
        <v>87.86</v>
      </c>
      <c r="K464" s="19">
        <v>3.7789999999999999</v>
      </c>
      <c r="L464" s="19">
        <v>96.0976</v>
      </c>
      <c r="M464" s="19">
        <v>60042000000</v>
      </c>
      <c r="N464" s="19">
        <v>81.275499999999994</v>
      </c>
      <c r="O464">
        <v>24.231999999999999</v>
      </c>
      <c r="P464">
        <v>31.479600000000001</v>
      </c>
      <c r="Q464" s="19">
        <v>45158.785000000003</v>
      </c>
      <c r="R464" s="19">
        <v>43841.122300000003</v>
      </c>
      <c r="S464" s="19">
        <v>3.3712</v>
      </c>
      <c r="T464" s="19">
        <v>60391.544300000001</v>
      </c>
      <c r="U464" s="19">
        <v>41216.884100000003</v>
      </c>
      <c r="V464">
        <v>30</v>
      </c>
      <c r="W464" s="19">
        <v>94.634100000000004</v>
      </c>
      <c r="X464">
        <v>96</v>
      </c>
      <c r="Z464">
        <v>96</v>
      </c>
      <c r="AA464">
        <v>4.3</v>
      </c>
      <c r="AB464">
        <v>83.7</v>
      </c>
      <c r="AC464">
        <v>79.697599999999994</v>
      </c>
      <c r="AE464">
        <v>9</v>
      </c>
      <c r="AF464">
        <v>93.481800000000007</v>
      </c>
      <c r="AG464">
        <v>5.0999999999999996</v>
      </c>
      <c r="AH464">
        <v>4.3999999999999997E-2</v>
      </c>
      <c r="AI464">
        <v>5.0999999999999996</v>
      </c>
      <c r="AJ464">
        <v>4.5999999999999996</v>
      </c>
      <c r="AK464">
        <v>5.6</v>
      </c>
      <c r="AL464">
        <v>65.818100000000001</v>
      </c>
      <c r="AM464">
        <v>3.3</v>
      </c>
      <c r="AN464">
        <v>-25401</v>
      </c>
      <c r="AO464">
        <v>0</v>
      </c>
      <c r="AP464">
        <v>100</v>
      </c>
      <c r="AQ464">
        <v>97.892200000000003</v>
      </c>
      <c r="AR464">
        <v>99.986800000000002</v>
      </c>
      <c r="AS464">
        <v>97.428899999999999</v>
      </c>
      <c r="AT464">
        <v>97.456800000000001</v>
      </c>
      <c r="AU464">
        <v>17.087399999999999</v>
      </c>
      <c r="AV464" s="19">
        <v>75.845399999999998</v>
      </c>
      <c r="AW464">
        <v>0</v>
      </c>
      <c r="AY464">
        <v>2</v>
      </c>
      <c r="AZ464">
        <v>6</v>
      </c>
      <c r="BA464">
        <v>97.452200000000005</v>
      </c>
      <c r="BB464">
        <v>36.666699999999999</v>
      </c>
      <c r="BC464">
        <v>5.9928999999999997</v>
      </c>
      <c r="BD464" s="19">
        <v>3.5390000000000001</v>
      </c>
      <c r="BE464" s="19">
        <v>97.058800000000005</v>
      </c>
      <c r="BF464">
        <v>8.1449999999999996</v>
      </c>
      <c r="BG464">
        <v>3.1</v>
      </c>
      <c r="BH464" s="20">
        <v>1.7406999999999999</v>
      </c>
      <c r="BI464" s="20">
        <v>3224.9245999999998</v>
      </c>
      <c r="BJ464" s="19">
        <v>94.736800000000002</v>
      </c>
      <c r="BK464">
        <v>0.97909999999999997</v>
      </c>
      <c r="BL464">
        <v>0.98040000000000005</v>
      </c>
      <c r="BM464">
        <v>0.98140000000000005</v>
      </c>
      <c r="BN464">
        <v>6</v>
      </c>
      <c r="BO464">
        <v>5.1219999999999999</v>
      </c>
      <c r="BP464">
        <v>9.58</v>
      </c>
      <c r="BQ464" s="19">
        <v>101.9881</v>
      </c>
      <c r="BR464">
        <v>86.177999999999997</v>
      </c>
      <c r="BS464" s="20">
        <v>5.0069999999999997</v>
      </c>
      <c r="BT464" s="20">
        <v>5.0069999999999997</v>
      </c>
      <c r="BU464" s="20">
        <v>9.7620000000000005</v>
      </c>
      <c r="BV464" s="20">
        <v>10.015000000000001</v>
      </c>
      <c r="BW464" s="19">
        <v>98.557699999999997</v>
      </c>
      <c r="BX464">
        <v>18.13</v>
      </c>
      <c r="BY464" s="6">
        <v>28503200</v>
      </c>
      <c r="BZ464" s="5">
        <v>83943300</v>
      </c>
      <c r="CA464" s="7">
        <f t="shared" si="35"/>
        <v>2.9450482752813718</v>
      </c>
      <c r="CB464">
        <v>16346101</v>
      </c>
      <c r="CC464" s="8">
        <f t="shared" si="36"/>
        <v>5.1353714258831511</v>
      </c>
      <c r="CD464" s="8">
        <f t="shared" si="37"/>
        <v>1.7437308138497369</v>
      </c>
      <c r="CE464">
        <v>37377</v>
      </c>
      <c r="CF464" s="8">
        <f t="shared" si="38"/>
        <v>762.58661743853168</v>
      </c>
      <c r="CG464" s="8">
        <f t="shared" si="39"/>
        <v>2245.854402440003</v>
      </c>
      <c r="CH464">
        <v>100.51527</v>
      </c>
    </row>
    <row r="465" spans="1:86" ht="15.5" x14ac:dyDescent="0.35">
      <c r="A465" t="s">
        <v>105</v>
      </c>
      <c r="B465">
        <v>2007</v>
      </c>
      <c r="C465" s="2">
        <v>48.254100000000001</v>
      </c>
      <c r="D465">
        <v>264577.5</v>
      </c>
      <c r="E465">
        <v>0.17449999999999999</v>
      </c>
      <c r="F465">
        <v>10.9216</v>
      </c>
      <c r="G465">
        <v>205000</v>
      </c>
      <c r="H465">
        <v>13</v>
      </c>
      <c r="I465" s="19">
        <v>88.363</v>
      </c>
      <c r="J465" s="19">
        <v>89.26</v>
      </c>
      <c r="K465" s="19">
        <v>5.1950000000000003</v>
      </c>
      <c r="L465" s="19">
        <v>97.087400000000002</v>
      </c>
      <c r="M465" s="19">
        <v>45360000000</v>
      </c>
      <c r="N465" s="19">
        <v>96.548900000000003</v>
      </c>
      <c r="O465">
        <v>25.763999999999999</v>
      </c>
      <c r="P465">
        <v>33.312399999999997</v>
      </c>
      <c r="Q465" s="19">
        <v>52182.447999999997</v>
      </c>
      <c r="R465" s="19">
        <v>45445.522900000004</v>
      </c>
      <c r="S465" s="19">
        <v>3.6596000000000002</v>
      </c>
      <c r="T465" s="19">
        <v>62601.620600000002</v>
      </c>
      <c r="U465" s="19">
        <v>44205.044999999998</v>
      </c>
      <c r="V465">
        <v>29.6</v>
      </c>
      <c r="W465" s="19">
        <v>94.174800000000005</v>
      </c>
      <c r="X465">
        <v>97</v>
      </c>
      <c r="Z465">
        <v>96</v>
      </c>
      <c r="AA465">
        <v>4.0999999999999996</v>
      </c>
      <c r="AB465">
        <v>85.8</v>
      </c>
      <c r="AC465">
        <v>80.0976</v>
      </c>
      <c r="AE465">
        <v>8</v>
      </c>
      <c r="AF465">
        <v>93.585099999999997</v>
      </c>
      <c r="AG465">
        <v>4.9000000000000004</v>
      </c>
      <c r="AH465">
        <v>0.05</v>
      </c>
      <c r="AI465">
        <v>4.9000000000000004</v>
      </c>
      <c r="AJ465">
        <v>4.4000000000000004</v>
      </c>
      <c r="AK465">
        <v>5.4</v>
      </c>
      <c r="AL465">
        <v>66.411100000000005</v>
      </c>
      <c r="AM465">
        <v>3.2</v>
      </c>
      <c r="AN465">
        <v>-304</v>
      </c>
      <c r="AO465">
        <v>0</v>
      </c>
      <c r="AP465">
        <v>100</v>
      </c>
      <c r="AQ465">
        <v>97.870500000000007</v>
      </c>
      <c r="AR465">
        <v>99.985600000000005</v>
      </c>
      <c r="AS465">
        <v>97.431799999999996</v>
      </c>
      <c r="AT465">
        <v>97.460099999999997</v>
      </c>
      <c r="AU465">
        <v>16.860099999999999</v>
      </c>
      <c r="AV465" s="19">
        <v>73.430000000000007</v>
      </c>
      <c r="AW465">
        <v>0</v>
      </c>
      <c r="AY465">
        <v>2</v>
      </c>
      <c r="AZ465">
        <v>6</v>
      </c>
      <c r="BA465">
        <v>97.455699999999993</v>
      </c>
      <c r="BB465">
        <v>39.333300000000001</v>
      </c>
      <c r="BC465">
        <v>5.9634999999999998</v>
      </c>
      <c r="BD465" s="19">
        <v>3.8820000000000001</v>
      </c>
      <c r="BE465" s="19">
        <v>97.572800000000001</v>
      </c>
      <c r="BF465">
        <v>7.2103000000000002</v>
      </c>
      <c r="BG465">
        <v>3.7</v>
      </c>
      <c r="BH465" s="20">
        <v>1.6702999999999999</v>
      </c>
      <c r="BI465" s="20">
        <v>3093.1082000000001</v>
      </c>
      <c r="BJ465" s="19">
        <v>95.693799999999996</v>
      </c>
      <c r="BK465">
        <v>0.98250000000000004</v>
      </c>
      <c r="BL465">
        <v>0.98109999999999997</v>
      </c>
      <c r="BM465">
        <v>0.97960000000000003</v>
      </c>
      <c r="BN465">
        <v>6</v>
      </c>
      <c r="BO465">
        <v>4.5830000000000002</v>
      </c>
      <c r="BP465">
        <v>8.4499999999999993</v>
      </c>
      <c r="BQ465" s="19">
        <v>102.18259999999999</v>
      </c>
      <c r="BR465">
        <v>87.788899999999998</v>
      </c>
      <c r="BS465" s="20">
        <v>4.1529999999999996</v>
      </c>
      <c r="BT465" s="20">
        <v>4.1529999999999996</v>
      </c>
      <c r="BU465" s="20">
        <v>9.1020000000000003</v>
      </c>
      <c r="BV465" s="20">
        <v>9.3640000000000008</v>
      </c>
      <c r="BW465" s="19">
        <v>99.038499999999999</v>
      </c>
      <c r="BX465">
        <v>17.489999999999998</v>
      </c>
      <c r="BY465" s="6">
        <v>30260200</v>
      </c>
      <c r="BZ465" s="5">
        <v>88267000</v>
      </c>
      <c r="CA465" s="7">
        <f t="shared" si="35"/>
        <v>2.9169337942247573</v>
      </c>
      <c r="CB465">
        <v>16381696</v>
      </c>
      <c r="CC465" s="8">
        <f t="shared" si="36"/>
        <v>5.3881478450094544</v>
      </c>
      <c r="CD465" s="8">
        <f t="shared" si="37"/>
        <v>1.8471957970652122</v>
      </c>
      <c r="CE465">
        <v>37377</v>
      </c>
      <c r="CF465" s="8">
        <f t="shared" si="38"/>
        <v>809.59413543087999</v>
      </c>
      <c r="CG465" s="8">
        <f t="shared" si="39"/>
        <v>2361.5324932445087</v>
      </c>
      <c r="CH465">
        <v>99.601470000000006</v>
      </c>
    </row>
    <row r="466" spans="1:86" ht="15.5" x14ac:dyDescent="0.35">
      <c r="A466" t="s">
        <v>105</v>
      </c>
      <c r="B466">
        <v>2008</v>
      </c>
      <c r="C466" s="2">
        <v>48.383499999999998</v>
      </c>
      <c r="D466">
        <v>267233.90000000002</v>
      </c>
      <c r="E466">
        <v>0.1719</v>
      </c>
      <c r="F466">
        <v>10.944699999999999</v>
      </c>
      <c r="G466">
        <v>205000</v>
      </c>
      <c r="H466">
        <v>13</v>
      </c>
      <c r="I466" s="19">
        <v>90.319000000000003</v>
      </c>
      <c r="J466" s="19">
        <v>90.74</v>
      </c>
      <c r="K466" s="19">
        <v>4.5810000000000004</v>
      </c>
      <c r="L466" s="19">
        <v>96.601900000000001</v>
      </c>
      <c r="M466" s="19">
        <v>37712000000</v>
      </c>
      <c r="N466" s="19">
        <v>111.8288</v>
      </c>
      <c r="O466">
        <v>25.684000000000001</v>
      </c>
      <c r="P466">
        <v>34.975700000000003</v>
      </c>
      <c r="Q466" s="19">
        <v>58383.012999999999</v>
      </c>
      <c r="R466" s="19">
        <v>46227.2111</v>
      </c>
      <c r="S466" s="19">
        <v>1.7201</v>
      </c>
      <c r="T466" s="19">
        <v>63678.403299999998</v>
      </c>
      <c r="U466" s="19">
        <v>46714.345399999998</v>
      </c>
      <c r="V466">
        <v>29.3</v>
      </c>
      <c r="W466" s="19">
        <v>94.174800000000005</v>
      </c>
      <c r="X466">
        <v>97</v>
      </c>
      <c r="Z466">
        <v>96</v>
      </c>
      <c r="AA466">
        <v>4</v>
      </c>
      <c r="AB466">
        <v>87.4</v>
      </c>
      <c r="AC466">
        <v>80.251199999999997</v>
      </c>
      <c r="AE466">
        <v>8</v>
      </c>
      <c r="AF466">
        <v>93.732600000000005</v>
      </c>
      <c r="AG466">
        <v>4.7</v>
      </c>
      <c r="AH466">
        <v>9.9000000000000005E-2</v>
      </c>
      <c r="AI466">
        <v>4.7</v>
      </c>
      <c r="AJ466">
        <v>4.3</v>
      </c>
      <c r="AK466">
        <v>5.2</v>
      </c>
      <c r="AL466">
        <v>67.2089</v>
      </c>
      <c r="AM466">
        <v>3</v>
      </c>
      <c r="AN466">
        <v>32406</v>
      </c>
      <c r="AO466">
        <v>0</v>
      </c>
      <c r="AP466">
        <v>100</v>
      </c>
      <c r="AQ466">
        <v>97.849699999999999</v>
      </c>
      <c r="AR466">
        <v>99.984399999999994</v>
      </c>
      <c r="AS466">
        <v>97.434700000000007</v>
      </c>
      <c r="AT466">
        <v>97.463399999999993</v>
      </c>
      <c r="AU466">
        <v>16.654699999999998</v>
      </c>
      <c r="AV466" s="19">
        <v>76.442300000000003</v>
      </c>
      <c r="AW466">
        <v>0.1</v>
      </c>
      <c r="AY466">
        <v>2</v>
      </c>
      <c r="AZ466">
        <v>6</v>
      </c>
      <c r="BA466">
        <v>97.459199999999996</v>
      </c>
      <c r="BB466">
        <v>41.333300000000001</v>
      </c>
      <c r="BC466">
        <v>6.2679</v>
      </c>
      <c r="BD466" s="19">
        <v>2.1269999999999998</v>
      </c>
      <c r="BE466" s="19">
        <v>97.087400000000002</v>
      </c>
      <c r="BF466">
        <v>8.8614999999999995</v>
      </c>
      <c r="BG466">
        <v>3.9</v>
      </c>
      <c r="BH466" s="20">
        <v>1.6227</v>
      </c>
      <c r="BI466" s="20">
        <v>3063.9616999999998</v>
      </c>
      <c r="BJ466" s="19">
        <v>94.711500000000001</v>
      </c>
      <c r="BK466">
        <v>0.98529999999999995</v>
      </c>
      <c r="BL466">
        <v>0.98319999999999996</v>
      </c>
      <c r="BM466">
        <v>0.98099999999999998</v>
      </c>
      <c r="BN466">
        <v>6</v>
      </c>
      <c r="BO466">
        <v>4.593</v>
      </c>
      <c r="BP466">
        <v>8.9700000000000006</v>
      </c>
      <c r="BQ466" s="19">
        <v>100.0474</v>
      </c>
      <c r="BR466">
        <v>89.041200000000003</v>
      </c>
      <c r="BS466" s="20">
        <v>3.6579999999999999</v>
      </c>
      <c r="BT466" s="20">
        <v>3.6579999999999999</v>
      </c>
      <c r="BU466" s="20">
        <v>8.32</v>
      </c>
      <c r="BV466" s="20">
        <v>8.5779999999999994</v>
      </c>
      <c r="BW466" s="19">
        <v>97.596199999999996</v>
      </c>
      <c r="BX466">
        <v>14.63</v>
      </c>
      <c r="BY466" s="6">
        <v>29102000</v>
      </c>
      <c r="BZ466" s="5">
        <v>84452200</v>
      </c>
      <c r="CA466" s="7">
        <f t="shared" si="35"/>
        <v>2.9019380111332556</v>
      </c>
      <c r="CB466">
        <v>16445593</v>
      </c>
      <c r="CC466" s="8">
        <f t="shared" si="36"/>
        <v>5.1352480874359472</v>
      </c>
      <c r="CD466" s="8">
        <f t="shared" si="37"/>
        <v>1.769592619737093</v>
      </c>
      <c r="CE466">
        <v>37377</v>
      </c>
      <c r="CF466" s="8">
        <f t="shared" si="38"/>
        <v>778.6071648339888</v>
      </c>
      <c r="CG466" s="8">
        <f t="shared" si="39"/>
        <v>2259.4697273724482</v>
      </c>
      <c r="CH466">
        <v>98.092529999999996</v>
      </c>
    </row>
    <row r="467" spans="1:86" ht="15.5" x14ac:dyDescent="0.35">
      <c r="A467" t="s">
        <v>105</v>
      </c>
      <c r="B467">
        <v>2009</v>
      </c>
      <c r="C467" s="2">
        <v>48.637900000000002</v>
      </c>
      <c r="D467">
        <v>258191.6</v>
      </c>
      <c r="E467">
        <v>0.17319999999999999</v>
      </c>
      <c r="F467">
        <v>10.5733</v>
      </c>
      <c r="G467">
        <v>199000</v>
      </c>
      <c r="H467">
        <v>13</v>
      </c>
      <c r="I467" s="19">
        <v>91.195999999999998</v>
      </c>
      <c r="J467" s="19">
        <v>91.37</v>
      </c>
      <c r="K467" s="19">
        <v>3.16</v>
      </c>
      <c r="L467" s="19">
        <v>97.607699999999994</v>
      </c>
      <c r="M467" s="19">
        <v>31095000000</v>
      </c>
      <c r="N467" s="19">
        <v>87.281700000000001</v>
      </c>
      <c r="O467">
        <v>26.077000000000002</v>
      </c>
      <c r="P467">
        <v>36.735500000000002</v>
      </c>
      <c r="Q467" s="19">
        <v>53257.987000000001</v>
      </c>
      <c r="R467" s="19">
        <v>44304.411899999999</v>
      </c>
      <c r="S467" s="19">
        <v>-4.1595000000000004</v>
      </c>
      <c r="T467" s="19">
        <v>61029.729899999998</v>
      </c>
      <c r="U467" s="19">
        <v>44935.745699999999</v>
      </c>
      <c r="V467">
        <v>27.9</v>
      </c>
      <c r="W467" s="19">
        <v>94.736800000000002</v>
      </c>
      <c r="X467">
        <v>97</v>
      </c>
      <c r="Z467">
        <v>96</v>
      </c>
      <c r="AA467">
        <v>3.9</v>
      </c>
      <c r="AB467">
        <v>89.6</v>
      </c>
      <c r="AC467">
        <v>80.5488</v>
      </c>
      <c r="AE467">
        <v>7</v>
      </c>
      <c r="AF467">
        <v>93.82</v>
      </c>
      <c r="AG467">
        <v>4.5</v>
      </c>
      <c r="AH467">
        <v>0.12</v>
      </c>
      <c r="AI467">
        <v>4.5999999999999996</v>
      </c>
      <c r="AJ467">
        <v>4.0999999999999996</v>
      </c>
      <c r="AK467">
        <v>5</v>
      </c>
      <c r="AL467">
        <v>66.722999999999999</v>
      </c>
      <c r="AM467">
        <v>2.9</v>
      </c>
      <c r="AN467">
        <v>39832</v>
      </c>
      <c r="AO467">
        <v>0</v>
      </c>
      <c r="AP467">
        <v>100</v>
      </c>
      <c r="AQ467">
        <v>97.828500000000005</v>
      </c>
      <c r="AR467">
        <v>99.983199999999997</v>
      </c>
      <c r="AS467">
        <v>97.437700000000007</v>
      </c>
      <c r="AT467">
        <v>97.466700000000003</v>
      </c>
      <c r="AU467">
        <v>16.469200000000001</v>
      </c>
      <c r="AV467" s="19">
        <v>81.990499999999997</v>
      </c>
      <c r="AW467">
        <v>0.1</v>
      </c>
      <c r="AY467">
        <v>2</v>
      </c>
      <c r="AZ467">
        <v>6</v>
      </c>
      <c r="BA467">
        <v>97.462699999999998</v>
      </c>
      <c r="BB467">
        <v>42</v>
      </c>
      <c r="BC467">
        <v>6.8006000000000002</v>
      </c>
      <c r="BD467" s="19">
        <v>-3.67</v>
      </c>
      <c r="BE467" s="19">
        <v>97.129199999999997</v>
      </c>
      <c r="BF467">
        <v>9.5302000000000007</v>
      </c>
      <c r="BG467">
        <v>4.4000000000000004</v>
      </c>
      <c r="BH467" s="20">
        <v>1.6657</v>
      </c>
      <c r="BI467" s="20">
        <v>2822.2498000000001</v>
      </c>
      <c r="BJ467" s="19">
        <v>97.156400000000005</v>
      </c>
      <c r="BK467">
        <v>0.9899</v>
      </c>
      <c r="BL467">
        <v>0.98640000000000005</v>
      </c>
      <c r="BM467">
        <v>0.98299999999999998</v>
      </c>
      <c r="BN467">
        <v>6</v>
      </c>
      <c r="BO467">
        <v>4.8650000000000002</v>
      </c>
      <c r="BP467">
        <v>9.42</v>
      </c>
      <c r="BQ467" s="19">
        <v>100.8746</v>
      </c>
      <c r="BR467">
        <v>86.896799999999999</v>
      </c>
      <c r="BS467" s="20">
        <v>4.3520000000000003</v>
      </c>
      <c r="BT467" s="20">
        <v>4.3520000000000003</v>
      </c>
      <c r="BU467" s="20">
        <v>9.8759999999999994</v>
      </c>
      <c r="BV467" s="20">
        <v>10.194000000000001</v>
      </c>
      <c r="BW467" s="19">
        <v>96.208500000000001</v>
      </c>
      <c r="BX467">
        <v>16.350000000000001</v>
      </c>
      <c r="BY467" s="6">
        <v>28959700</v>
      </c>
      <c r="BZ467" s="5">
        <v>84516100</v>
      </c>
      <c r="CA467" s="7">
        <f t="shared" si="35"/>
        <v>2.918403850868621</v>
      </c>
      <c r="CB467">
        <v>16530388</v>
      </c>
      <c r="CC467" s="8">
        <f t="shared" si="36"/>
        <v>5.1127717026363806</v>
      </c>
      <c r="CD467" s="8">
        <f t="shared" si="37"/>
        <v>1.7519068517931944</v>
      </c>
      <c r="CE467">
        <v>37377</v>
      </c>
      <c r="CF467" s="8">
        <f t="shared" si="38"/>
        <v>774.80001070176843</v>
      </c>
      <c r="CG467" s="8">
        <f t="shared" si="39"/>
        <v>2261.1793348850897</v>
      </c>
      <c r="CH467">
        <v>99.829729999999998</v>
      </c>
    </row>
    <row r="468" spans="1:86" ht="15.5" x14ac:dyDescent="0.35">
      <c r="A468" t="s">
        <v>105</v>
      </c>
      <c r="B468">
        <v>2010</v>
      </c>
      <c r="C468" s="2">
        <v>48.939100000000003</v>
      </c>
      <c r="D468">
        <v>263856.3</v>
      </c>
      <c r="E468">
        <v>0.18210000000000001</v>
      </c>
      <c r="F468">
        <v>11.2049</v>
      </c>
      <c r="G468">
        <v>211000</v>
      </c>
      <c r="H468">
        <v>13</v>
      </c>
      <c r="I468" s="19">
        <v>92.045000000000002</v>
      </c>
      <c r="J468" s="19">
        <v>93.02</v>
      </c>
      <c r="K468" s="19">
        <v>4.1509999999999998</v>
      </c>
      <c r="L468" s="19">
        <v>97.619</v>
      </c>
      <c r="M468" s="19">
        <v>56599000000</v>
      </c>
      <c r="N468" s="19">
        <v>100.6678</v>
      </c>
      <c r="O468">
        <v>27.219000000000001</v>
      </c>
      <c r="P468">
        <v>37.737200000000001</v>
      </c>
      <c r="Q468" s="19">
        <v>51472.807999999997</v>
      </c>
      <c r="R468" s="19">
        <v>44659.272799999999</v>
      </c>
      <c r="S468" s="19">
        <v>0.80100000000000005</v>
      </c>
      <c r="T468" s="19">
        <v>61518.553999999996</v>
      </c>
      <c r="U468" s="19">
        <v>45306.307800000002</v>
      </c>
      <c r="V468">
        <v>27.8</v>
      </c>
      <c r="W468" s="19">
        <v>95.215299999999999</v>
      </c>
      <c r="X468">
        <v>97</v>
      </c>
      <c r="Z468">
        <v>96</v>
      </c>
      <c r="AA468">
        <v>3.8</v>
      </c>
      <c r="AB468">
        <v>90.7</v>
      </c>
      <c r="AC468">
        <v>80.702399999999997</v>
      </c>
      <c r="AE468">
        <v>6</v>
      </c>
      <c r="AF468">
        <v>94.903999999999996</v>
      </c>
      <c r="AG468">
        <v>4</v>
      </c>
      <c r="AH468">
        <v>9.0999999999999998E-2</v>
      </c>
      <c r="AI468">
        <v>4.4000000000000004</v>
      </c>
      <c r="AJ468">
        <v>4</v>
      </c>
      <c r="AK468">
        <v>4.9000000000000004</v>
      </c>
      <c r="AL468">
        <v>66.967299999999994</v>
      </c>
      <c r="AM468">
        <v>2.8</v>
      </c>
      <c r="AN468">
        <v>33703</v>
      </c>
      <c r="AO468">
        <v>0</v>
      </c>
      <c r="AP468">
        <v>100</v>
      </c>
      <c r="AQ468">
        <v>97.808199999999999</v>
      </c>
      <c r="AR468">
        <v>99.982100000000003</v>
      </c>
      <c r="AS468">
        <v>97.440600000000003</v>
      </c>
      <c r="AT468">
        <v>97.47</v>
      </c>
      <c r="AU468">
        <v>16.301500000000001</v>
      </c>
      <c r="AV468" s="19">
        <v>81.516599999999997</v>
      </c>
      <c r="AW468">
        <v>0</v>
      </c>
      <c r="AY468">
        <v>2</v>
      </c>
      <c r="AZ468">
        <v>6</v>
      </c>
      <c r="BA468">
        <v>97.466200000000001</v>
      </c>
      <c r="BB468">
        <v>40.666699999999999</v>
      </c>
      <c r="BC468">
        <v>6.9480000000000004</v>
      </c>
      <c r="BD468" s="19">
        <v>1.3169999999999999</v>
      </c>
      <c r="BE468" s="19">
        <v>97.129199999999997</v>
      </c>
      <c r="BF468">
        <v>9.3877000000000006</v>
      </c>
      <c r="BG468">
        <v>3.9</v>
      </c>
      <c r="BH468" s="20">
        <v>1.704</v>
      </c>
      <c r="BI468" s="20">
        <v>3210.0203000000001</v>
      </c>
      <c r="BJ468" s="19">
        <v>97.156400000000005</v>
      </c>
      <c r="BK468">
        <v>0.99660000000000004</v>
      </c>
      <c r="BL468">
        <v>0.99119999999999997</v>
      </c>
      <c r="BM468">
        <v>0.98629999999999995</v>
      </c>
      <c r="BN468">
        <v>6</v>
      </c>
      <c r="BO468">
        <v>4.6909999999999998</v>
      </c>
      <c r="BP468">
        <v>9.83</v>
      </c>
      <c r="BQ468" s="19">
        <v>97.590599999999995</v>
      </c>
      <c r="BR468">
        <v>85.384399999999999</v>
      </c>
      <c r="BS468" s="20">
        <v>4.9909999999999997</v>
      </c>
      <c r="BT468" s="20">
        <v>4.9909999999999997</v>
      </c>
      <c r="BU468" s="20">
        <v>10.77</v>
      </c>
      <c r="BV468" s="20">
        <v>11.074</v>
      </c>
      <c r="BW468" s="19">
        <v>96.208500000000001</v>
      </c>
      <c r="BX468">
        <v>19.260000000000002</v>
      </c>
      <c r="BY468" s="6">
        <v>30008300</v>
      </c>
      <c r="BZ468" s="5">
        <v>84873200</v>
      </c>
      <c r="CA468" s="7">
        <f t="shared" si="35"/>
        <v>2.8283241636480572</v>
      </c>
      <c r="CB468">
        <v>16615394</v>
      </c>
      <c r="CC468" s="8">
        <f t="shared" si="36"/>
        <v>5.1081063741251036</v>
      </c>
      <c r="CD468" s="8">
        <f t="shared" si="37"/>
        <v>1.8060540725064962</v>
      </c>
      <c r="CE468">
        <v>37377</v>
      </c>
      <c r="CF468" s="8">
        <f t="shared" si="38"/>
        <v>802.85469673863611</v>
      </c>
      <c r="CG468" s="8">
        <f t="shared" si="39"/>
        <v>2270.7333386842174</v>
      </c>
      <c r="CH468">
        <v>98.504930000000002</v>
      </c>
    </row>
    <row r="469" spans="1:86" ht="15.5" x14ac:dyDescent="0.35">
      <c r="A469" t="s">
        <v>105</v>
      </c>
      <c r="B469">
        <v>2011</v>
      </c>
      <c r="C469" s="2">
        <v>49.632199999999997</v>
      </c>
      <c r="D469">
        <v>249148.1</v>
      </c>
      <c r="E469">
        <v>0.16739999999999999</v>
      </c>
      <c r="F469">
        <v>10.4313</v>
      </c>
      <c r="G469">
        <v>197000</v>
      </c>
      <c r="H469">
        <v>13</v>
      </c>
      <c r="I469" s="19">
        <v>94.319000000000003</v>
      </c>
      <c r="J469" s="19">
        <v>95.3</v>
      </c>
      <c r="K469" s="19">
        <v>4.6689999999999996</v>
      </c>
      <c r="L469" s="19">
        <v>96.682500000000005</v>
      </c>
      <c r="M469" s="19">
        <v>66284000000.000008</v>
      </c>
      <c r="N469" s="19">
        <v>116.9447</v>
      </c>
      <c r="O469">
        <v>28.312999999999999</v>
      </c>
      <c r="P469">
        <v>38.561399999999999</v>
      </c>
      <c r="Q469" s="19">
        <v>54814.546000000002</v>
      </c>
      <c r="R469" s="19">
        <v>45239.731899999999</v>
      </c>
      <c r="S469" s="19">
        <v>1.2998000000000001</v>
      </c>
      <c r="T469" s="19">
        <v>62318.141600000003</v>
      </c>
      <c r="U469" s="19">
        <v>47004.1371</v>
      </c>
      <c r="V469">
        <v>27.8</v>
      </c>
      <c r="W469" s="19">
        <v>96.682500000000005</v>
      </c>
      <c r="X469">
        <v>97</v>
      </c>
      <c r="Y469">
        <v>20</v>
      </c>
      <c r="Z469">
        <v>96</v>
      </c>
      <c r="AA469">
        <v>3.7</v>
      </c>
      <c r="AB469">
        <v>91.4</v>
      </c>
      <c r="AC469">
        <v>81.204899999999995</v>
      </c>
      <c r="AE469">
        <v>7</v>
      </c>
      <c r="AF469">
        <v>95.0291</v>
      </c>
      <c r="AG469">
        <v>4.0999999999999996</v>
      </c>
      <c r="AH469">
        <v>0.12</v>
      </c>
      <c r="AI469">
        <v>4.3</v>
      </c>
      <c r="AJ469">
        <v>3.9</v>
      </c>
      <c r="AK469">
        <v>4.7</v>
      </c>
      <c r="AL469">
        <v>67.647300000000001</v>
      </c>
      <c r="AM469">
        <v>2.7</v>
      </c>
      <c r="AN469">
        <v>31224</v>
      </c>
      <c r="AO469">
        <v>0</v>
      </c>
      <c r="AP469">
        <v>100</v>
      </c>
      <c r="AQ469">
        <v>97.790300000000002</v>
      </c>
      <c r="AR469">
        <v>99.980900000000005</v>
      </c>
      <c r="AS469">
        <v>97.4435</v>
      </c>
      <c r="AT469">
        <v>97.473299999999995</v>
      </c>
      <c r="AU469">
        <v>16.1617</v>
      </c>
      <c r="AV469" s="19">
        <v>89.573499999999996</v>
      </c>
      <c r="AW469">
        <v>0.1</v>
      </c>
      <c r="AY469">
        <v>3</v>
      </c>
      <c r="AZ469">
        <v>6</v>
      </c>
      <c r="BA469">
        <v>97.469700000000003</v>
      </c>
      <c r="BB469">
        <v>40.666699999999999</v>
      </c>
      <c r="BC469">
        <v>6.9972000000000003</v>
      </c>
      <c r="BD469" s="19">
        <v>1.7769999999999999</v>
      </c>
      <c r="BE469" s="19">
        <v>97.156400000000005</v>
      </c>
      <c r="BF469">
        <v>10.810700000000001</v>
      </c>
      <c r="BG469">
        <v>4.7</v>
      </c>
      <c r="BH469" s="20">
        <v>1.8813</v>
      </c>
      <c r="BI469" s="20">
        <v>3648.1338000000001</v>
      </c>
      <c r="BJ469" s="19">
        <v>97.183099999999996</v>
      </c>
      <c r="BK469">
        <v>0.99919999999999998</v>
      </c>
      <c r="BL469">
        <v>0.99329999999999996</v>
      </c>
      <c r="BM469">
        <v>0.98799999999999999</v>
      </c>
      <c r="BN469">
        <v>6</v>
      </c>
      <c r="BO469">
        <v>4.2009999999999996</v>
      </c>
      <c r="BP469">
        <v>10.07</v>
      </c>
      <c r="BQ469" s="19">
        <v>97.6755</v>
      </c>
      <c r="BR469">
        <v>86.222300000000004</v>
      </c>
      <c r="BS469" s="20">
        <v>4.9770000000000003</v>
      </c>
      <c r="BT469" s="20">
        <v>4.9770000000000003</v>
      </c>
      <c r="BU469" s="20">
        <v>9.7799999999999994</v>
      </c>
      <c r="BV469" s="20">
        <v>10.003</v>
      </c>
      <c r="BW469" s="19">
        <v>96.7136</v>
      </c>
      <c r="BX469">
        <v>18.350000000000001</v>
      </c>
      <c r="BY469" s="6">
        <v>30666800</v>
      </c>
      <c r="BZ469" s="5">
        <v>85368400</v>
      </c>
      <c r="CA469" s="7">
        <f t="shared" si="35"/>
        <v>2.783740070695345</v>
      </c>
      <c r="CB469">
        <v>16693074</v>
      </c>
      <c r="CC469" s="8">
        <f t="shared" si="36"/>
        <v>5.1140011719830634</v>
      </c>
      <c r="CD469" s="8">
        <f t="shared" si="37"/>
        <v>1.8370972296654289</v>
      </c>
      <c r="CE469">
        <v>37377</v>
      </c>
      <c r="CF469" s="8">
        <f t="shared" si="38"/>
        <v>820.47248307782866</v>
      </c>
      <c r="CG469" s="8">
        <f t="shared" si="39"/>
        <v>2283.9821280466599</v>
      </c>
      <c r="CH469">
        <v>98.160129999999995</v>
      </c>
    </row>
    <row r="470" spans="1:86" ht="15.5" x14ac:dyDescent="0.35">
      <c r="A470" s="9" t="s">
        <v>105</v>
      </c>
      <c r="B470" s="9">
        <v>2012</v>
      </c>
      <c r="C470" s="10">
        <v>50.646000000000001</v>
      </c>
      <c r="D470" s="9">
        <v>245055.7</v>
      </c>
      <c r="E470" s="9">
        <v>0.1666</v>
      </c>
      <c r="F470" s="9">
        <v>10.244300000000001</v>
      </c>
      <c r="G470" s="9">
        <v>192000</v>
      </c>
      <c r="H470" s="9">
        <v>13</v>
      </c>
      <c r="I470" s="21">
        <v>96.977000000000004</v>
      </c>
      <c r="J470" s="21">
        <v>98.45</v>
      </c>
      <c r="K470" s="21">
        <v>3.8420000000000001</v>
      </c>
      <c r="L470" s="21">
        <v>96.208500000000001</v>
      </c>
      <c r="M470" s="21">
        <v>66084000000</v>
      </c>
      <c r="N470" s="21">
        <v>114.88890000000001</v>
      </c>
      <c r="O470" s="9">
        <v>28.748999999999999</v>
      </c>
      <c r="P470" s="9">
        <v>39.337400000000002</v>
      </c>
      <c r="Q470" s="21">
        <v>50580.212</v>
      </c>
      <c r="R470" s="21">
        <v>44631.874499999998</v>
      </c>
      <c r="S470" s="21">
        <v>-1.3435999999999999</v>
      </c>
      <c r="T470" s="21">
        <v>61480.8125</v>
      </c>
      <c r="U470" s="21">
        <v>47653.340199999999</v>
      </c>
      <c r="V470" s="9">
        <v>27.6</v>
      </c>
      <c r="W470" s="21">
        <v>97.156400000000005</v>
      </c>
      <c r="X470" s="9">
        <v>97</v>
      </c>
      <c r="Y470" s="9">
        <v>20</v>
      </c>
      <c r="Z470" s="9">
        <v>96</v>
      </c>
      <c r="AA470" s="9">
        <v>3.6</v>
      </c>
      <c r="AB470" s="9">
        <v>92.9</v>
      </c>
      <c r="AC470" s="9">
        <v>81.104900000000001</v>
      </c>
      <c r="AD470" s="9"/>
      <c r="AE470" s="9">
        <v>6</v>
      </c>
      <c r="AF470" s="9">
        <v>95.072299999999998</v>
      </c>
      <c r="AG470" s="9">
        <v>4</v>
      </c>
      <c r="AH470" s="9">
        <v>0.13</v>
      </c>
      <c r="AI470" s="9">
        <v>4.2</v>
      </c>
      <c r="AJ470" s="9">
        <v>3.8</v>
      </c>
      <c r="AK470" s="9">
        <v>4.5999999999999996</v>
      </c>
      <c r="AL470" s="9">
        <v>67.426599999999993</v>
      </c>
      <c r="AM470" s="9">
        <v>2.7</v>
      </c>
      <c r="AN470" s="9">
        <v>14861</v>
      </c>
      <c r="AO470" s="9">
        <v>0</v>
      </c>
      <c r="AP470" s="9">
        <v>100</v>
      </c>
      <c r="AQ470" s="9">
        <v>97.773300000000006</v>
      </c>
      <c r="AR470" s="9">
        <v>99.979699999999994</v>
      </c>
      <c r="AS470" s="9">
        <v>97.4465</v>
      </c>
      <c r="AT470" s="9">
        <v>97.476600000000005</v>
      </c>
      <c r="AU470" s="9">
        <v>14.3672</v>
      </c>
      <c r="AV470" s="21">
        <v>91.469200000000001</v>
      </c>
      <c r="AW470" s="9">
        <v>0.1</v>
      </c>
      <c r="AX470" s="9"/>
      <c r="AY470" s="9">
        <v>3</v>
      </c>
      <c r="AZ470" s="9">
        <v>6</v>
      </c>
      <c r="BA470" s="9">
        <v>97.473200000000006</v>
      </c>
      <c r="BB470" s="9">
        <v>38.666699999999999</v>
      </c>
      <c r="BC470" s="9">
        <v>7.2152000000000003</v>
      </c>
      <c r="BD470" s="21">
        <v>-0.97699999999999998</v>
      </c>
      <c r="BE470" s="21">
        <v>96.208500000000001</v>
      </c>
      <c r="BF470" s="9">
        <v>12.0899</v>
      </c>
      <c r="BG470" s="9">
        <v>4.9000000000000004</v>
      </c>
      <c r="BH470" s="22">
        <v>1.9162999999999999</v>
      </c>
      <c r="BI470" s="22">
        <v>4336.1464999999998</v>
      </c>
      <c r="BJ470" s="21">
        <v>97.183099999999996</v>
      </c>
      <c r="BK470" s="9">
        <v>0.99980000000000002</v>
      </c>
      <c r="BL470" s="9">
        <v>0.99019999999999997</v>
      </c>
      <c r="BM470" s="9">
        <v>0.98229999999999995</v>
      </c>
      <c r="BN470" s="9">
        <v>7</v>
      </c>
      <c r="BO470" s="9">
        <v>5.0359999999999996</v>
      </c>
      <c r="BP470" s="9">
        <v>10.72</v>
      </c>
      <c r="BQ470" s="21">
        <v>97.025999999999996</v>
      </c>
      <c r="BR470" s="9">
        <v>83.810199999999995</v>
      </c>
      <c r="BS470" s="22">
        <v>5.8209999999999997</v>
      </c>
      <c r="BT470" s="22">
        <v>5.8209999999999997</v>
      </c>
      <c r="BU470" s="22">
        <v>11.457000000000001</v>
      </c>
      <c r="BV470" s="22">
        <v>11.714</v>
      </c>
      <c r="BW470" s="21">
        <v>97.183099999999996</v>
      </c>
      <c r="BX470" s="9">
        <v>18.21</v>
      </c>
      <c r="BY470" s="14">
        <v>31150585</v>
      </c>
      <c r="BZ470" s="5">
        <v>84050408</v>
      </c>
      <c r="CA470" s="7">
        <f t="shared" si="35"/>
        <v>2.6981967754377645</v>
      </c>
      <c r="CB470">
        <v>16754962</v>
      </c>
      <c r="CC470" s="8">
        <f t="shared" si="36"/>
        <v>5.0164487391854422</v>
      </c>
      <c r="CD470" s="8">
        <f t="shared" si="37"/>
        <v>1.8591856549719421</v>
      </c>
      <c r="CE470">
        <v>37377</v>
      </c>
      <c r="CF470" s="8">
        <f t="shared" si="38"/>
        <v>833.4158707226369</v>
      </c>
      <c r="CG470" s="8">
        <f t="shared" si="39"/>
        <v>2248.7200149824757</v>
      </c>
      <c r="CH470" s="9">
        <v>98.543700000000001</v>
      </c>
    </row>
    <row r="471" spans="1:86" ht="15.5" x14ac:dyDescent="0.35">
      <c r="A471" t="s">
        <v>105</v>
      </c>
      <c r="B471">
        <v>2013</v>
      </c>
      <c r="C471" s="2">
        <v>51.429000000000002</v>
      </c>
      <c r="D471">
        <v>242090</v>
      </c>
      <c r="E471">
        <v>0.16450000000000001</v>
      </c>
      <c r="F471">
        <v>10.0808</v>
      </c>
      <c r="G471">
        <v>192000</v>
      </c>
      <c r="H471">
        <v>13</v>
      </c>
      <c r="I471" s="19">
        <v>99.454999999999998</v>
      </c>
      <c r="J471" s="19">
        <v>99.73</v>
      </c>
      <c r="K471" s="19">
        <v>3.1909999999999998</v>
      </c>
      <c r="L471" s="19">
        <v>96.208500000000001</v>
      </c>
      <c r="M471" s="19">
        <v>73098000000</v>
      </c>
      <c r="N471" s="19">
        <v>117.73009999999999</v>
      </c>
      <c r="O471">
        <v>21.992999999999999</v>
      </c>
      <c r="P471">
        <v>40.030500000000004</v>
      </c>
      <c r="Q471" s="19">
        <v>52680.978000000003</v>
      </c>
      <c r="R471" s="19">
        <v>44487.030599999998</v>
      </c>
      <c r="S471" s="19">
        <v>-0.32450000000000001</v>
      </c>
      <c r="T471" s="19">
        <v>61281.288800000002</v>
      </c>
      <c r="U471" s="19">
        <v>49622.052000000003</v>
      </c>
      <c r="V471">
        <v>28.1</v>
      </c>
      <c r="W471" s="19">
        <v>97.630300000000005</v>
      </c>
      <c r="X471">
        <v>97</v>
      </c>
      <c r="Y471">
        <v>51</v>
      </c>
      <c r="Z471">
        <v>96</v>
      </c>
      <c r="AA471">
        <v>3.6</v>
      </c>
      <c r="AB471">
        <v>94</v>
      </c>
      <c r="AC471">
        <v>81.304900000000004</v>
      </c>
      <c r="AE471">
        <v>6</v>
      </c>
      <c r="AF471">
        <v>95.409800000000004</v>
      </c>
      <c r="AG471">
        <v>3.5</v>
      </c>
      <c r="AH471">
        <v>0.06</v>
      </c>
      <c r="AI471">
        <v>4.2</v>
      </c>
      <c r="AJ471">
        <v>3.8</v>
      </c>
      <c r="AK471">
        <v>4.5999999999999996</v>
      </c>
      <c r="AL471">
        <v>67.7684</v>
      </c>
      <c r="AM471">
        <v>2.7</v>
      </c>
      <c r="AN471">
        <v>19973</v>
      </c>
      <c r="AO471">
        <v>0</v>
      </c>
      <c r="AP471">
        <v>100</v>
      </c>
      <c r="AQ471">
        <v>97.758899999999997</v>
      </c>
      <c r="AR471">
        <v>99.978499999999997</v>
      </c>
      <c r="AS471">
        <v>97.449399999999997</v>
      </c>
      <c r="AT471">
        <v>97.479900000000001</v>
      </c>
      <c r="AU471">
        <v>13.285</v>
      </c>
      <c r="AV471" s="19">
        <v>90.9953</v>
      </c>
      <c r="AW471">
        <v>0.1</v>
      </c>
      <c r="AY471">
        <v>3</v>
      </c>
      <c r="AZ471">
        <v>6</v>
      </c>
      <c r="BA471">
        <v>97.476600000000005</v>
      </c>
      <c r="BB471">
        <v>38.666699999999999</v>
      </c>
      <c r="BC471">
        <v>7.3033999999999999</v>
      </c>
      <c r="BD471" s="19">
        <v>-3.2000000000000001E-2</v>
      </c>
      <c r="BE471" s="19">
        <v>95.7346</v>
      </c>
      <c r="BF471">
        <v>11.9117</v>
      </c>
      <c r="BG471">
        <v>5</v>
      </c>
      <c r="BH471" s="20">
        <v>2.1560999999999999</v>
      </c>
      <c r="BI471" s="20">
        <v>4887.3905999999997</v>
      </c>
      <c r="BJ471" s="19">
        <v>97.183099999999996</v>
      </c>
      <c r="BN471">
        <v>7</v>
      </c>
      <c r="BO471">
        <v>5.9690000000000003</v>
      </c>
      <c r="BP471">
        <v>11.83</v>
      </c>
      <c r="BQ471" s="19">
        <v>97.361999999999995</v>
      </c>
      <c r="BR471">
        <v>80.832099999999997</v>
      </c>
      <c r="BS471" s="20">
        <v>7.2409999999999997</v>
      </c>
      <c r="BT471" s="20">
        <v>7.2409999999999997</v>
      </c>
      <c r="BU471" s="20">
        <v>12.943</v>
      </c>
      <c r="BV471" s="20">
        <v>13.173999999999999</v>
      </c>
      <c r="BW471" s="19">
        <v>96.7136</v>
      </c>
      <c r="BX471">
        <v>19.93</v>
      </c>
      <c r="BY471" s="6">
        <v>34050183</v>
      </c>
      <c r="BZ471" s="5">
        <v>96074132</v>
      </c>
      <c r="CA471" s="7">
        <f t="shared" si="35"/>
        <v>2.8215452469080708</v>
      </c>
      <c r="CB471">
        <v>16804432</v>
      </c>
      <c r="CC471" s="8">
        <f t="shared" si="36"/>
        <v>5.7171900841397081</v>
      </c>
      <c r="CD471" s="8">
        <f t="shared" si="37"/>
        <v>2.026262059913718</v>
      </c>
      <c r="CE471">
        <v>37377</v>
      </c>
      <c r="CF471" s="8">
        <f t="shared" si="38"/>
        <v>910.99293683281167</v>
      </c>
      <c r="CG471" s="8">
        <f t="shared" si="39"/>
        <v>2570.4077908874442</v>
      </c>
      <c r="CH471">
        <v>99.837609999999998</v>
      </c>
    </row>
    <row r="472" spans="1:86" ht="15.5" x14ac:dyDescent="0.35">
      <c r="A472" t="s">
        <v>105</v>
      </c>
      <c r="B472">
        <v>2014</v>
      </c>
      <c r="C472" s="2">
        <v>52.015000000000001</v>
      </c>
      <c r="D472">
        <v>228909.4</v>
      </c>
      <c r="E472">
        <v>0.15459999999999999</v>
      </c>
      <c r="F472">
        <v>9.5930999999999997</v>
      </c>
      <c r="G472">
        <v>184000</v>
      </c>
      <c r="H472">
        <v>13</v>
      </c>
      <c r="I472" s="19">
        <v>99.774000000000001</v>
      </c>
      <c r="J472" s="19">
        <v>99.59</v>
      </c>
      <c r="K472" s="19">
        <v>2.8130000000000002</v>
      </c>
      <c r="L472" s="19">
        <v>95.673100000000005</v>
      </c>
      <c r="M472" s="19">
        <v>79914000000</v>
      </c>
      <c r="N472" s="19">
        <v>117.8754</v>
      </c>
      <c r="O472">
        <v>24.789000000000001</v>
      </c>
      <c r="P472">
        <v>40.2288</v>
      </c>
      <c r="Q472" s="19">
        <v>53584.489000000001</v>
      </c>
      <c r="R472" s="19">
        <v>45042.067000000003</v>
      </c>
      <c r="S472" s="19">
        <v>1.2476</v>
      </c>
      <c r="T472" s="19">
        <v>62045.856399999997</v>
      </c>
      <c r="U472" s="19">
        <v>49751.309300000001</v>
      </c>
      <c r="V472">
        <v>28.6</v>
      </c>
      <c r="W472" s="19">
        <v>98.076899999999995</v>
      </c>
      <c r="X472">
        <v>96</v>
      </c>
      <c r="Y472">
        <v>94</v>
      </c>
      <c r="Z472">
        <v>96</v>
      </c>
      <c r="AA472">
        <v>3.5</v>
      </c>
      <c r="AB472">
        <v>91.7</v>
      </c>
      <c r="AC472">
        <v>81.707300000000004</v>
      </c>
      <c r="AE472">
        <v>5</v>
      </c>
      <c r="AF472">
        <v>95.454400000000007</v>
      </c>
      <c r="AG472">
        <v>3.5</v>
      </c>
      <c r="AH472">
        <v>9.7000000000000003E-2</v>
      </c>
      <c r="AI472">
        <v>4.0999999999999996</v>
      </c>
      <c r="AJ472">
        <v>3.7</v>
      </c>
      <c r="AK472">
        <v>4.5</v>
      </c>
      <c r="AL472">
        <v>68.789900000000003</v>
      </c>
      <c r="AM472">
        <v>2.7</v>
      </c>
      <c r="AN472">
        <v>36591</v>
      </c>
      <c r="AO472">
        <v>0</v>
      </c>
      <c r="AP472">
        <v>100</v>
      </c>
      <c r="AQ472">
        <v>97.746799999999993</v>
      </c>
      <c r="AR472">
        <v>99.9773</v>
      </c>
      <c r="AS472">
        <v>97.452399999999997</v>
      </c>
      <c r="AT472">
        <v>97.483199999999997</v>
      </c>
      <c r="AU472">
        <v>12.613300000000001</v>
      </c>
      <c r="AV472" s="19">
        <v>86.1905</v>
      </c>
      <c r="AW472">
        <v>0.1</v>
      </c>
      <c r="AY472">
        <v>3</v>
      </c>
      <c r="AZ472">
        <v>6</v>
      </c>
      <c r="BA472">
        <v>97.48</v>
      </c>
      <c r="BB472">
        <v>38.666699999999999</v>
      </c>
      <c r="BC472">
        <v>7.1677999999999997</v>
      </c>
      <c r="BD472" s="19">
        <v>1.6120000000000001</v>
      </c>
      <c r="BE472" s="19">
        <v>95.673100000000005</v>
      </c>
      <c r="BF472">
        <v>11.269299999999999</v>
      </c>
      <c r="BG472">
        <v>5.6</v>
      </c>
      <c r="BH472" s="20">
        <v>2.1732999999999998</v>
      </c>
      <c r="BI472" s="20">
        <v>4926.0928000000004</v>
      </c>
      <c r="BJ472" s="19">
        <v>97.115399999999994</v>
      </c>
      <c r="BN472">
        <v>7</v>
      </c>
      <c r="BO472">
        <v>5.8289999999999997</v>
      </c>
      <c r="BP472">
        <v>11.63</v>
      </c>
      <c r="BQ472" s="19">
        <v>98.883300000000006</v>
      </c>
      <c r="BR472">
        <v>80.948400000000007</v>
      </c>
      <c r="BS472" s="20">
        <v>7.4189999999999996</v>
      </c>
      <c r="BT472" s="20">
        <v>7.4189999999999996</v>
      </c>
      <c r="BU472" s="20">
        <v>12.529</v>
      </c>
      <c r="BV472" s="20">
        <v>12.725</v>
      </c>
      <c r="BW472" s="19">
        <v>98.029600000000002</v>
      </c>
      <c r="BX472">
        <v>17.670000000000002</v>
      </c>
      <c r="BY472" s="6">
        <v>35856074</v>
      </c>
      <c r="BZ472" s="5">
        <v>99751562</v>
      </c>
      <c r="CA472" s="7">
        <f t="shared" si="35"/>
        <v>2.7819989996673926</v>
      </c>
      <c r="CB472">
        <v>16865008</v>
      </c>
      <c r="CC472" s="8">
        <f t="shared" si="36"/>
        <v>5.9147058809577793</v>
      </c>
      <c r="CD472" s="8">
        <f t="shared" si="37"/>
        <v>2.126063266616891</v>
      </c>
      <c r="CE472">
        <v>37377</v>
      </c>
      <c r="CF472" s="8">
        <f t="shared" si="38"/>
        <v>959.30850523048935</v>
      </c>
      <c r="CG472" s="8">
        <f t="shared" si="39"/>
        <v>2668.7953019236429</v>
      </c>
      <c r="CH472">
        <v>99.98827</v>
      </c>
    </row>
    <row r="473" spans="1:86" ht="15.5" x14ac:dyDescent="0.35">
      <c r="A473" t="s">
        <v>105</v>
      </c>
      <c r="B473">
        <v>2015</v>
      </c>
      <c r="C473" s="2">
        <v>52.427300000000002</v>
      </c>
      <c r="D473">
        <v>239341.5</v>
      </c>
      <c r="E473">
        <v>0.1585</v>
      </c>
      <c r="F473">
        <v>10.001099999999999</v>
      </c>
      <c r="G473">
        <v>193000</v>
      </c>
      <c r="H473">
        <v>13</v>
      </c>
      <c r="I473" s="19">
        <v>99.992000000000004</v>
      </c>
      <c r="J473" s="19">
        <v>100.04</v>
      </c>
      <c r="K473" s="19">
        <v>2.79</v>
      </c>
      <c r="L473" s="19">
        <v>94.285700000000006</v>
      </c>
      <c r="M473" s="19">
        <v>37850000000</v>
      </c>
      <c r="N473" s="19">
        <v>100</v>
      </c>
      <c r="O473">
        <v>22.936</v>
      </c>
      <c r="P473">
        <v>41.088000000000001</v>
      </c>
      <c r="Q473" s="19">
        <v>45904.667999999998</v>
      </c>
      <c r="R473" s="19">
        <v>45793.813499999997</v>
      </c>
      <c r="S473" s="19">
        <v>1.669</v>
      </c>
      <c r="T473" s="19">
        <v>63081.394099999998</v>
      </c>
      <c r="U473" s="19">
        <v>50970.3485</v>
      </c>
      <c r="V473">
        <v>28.2</v>
      </c>
      <c r="W473" s="19">
        <v>97.142899999999997</v>
      </c>
      <c r="X473">
        <v>95</v>
      </c>
      <c r="Y473">
        <v>94</v>
      </c>
      <c r="Z473">
        <v>95</v>
      </c>
      <c r="AA473">
        <v>3.5</v>
      </c>
      <c r="AB473">
        <v>91.7</v>
      </c>
      <c r="AC473">
        <v>81.509799999999998</v>
      </c>
      <c r="AE473">
        <v>5</v>
      </c>
      <c r="AF473">
        <v>95.679500000000004</v>
      </c>
      <c r="AG473">
        <v>3.8</v>
      </c>
      <c r="AH473">
        <v>0.11</v>
      </c>
      <c r="AI473">
        <v>4.0999999999999996</v>
      </c>
      <c r="AJ473">
        <v>3.7</v>
      </c>
      <c r="AK473">
        <v>4.5</v>
      </c>
      <c r="AL473">
        <v>68.2483</v>
      </c>
      <c r="AM473">
        <v>2.6</v>
      </c>
      <c r="AN473">
        <v>55585</v>
      </c>
      <c r="AO473">
        <v>0</v>
      </c>
      <c r="AP473">
        <v>100</v>
      </c>
      <c r="AQ473">
        <v>97.735200000000006</v>
      </c>
      <c r="AR473">
        <v>99.976200000000006</v>
      </c>
      <c r="AS473">
        <v>97.455299999999994</v>
      </c>
      <c r="AT473">
        <v>97.486500000000007</v>
      </c>
      <c r="AU473">
        <v>13.1341</v>
      </c>
      <c r="AV473" s="19">
        <v>78.571399999999997</v>
      </c>
      <c r="AW473">
        <v>0.1</v>
      </c>
      <c r="AX473">
        <v>12.7</v>
      </c>
      <c r="AY473">
        <v>3</v>
      </c>
      <c r="AZ473">
        <v>6</v>
      </c>
      <c r="BA473">
        <v>97.483400000000003</v>
      </c>
      <c r="BB473">
        <v>37.333300000000001</v>
      </c>
      <c r="BC473">
        <v>6.8193000000000001</v>
      </c>
      <c r="BD473" s="19">
        <v>2.121</v>
      </c>
      <c r="BE473" s="19">
        <v>96.666700000000006</v>
      </c>
      <c r="BF473">
        <v>12.4231</v>
      </c>
      <c r="BG473">
        <v>5.8</v>
      </c>
      <c r="BH473" s="20">
        <v>2.1461000000000001</v>
      </c>
      <c r="BI473" s="20">
        <v>4891.7812999999996</v>
      </c>
      <c r="BJ473" s="19">
        <v>97.142899999999997</v>
      </c>
      <c r="BK473">
        <v>0.99960000000000004</v>
      </c>
      <c r="BL473">
        <v>1.0083</v>
      </c>
      <c r="BM473">
        <v>1.0145999999999999</v>
      </c>
      <c r="BN473">
        <v>7</v>
      </c>
      <c r="BO473">
        <v>4.22</v>
      </c>
      <c r="BP473">
        <v>11.78</v>
      </c>
      <c r="BQ473" s="19">
        <v>100</v>
      </c>
      <c r="BR473">
        <v>82.787400000000005</v>
      </c>
      <c r="BS473" s="20">
        <v>6.8719999999999999</v>
      </c>
      <c r="BT473" s="20">
        <v>6.8719999999999999</v>
      </c>
      <c r="BU473" s="20">
        <v>11.103</v>
      </c>
      <c r="BV473" s="20">
        <v>11.252000000000001</v>
      </c>
      <c r="BW473" s="19">
        <v>99.014799999999994</v>
      </c>
      <c r="BX473">
        <v>15.89</v>
      </c>
      <c r="BY473" s="6">
        <v>37318438</v>
      </c>
      <c r="BZ473" s="5">
        <v>103534302</v>
      </c>
      <c r="CA473" s="7">
        <f t="shared" si="35"/>
        <v>2.7743471471126417</v>
      </c>
      <c r="CB473">
        <v>16939923</v>
      </c>
      <c r="CC473" s="8">
        <f t="shared" si="36"/>
        <v>6.1118519842150407</v>
      </c>
      <c r="CD473" s="8">
        <f t="shared" si="37"/>
        <v>2.2029874634022835</v>
      </c>
      <c r="CE473">
        <v>37377</v>
      </c>
      <c r="CF473" s="8">
        <f t="shared" si="38"/>
        <v>998.43320758755385</v>
      </c>
      <c r="CG473" s="8">
        <f t="shared" si="39"/>
        <v>2770.000321053054</v>
      </c>
      <c r="CH473">
        <v>100</v>
      </c>
    </row>
    <row r="474" spans="1:86" ht="15.5" x14ac:dyDescent="0.35">
      <c r="A474" t="s">
        <v>105</v>
      </c>
      <c r="B474">
        <v>2016</v>
      </c>
      <c r="C474" s="2">
        <v>52.697299999999998</v>
      </c>
      <c r="D474">
        <v>283735.5</v>
      </c>
      <c r="E474">
        <v>0.15609999999999999</v>
      </c>
      <c r="F474">
        <v>10.0311</v>
      </c>
      <c r="G474">
        <v>193000</v>
      </c>
      <c r="H474">
        <v>13</v>
      </c>
      <c r="I474" s="19">
        <v>100.105</v>
      </c>
      <c r="J474" s="19">
        <v>100.79</v>
      </c>
      <c r="K474" s="19">
        <v>2.9319999999999999</v>
      </c>
      <c r="L474" s="19">
        <v>94.761899999999997</v>
      </c>
      <c r="M474" s="19">
        <v>58306000000</v>
      </c>
      <c r="N474" s="19">
        <v>100.02889999999999</v>
      </c>
      <c r="O474">
        <v>24.843</v>
      </c>
      <c r="P474">
        <v>41.981400000000001</v>
      </c>
      <c r="Q474" s="19">
        <v>46936.707000000002</v>
      </c>
      <c r="R474" s="19">
        <v>46655.036399999997</v>
      </c>
      <c r="S474" s="19">
        <v>1.8807</v>
      </c>
      <c r="T474" s="19">
        <v>64267.736400000002</v>
      </c>
      <c r="U474" s="19">
        <v>53162.279199999997</v>
      </c>
      <c r="V474">
        <v>28.2</v>
      </c>
      <c r="W474" s="19">
        <v>97.619</v>
      </c>
      <c r="X474">
        <v>95</v>
      </c>
      <c r="Y474">
        <v>93</v>
      </c>
      <c r="Z474">
        <v>94</v>
      </c>
      <c r="AA474">
        <v>3.5</v>
      </c>
      <c r="AB474">
        <v>90.4</v>
      </c>
      <c r="AC474">
        <v>81.561000000000007</v>
      </c>
      <c r="AE474">
        <v>5</v>
      </c>
      <c r="AF474">
        <v>95.790999999999997</v>
      </c>
      <c r="AG474">
        <v>3.8</v>
      </c>
      <c r="AH474">
        <v>8.8999999999999996E-2</v>
      </c>
      <c r="AI474">
        <v>4.0999999999999996</v>
      </c>
      <c r="AJ474">
        <v>3.7</v>
      </c>
      <c r="AK474">
        <v>4.4000000000000004</v>
      </c>
      <c r="AL474">
        <v>67.674700000000001</v>
      </c>
      <c r="AM474">
        <v>2.6</v>
      </c>
      <c r="AN474">
        <v>88743</v>
      </c>
      <c r="AO474">
        <v>0</v>
      </c>
      <c r="AP474">
        <v>100</v>
      </c>
      <c r="AQ474">
        <v>97.724100000000007</v>
      </c>
      <c r="AR474">
        <v>99.974999999999994</v>
      </c>
      <c r="AS474">
        <v>97.458200000000005</v>
      </c>
      <c r="AT474">
        <v>97.489800000000002</v>
      </c>
      <c r="AU474">
        <v>11.958500000000001</v>
      </c>
      <c r="AV474" s="19">
        <v>77.619</v>
      </c>
      <c r="AW474">
        <v>0</v>
      </c>
      <c r="AX474">
        <v>13.2</v>
      </c>
      <c r="AY474">
        <v>3</v>
      </c>
      <c r="AZ474">
        <v>6</v>
      </c>
      <c r="BA474">
        <v>97.486800000000002</v>
      </c>
      <c r="BB474">
        <v>37.333300000000001</v>
      </c>
      <c r="BC474">
        <v>6.6429</v>
      </c>
      <c r="BD474" s="19">
        <v>2.4249999999999998</v>
      </c>
      <c r="BE474" s="19">
        <v>98.571399999999997</v>
      </c>
      <c r="BF474">
        <v>12.8331</v>
      </c>
      <c r="BG474">
        <v>5.6</v>
      </c>
      <c r="BH474" s="20">
        <v>2.1507999999999998</v>
      </c>
      <c r="BI474" s="20">
        <v>5109.2051000000001</v>
      </c>
      <c r="BJ474" s="19">
        <v>97.142899999999997</v>
      </c>
      <c r="BK474">
        <v>1.0001</v>
      </c>
      <c r="BL474">
        <v>1.0092000000000001</v>
      </c>
      <c r="BM474">
        <v>1.0159</v>
      </c>
      <c r="BN474">
        <v>7</v>
      </c>
      <c r="BO474">
        <v>4.5940000000000003</v>
      </c>
      <c r="BP474">
        <v>11.83</v>
      </c>
      <c r="BQ474" s="19">
        <v>100.8395</v>
      </c>
      <c r="BR474">
        <v>84.248000000000005</v>
      </c>
      <c r="BS474" s="20">
        <v>6.0069999999999997</v>
      </c>
      <c r="BT474" s="20">
        <v>6.0069999999999997</v>
      </c>
      <c r="BU474" s="20">
        <v>10.638999999999999</v>
      </c>
      <c r="BV474" s="20">
        <v>10.815</v>
      </c>
      <c r="BW474" s="19">
        <v>98.522199999999998</v>
      </c>
      <c r="BX474">
        <v>16.54</v>
      </c>
      <c r="BY474" s="6">
        <v>38883066</v>
      </c>
      <c r="BZ474" s="5">
        <v>106212858</v>
      </c>
      <c r="CA474" s="7">
        <f t="shared" si="35"/>
        <v>2.7315967830314616</v>
      </c>
      <c r="CB474">
        <v>17030314</v>
      </c>
      <c r="CC474" s="8">
        <f t="shared" si="36"/>
        <v>6.2366940503856831</v>
      </c>
      <c r="CD474" s="8">
        <f t="shared" si="37"/>
        <v>2.2831678852192625</v>
      </c>
      <c r="CE474">
        <v>37377</v>
      </c>
      <c r="CF474" s="8">
        <f t="shared" si="38"/>
        <v>1040.2939240709527</v>
      </c>
      <c r="CG474" s="8">
        <f t="shared" si="39"/>
        <v>2841.6635363993901</v>
      </c>
      <c r="CH474">
        <v>99.936890000000005</v>
      </c>
    </row>
    <row r="475" spans="1:86" ht="15.5" x14ac:dyDescent="0.35">
      <c r="A475" t="s">
        <v>105</v>
      </c>
      <c r="B475">
        <v>2017</v>
      </c>
      <c r="C475" s="2">
        <v>52.984099999999998</v>
      </c>
      <c r="D475">
        <v>286485.40000000002</v>
      </c>
      <c r="E475">
        <v>0.14940000000000001</v>
      </c>
      <c r="F475">
        <v>9.8119999999999994</v>
      </c>
      <c r="G475">
        <v>193000</v>
      </c>
      <c r="H475">
        <v>13</v>
      </c>
      <c r="I475" s="19">
        <v>101.4</v>
      </c>
      <c r="J475" s="19">
        <v>102.01</v>
      </c>
      <c r="K475" s="19">
        <v>3.3260000000000001</v>
      </c>
      <c r="L475" s="19">
        <v>92.381</v>
      </c>
      <c r="M475" s="19">
        <v>68929000000</v>
      </c>
      <c r="N475" s="19">
        <v>114.30889999999999</v>
      </c>
      <c r="O475">
        <v>25.491</v>
      </c>
      <c r="P475">
        <v>42.0989</v>
      </c>
      <c r="Q475" s="19">
        <v>49640.480000000003</v>
      </c>
      <c r="R475" s="19">
        <v>47670.1057</v>
      </c>
      <c r="S475" s="19">
        <v>2.1757</v>
      </c>
      <c r="T475" s="19">
        <v>65666.003599999996</v>
      </c>
      <c r="U475" s="19">
        <v>56037.567999999999</v>
      </c>
      <c r="V475">
        <v>28.5</v>
      </c>
      <c r="W475" s="19">
        <v>96.1905</v>
      </c>
      <c r="X475">
        <v>94</v>
      </c>
      <c r="Y475">
        <v>92</v>
      </c>
      <c r="Z475">
        <v>93</v>
      </c>
      <c r="AA475">
        <v>3.5</v>
      </c>
      <c r="AB475">
        <v>93.2</v>
      </c>
      <c r="AC475">
        <v>81.760999999999996</v>
      </c>
      <c r="AE475">
        <v>5</v>
      </c>
      <c r="AF475">
        <v>95.883099999999999</v>
      </c>
      <c r="AG475">
        <v>3.7</v>
      </c>
      <c r="AH475">
        <v>0.12</v>
      </c>
      <c r="AI475">
        <v>4</v>
      </c>
      <c r="AJ475">
        <v>3.6</v>
      </c>
      <c r="AK475">
        <v>4.4000000000000004</v>
      </c>
      <c r="AL475">
        <v>67.483699999999999</v>
      </c>
      <c r="AM475">
        <v>2.6</v>
      </c>
      <c r="AN475">
        <v>86332</v>
      </c>
      <c r="AO475">
        <v>0</v>
      </c>
      <c r="AP475">
        <v>100</v>
      </c>
      <c r="AQ475">
        <v>97.713499999999996</v>
      </c>
      <c r="AR475">
        <v>99.973799999999997</v>
      </c>
      <c r="AS475">
        <v>97.461200000000005</v>
      </c>
      <c r="AT475">
        <v>97.493099999999998</v>
      </c>
      <c r="AU475">
        <v>12.717700000000001</v>
      </c>
      <c r="AV475" s="19">
        <v>78.571399999999997</v>
      </c>
      <c r="AW475">
        <v>0.2</v>
      </c>
      <c r="AX475">
        <v>13.3</v>
      </c>
      <c r="AY475">
        <v>3</v>
      </c>
      <c r="AZ475">
        <v>6</v>
      </c>
      <c r="BA475">
        <v>97.490200000000002</v>
      </c>
      <c r="BB475">
        <v>36</v>
      </c>
      <c r="BC475">
        <v>6.5019999999999998</v>
      </c>
      <c r="BD475" s="19">
        <v>2.7829999999999999</v>
      </c>
      <c r="BE475" s="19">
        <v>98.571399999999997</v>
      </c>
      <c r="BF475">
        <v>14.8804</v>
      </c>
      <c r="BG475">
        <v>6.4</v>
      </c>
      <c r="BH475" s="20">
        <v>2.1785999999999999</v>
      </c>
      <c r="BI475" s="20">
        <v>5273.1763000000001</v>
      </c>
      <c r="BJ475" s="19">
        <v>95.714299999999994</v>
      </c>
      <c r="BK475">
        <v>0.99990000000000001</v>
      </c>
      <c r="BL475">
        <v>1.0076000000000001</v>
      </c>
      <c r="BM475">
        <v>1.0129999999999999</v>
      </c>
      <c r="BN475">
        <v>7</v>
      </c>
      <c r="BO475">
        <v>4.1820000000000004</v>
      </c>
      <c r="BP475">
        <v>11.93</v>
      </c>
      <c r="BQ475" s="19">
        <v>99.918199999999999</v>
      </c>
      <c r="BR475">
        <v>87.2654</v>
      </c>
      <c r="BS475" s="20">
        <v>4.8369999999999997</v>
      </c>
      <c r="BT475" s="20">
        <v>4.8369999999999997</v>
      </c>
      <c r="BU475" s="20">
        <v>8.7149999999999999</v>
      </c>
      <c r="BV475" s="20">
        <v>8.8620000000000001</v>
      </c>
      <c r="BW475" s="19">
        <v>96.551699999999997</v>
      </c>
      <c r="BX475">
        <v>15.06</v>
      </c>
      <c r="BY475" s="6">
        <v>42235134</v>
      </c>
      <c r="BZ475" s="5">
        <v>111697814</v>
      </c>
      <c r="CA475" s="7">
        <f t="shared" si="35"/>
        <v>2.6446657893875747</v>
      </c>
      <c r="CB475">
        <v>17131296</v>
      </c>
      <c r="CC475" s="8">
        <f t="shared" si="36"/>
        <v>6.5201029741124081</v>
      </c>
      <c r="CD475" s="8">
        <f t="shared" si="37"/>
        <v>2.4653788014637072</v>
      </c>
      <c r="CE475">
        <v>37377</v>
      </c>
      <c r="CF475" s="8">
        <f t="shared" si="38"/>
        <v>1129.9765631270568</v>
      </c>
      <c r="CG475" s="8">
        <f t="shared" si="39"/>
        <v>2988.4103593118762</v>
      </c>
      <c r="CH475">
        <v>99.535489999999996</v>
      </c>
    </row>
    <row r="476" spans="1:86" ht="15.5" x14ac:dyDescent="0.35">
      <c r="A476" t="s">
        <v>105</v>
      </c>
      <c r="B476">
        <v>2018</v>
      </c>
      <c r="C476" s="2">
        <v>53.259599999999999</v>
      </c>
      <c r="D476">
        <v>242034</v>
      </c>
      <c r="E476">
        <v>0.14169999999999999</v>
      </c>
      <c r="F476">
        <v>9.4605999999999995</v>
      </c>
      <c r="G476">
        <v>193000</v>
      </c>
      <c r="H476">
        <v>13</v>
      </c>
      <c r="I476" s="19">
        <v>103.02</v>
      </c>
      <c r="J476" s="19">
        <v>103.84</v>
      </c>
      <c r="K476" s="19">
        <v>3.5790000000000002</v>
      </c>
      <c r="L476" s="19">
        <v>95.238100000000003</v>
      </c>
      <c r="M476" s="19">
        <v>83668000000</v>
      </c>
      <c r="N476" s="19">
        <v>127.3921</v>
      </c>
      <c r="O476">
        <v>24.111999999999998</v>
      </c>
      <c r="P476">
        <v>42.5152</v>
      </c>
      <c r="Q476" s="19">
        <v>54138.330999999998</v>
      </c>
      <c r="R476" s="19">
        <v>48463.03</v>
      </c>
      <c r="S476" s="19">
        <v>1.6634</v>
      </c>
      <c r="T476" s="19">
        <v>66758.263999999996</v>
      </c>
      <c r="U476" s="19">
        <v>58819.260900000001</v>
      </c>
      <c r="V476">
        <v>28.1</v>
      </c>
      <c r="W476" s="19">
        <v>96.1905</v>
      </c>
      <c r="X476">
        <v>93</v>
      </c>
      <c r="Y476">
        <v>92</v>
      </c>
      <c r="Z476">
        <v>93</v>
      </c>
      <c r="AA476">
        <v>3.5</v>
      </c>
      <c r="AB476">
        <v>91.9</v>
      </c>
      <c r="AC476">
        <v>81.812200000000004</v>
      </c>
      <c r="AE476">
        <v>5</v>
      </c>
      <c r="AF476">
        <v>95.927999999999997</v>
      </c>
      <c r="AG476">
        <v>4.0999999999999996</v>
      </c>
      <c r="AH476">
        <v>7.4999999999999997E-2</v>
      </c>
      <c r="AI476">
        <v>4</v>
      </c>
      <c r="AJ476">
        <v>3.6</v>
      </c>
      <c r="AK476">
        <v>4.4000000000000004</v>
      </c>
      <c r="AL476">
        <v>67.144800000000004</v>
      </c>
      <c r="AM476">
        <v>2.6</v>
      </c>
      <c r="AN476">
        <v>87197</v>
      </c>
      <c r="AO476">
        <v>0</v>
      </c>
      <c r="AP476">
        <v>100</v>
      </c>
      <c r="AQ476">
        <v>97.703599999999994</v>
      </c>
      <c r="AR476">
        <v>99.9726</v>
      </c>
      <c r="AS476">
        <v>97.464399999999998</v>
      </c>
      <c r="AT476">
        <v>97.496399999999994</v>
      </c>
      <c r="AU476">
        <v>12.0709</v>
      </c>
      <c r="AV476" s="19">
        <v>75.471699999999998</v>
      </c>
      <c r="AW476">
        <v>0.1</v>
      </c>
      <c r="AX476">
        <v>13.2</v>
      </c>
      <c r="AY476">
        <v>3</v>
      </c>
      <c r="AZ476">
        <v>6</v>
      </c>
      <c r="BA476">
        <v>97.493700000000004</v>
      </c>
      <c r="BB476">
        <v>36</v>
      </c>
      <c r="BC476">
        <v>6.5860000000000003</v>
      </c>
      <c r="BD476" s="19">
        <v>2.2599999999999998</v>
      </c>
      <c r="BE476" s="19">
        <v>99.047600000000003</v>
      </c>
      <c r="BF476">
        <v>16.528099999999998</v>
      </c>
      <c r="BG476">
        <v>7.4</v>
      </c>
      <c r="BH476" s="20">
        <v>2.1387999999999998</v>
      </c>
      <c r="BI476" s="20">
        <v>5496.7905000000001</v>
      </c>
      <c r="BJ476" s="19">
        <v>95.714299999999994</v>
      </c>
      <c r="BK476">
        <v>0.99909999999999999</v>
      </c>
      <c r="BL476">
        <v>1.0055000000000001</v>
      </c>
      <c r="BM476">
        <v>1.0101</v>
      </c>
      <c r="BN476">
        <v>7</v>
      </c>
      <c r="BO476">
        <v>4.0270000000000001</v>
      </c>
      <c r="BP476">
        <v>11.28</v>
      </c>
      <c r="BQ476" s="19">
        <v>99.748699999999999</v>
      </c>
      <c r="BR476">
        <v>89.881200000000007</v>
      </c>
      <c r="BS476" s="20">
        <v>3.8319999999999999</v>
      </c>
      <c r="BT476" s="20">
        <v>3.8319999999999999</v>
      </c>
      <c r="BU476" s="20">
        <v>7.0439999999999996</v>
      </c>
      <c r="BV476" s="20">
        <v>7.165</v>
      </c>
      <c r="BW476" s="19">
        <v>96.116500000000002</v>
      </c>
      <c r="BX476">
        <v>14.04</v>
      </c>
      <c r="BY476" s="6">
        <v>43912615</v>
      </c>
      <c r="BZ476" s="5">
        <v>116081577</v>
      </c>
      <c r="CA476" s="7">
        <f t="shared" si="35"/>
        <v>2.6434676459145052</v>
      </c>
      <c r="CB476">
        <v>17231624</v>
      </c>
      <c r="CC476" s="8">
        <f t="shared" si="36"/>
        <v>6.736543055953403</v>
      </c>
      <c r="CD476" s="8">
        <f t="shared" si="37"/>
        <v>2.5483735601473199</v>
      </c>
      <c r="CE476">
        <v>37377</v>
      </c>
      <c r="CF476" s="8">
        <f t="shared" si="38"/>
        <v>1174.8565963025389</v>
      </c>
      <c r="CG476" s="8">
        <f t="shared" si="39"/>
        <v>3105.6954009150013</v>
      </c>
      <c r="CH476">
        <v>99.528890000000004</v>
      </c>
    </row>
    <row r="477" spans="1:86" ht="15.5" x14ac:dyDescent="0.35">
      <c r="A477" t="s">
        <v>105</v>
      </c>
      <c r="B477">
        <v>2019</v>
      </c>
      <c r="C477" s="2">
        <v>53.512500000000003</v>
      </c>
      <c r="D477">
        <v>237738.6</v>
      </c>
      <c r="E477">
        <v>0.1341</v>
      </c>
      <c r="F477">
        <v>9.1013000000000002</v>
      </c>
      <c r="G477">
        <v>193000</v>
      </c>
      <c r="H477">
        <v>13</v>
      </c>
      <c r="I477" s="19">
        <v>105.773</v>
      </c>
      <c r="J477" s="19">
        <v>106.64</v>
      </c>
      <c r="K477" s="19">
        <v>3.831</v>
      </c>
      <c r="L477" s="19">
        <v>95.714299999999994</v>
      </c>
      <c r="M477" s="19">
        <v>63550000000</v>
      </c>
      <c r="N477" s="19">
        <v>124.2188</v>
      </c>
      <c r="O477">
        <v>28.405000000000001</v>
      </c>
      <c r="P477">
        <v>42.529299999999999</v>
      </c>
      <c r="Q477" s="19">
        <v>53755.165000000001</v>
      </c>
      <c r="R477" s="19">
        <v>49254.015899999999</v>
      </c>
      <c r="S477" s="19">
        <v>1.6321000000000001</v>
      </c>
      <c r="T477" s="19">
        <v>67847.854300000006</v>
      </c>
      <c r="U477" s="19">
        <v>62345.253799999999</v>
      </c>
      <c r="V477">
        <v>29.2</v>
      </c>
      <c r="W477" s="19">
        <v>96.666700000000006</v>
      </c>
      <c r="X477">
        <v>94</v>
      </c>
      <c r="Y477">
        <v>92</v>
      </c>
      <c r="Z477">
        <v>94</v>
      </c>
      <c r="AA477">
        <v>3.5</v>
      </c>
      <c r="AB477">
        <v>93.3</v>
      </c>
      <c r="AC477">
        <v>82.112200000000001</v>
      </c>
      <c r="AE477">
        <v>5</v>
      </c>
      <c r="AF477">
        <v>95.927999999999997</v>
      </c>
      <c r="AG477">
        <v>4</v>
      </c>
      <c r="AH477">
        <v>7.9000000000000001E-2</v>
      </c>
      <c r="AI477">
        <v>4</v>
      </c>
      <c r="AJ477">
        <v>3.6</v>
      </c>
      <c r="AK477">
        <v>4.4000000000000004</v>
      </c>
      <c r="AL477">
        <v>66.828900000000004</v>
      </c>
      <c r="AM477">
        <v>2.6</v>
      </c>
      <c r="AN477">
        <v>109003</v>
      </c>
      <c r="AO477">
        <v>0</v>
      </c>
      <c r="AP477">
        <v>100</v>
      </c>
      <c r="AQ477">
        <v>97.694400000000002</v>
      </c>
      <c r="AR477">
        <v>99.971400000000003</v>
      </c>
      <c r="AS477">
        <v>97.467699999999994</v>
      </c>
      <c r="AT477">
        <v>97.499700000000004</v>
      </c>
      <c r="AU477">
        <v>11.364100000000001</v>
      </c>
      <c r="AV477" s="19">
        <v>75.471699999999998</v>
      </c>
      <c r="AW477">
        <v>0.1</v>
      </c>
      <c r="AX477">
        <v>13.4</v>
      </c>
      <c r="AY477">
        <v>3</v>
      </c>
      <c r="AZ477">
        <v>6</v>
      </c>
      <c r="BA477">
        <v>97.497100000000003</v>
      </c>
      <c r="BB477">
        <v>31.333300000000001</v>
      </c>
      <c r="BC477">
        <v>6.6920000000000002</v>
      </c>
      <c r="BD477" s="19">
        <v>2.2999999999999998</v>
      </c>
      <c r="BE477" s="19">
        <v>98.095200000000006</v>
      </c>
      <c r="BF477">
        <v>18.7758</v>
      </c>
      <c r="BG477">
        <v>8.6</v>
      </c>
      <c r="BH477" s="20">
        <v>2.1844000000000001</v>
      </c>
      <c r="BI477" s="20">
        <v>5592.1216000000004</v>
      </c>
      <c r="BJ477" s="19">
        <v>95.714299999999994</v>
      </c>
      <c r="BK477">
        <v>1.0001</v>
      </c>
      <c r="BL477">
        <v>1.0065</v>
      </c>
      <c r="BM477">
        <v>1.0111000000000001</v>
      </c>
      <c r="BN477">
        <v>7</v>
      </c>
      <c r="BO477">
        <v>4.2560000000000002</v>
      </c>
      <c r="BP477">
        <v>11.05</v>
      </c>
      <c r="BQ477" s="19">
        <v>99.650700000000001</v>
      </c>
      <c r="BR477">
        <v>91.075999999999993</v>
      </c>
      <c r="BS477" s="20">
        <v>3.379</v>
      </c>
      <c r="BT477" s="20">
        <v>3.379</v>
      </c>
      <c r="BU477" s="20">
        <v>6.6040000000000001</v>
      </c>
      <c r="BV477" s="20">
        <v>6.7350000000000003</v>
      </c>
      <c r="BW477" s="19">
        <v>96.618399999999994</v>
      </c>
      <c r="BX477">
        <v>13.29</v>
      </c>
      <c r="BY477" s="6">
        <v>45916002</v>
      </c>
      <c r="BZ477" s="5">
        <v>123442571</v>
      </c>
      <c r="CA477" s="7">
        <f t="shared" si="35"/>
        <v>2.6884433666502585</v>
      </c>
      <c r="CB477">
        <v>17344874</v>
      </c>
      <c r="CC477" s="8">
        <f t="shared" si="36"/>
        <v>7.1169482695579109</v>
      </c>
      <c r="CD477" s="8">
        <f t="shared" si="37"/>
        <v>2.6472375642509713</v>
      </c>
      <c r="CE477">
        <v>37377</v>
      </c>
      <c r="CF477" s="8">
        <f t="shared" si="38"/>
        <v>1228.4560558632313</v>
      </c>
      <c r="CG477" s="8">
        <f t="shared" si="39"/>
        <v>3302.6345346068438</v>
      </c>
      <c r="CH477">
        <v>101.04458</v>
      </c>
    </row>
    <row r="478" spans="1:86" ht="15.5" x14ac:dyDescent="0.35">
      <c r="A478" t="s">
        <v>105</v>
      </c>
      <c r="B478">
        <v>2020</v>
      </c>
      <c r="C478" s="2">
        <v>53.822400000000002</v>
      </c>
      <c r="D478">
        <v>236729.5</v>
      </c>
      <c r="E478">
        <v>0.12540000000000001</v>
      </c>
      <c r="F478">
        <v>8.1351999999999993</v>
      </c>
      <c r="G478">
        <v>193000</v>
      </c>
      <c r="H478">
        <v>13</v>
      </c>
      <c r="I478" s="19">
        <v>106.943</v>
      </c>
      <c r="J478" s="19">
        <v>107.58</v>
      </c>
      <c r="K478" s="19">
        <v>2.9140000000000001</v>
      </c>
      <c r="L478" s="19">
        <v>96.1905</v>
      </c>
      <c r="M478" s="19">
        <v>52034000000</v>
      </c>
      <c r="N478" s="19">
        <v>118.25960000000001</v>
      </c>
      <c r="O478">
        <v>23.21</v>
      </c>
      <c r="P478">
        <v>42.666699999999999</v>
      </c>
      <c r="Q478" s="19">
        <v>53529.218000000001</v>
      </c>
      <c r="R478" s="19">
        <v>47086.580399999999</v>
      </c>
      <c r="S478" s="19">
        <v>-4.4005000000000001</v>
      </c>
      <c r="T478" s="19">
        <v>64862.192199999998</v>
      </c>
      <c r="U478" s="19">
        <v>62596.6302</v>
      </c>
      <c r="V478">
        <v>26</v>
      </c>
      <c r="W478" s="19">
        <v>97.142899999999997</v>
      </c>
      <c r="X478">
        <v>94</v>
      </c>
      <c r="Y478">
        <v>93</v>
      </c>
      <c r="Z478">
        <v>94</v>
      </c>
      <c r="AA478">
        <v>3.5</v>
      </c>
      <c r="AB478">
        <v>91.3</v>
      </c>
      <c r="AC478">
        <v>81.358500000000006</v>
      </c>
      <c r="AE478">
        <v>4</v>
      </c>
      <c r="AF478">
        <v>95.927999999999997</v>
      </c>
      <c r="AH478">
        <v>6.8000000000000005E-2</v>
      </c>
      <c r="AI478">
        <v>4</v>
      </c>
      <c r="AJ478">
        <v>3.6</v>
      </c>
      <c r="AK478">
        <v>4.4000000000000004</v>
      </c>
      <c r="AL478">
        <v>66.667000000000002</v>
      </c>
      <c r="AM478">
        <v>2.6</v>
      </c>
      <c r="AN478">
        <v>67598</v>
      </c>
      <c r="AO478">
        <v>0</v>
      </c>
      <c r="AP478">
        <v>100</v>
      </c>
      <c r="AQ478">
        <v>97.6858</v>
      </c>
      <c r="AR478">
        <v>99.970299999999995</v>
      </c>
      <c r="AS478">
        <v>97.468000000000004</v>
      </c>
      <c r="AT478">
        <v>97.5</v>
      </c>
      <c r="AU478">
        <v>10.889200000000001</v>
      </c>
      <c r="AV478" s="19">
        <v>73.584900000000005</v>
      </c>
      <c r="AW478">
        <v>0</v>
      </c>
      <c r="AX478">
        <v>14.4</v>
      </c>
      <c r="AY478">
        <v>3</v>
      </c>
      <c r="AZ478">
        <v>6</v>
      </c>
      <c r="BA478">
        <v>97.497500000000002</v>
      </c>
      <c r="BB478">
        <v>33.333300000000001</v>
      </c>
      <c r="BC478">
        <v>7.7363999999999997</v>
      </c>
      <c r="BD478" s="19">
        <v>-3.8769999999999998</v>
      </c>
      <c r="BE478" s="19">
        <v>96.666700000000006</v>
      </c>
      <c r="BF478">
        <v>26.557600000000001</v>
      </c>
      <c r="BG478">
        <v>10.7</v>
      </c>
      <c r="BH478" s="20">
        <v>2.3218000000000001</v>
      </c>
      <c r="BI478" s="20">
        <v>5799.2754000000004</v>
      </c>
      <c r="BJ478" s="19">
        <v>94.761899999999997</v>
      </c>
      <c r="BK478">
        <v>0.998</v>
      </c>
      <c r="BL478">
        <v>1.0083</v>
      </c>
      <c r="BM478">
        <v>1.0158</v>
      </c>
      <c r="BN478">
        <v>6</v>
      </c>
      <c r="BO478">
        <v>4.673</v>
      </c>
      <c r="BP478">
        <v>11.06</v>
      </c>
      <c r="BQ478" s="19">
        <v>99.092500000000001</v>
      </c>
      <c r="BR478">
        <v>91.075999999999993</v>
      </c>
      <c r="BS478" s="20">
        <v>3.82</v>
      </c>
      <c r="BT478" s="20">
        <v>3.82</v>
      </c>
      <c r="BU478" s="20">
        <v>8.875</v>
      </c>
      <c r="BV478" s="20">
        <v>9.1059999999999999</v>
      </c>
      <c r="BW478" s="19">
        <v>98.067599999999999</v>
      </c>
      <c r="BX478">
        <v>12.01</v>
      </c>
      <c r="BY478" s="6">
        <v>27300782</v>
      </c>
      <c r="BZ478" s="5">
        <v>85414861</v>
      </c>
      <c r="CA478" s="7">
        <f t="shared" si="35"/>
        <v>3.1286598676917019</v>
      </c>
      <c r="CB478">
        <v>17441500</v>
      </c>
      <c r="CC478" s="8">
        <f t="shared" si="36"/>
        <v>4.897219906544735</v>
      </c>
      <c r="CD478" s="8">
        <f t="shared" si="37"/>
        <v>1.5652771837284638</v>
      </c>
      <c r="CE478">
        <v>37377</v>
      </c>
      <c r="CF478" s="8">
        <f t="shared" si="38"/>
        <v>730.41661984642963</v>
      </c>
      <c r="CG478" s="8">
        <f t="shared" si="39"/>
        <v>2285.2251652085506</v>
      </c>
      <c r="CH478">
        <v>101.8947</v>
      </c>
    </row>
    <row r="479" spans="1:86" ht="15.5" x14ac:dyDescent="0.35">
      <c r="A479" t="s">
        <v>105</v>
      </c>
      <c r="B479">
        <v>2021</v>
      </c>
      <c r="C479" s="2">
        <v>54.199100000000001</v>
      </c>
      <c r="D479">
        <v>235921.3</v>
      </c>
      <c r="E479">
        <v>0.1217</v>
      </c>
      <c r="F479">
        <v>8.3451000000000004</v>
      </c>
      <c r="G479">
        <v>193000</v>
      </c>
      <c r="H479">
        <v>13</v>
      </c>
      <c r="I479" s="19">
        <v>109.96599999999999</v>
      </c>
      <c r="J479" s="19">
        <v>114.52</v>
      </c>
      <c r="K479" s="19">
        <v>6.2510000000000003</v>
      </c>
      <c r="L479" s="19">
        <v>97.142899999999997</v>
      </c>
      <c r="M479" s="19">
        <v>105703000000</v>
      </c>
      <c r="N479" s="19">
        <v>146.6429</v>
      </c>
      <c r="O479">
        <v>26.329000000000001</v>
      </c>
      <c r="P479">
        <v>42.946100000000001</v>
      </c>
      <c r="Q479" s="19">
        <v>60380.434000000001</v>
      </c>
      <c r="R479" s="19">
        <v>49780.843999999997</v>
      </c>
      <c r="S479" s="19">
        <v>5.7218999999999998</v>
      </c>
      <c r="T479" s="19">
        <v>68573.564899999998</v>
      </c>
      <c r="U479" s="19">
        <v>68573.564899999998</v>
      </c>
      <c r="V479">
        <v>25.7</v>
      </c>
      <c r="W479" s="19">
        <v>96.1905</v>
      </c>
      <c r="X479">
        <v>95</v>
      </c>
      <c r="Y479">
        <v>93</v>
      </c>
      <c r="Z479">
        <v>93</v>
      </c>
      <c r="AA479">
        <v>3.5</v>
      </c>
      <c r="AB479">
        <v>92.1</v>
      </c>
      <c r="AC479">
        <v>81.309799999999996</v>
      </c>
      <c r="AE479">
        <v>5</v>
      </c>
      <c r="AH479">
        <v>0.08</v>
      </c>
      <c r="AI479">
        <v>4</v>
      </c>
      <c r="AJ479">
        <v>3.6</v>
      </c>
      <c r="AK479">
        <v>4.4000000000000004</v>
      </c>
      <c r="AL479">
        <v>66.767200000000003</v>
      </c>
      <c r="AM479">
        <v>2.6</v>
      </c>
      <c r="AN479">
        <v>106416</v>
      </c>
      <c r="AO479">
        <v>0</v>
      </c>
      <c r="AP479">
        <v>100</v>
      </c>
      <c r="AQ479">
        <v>97.677800000000005</v>
      </c>
      <c r="AR479">
        <v>99.969099999999997</v>
      </c>
      <c r="AS479">
        <v>97.468000000000004</v>
      </c>
      <c r="AT479">
        <v>97.5</v>
      </c>
      <c r="AV479" s="19">
        <v>78.301900000000003</v>
      </c>
      <c r="AW479">
        <v>0.1</v>
      </c>
      <c r="AX479">
        <v>14.5</v>
      </c>
      <c r="AY479">
        <v>3</v>
      </c>
      <c r="AZ479">
        <v>6</v>
      </c>
      <c r="BA479">
        <v>97.497600000000006</v>
      </c>
      <c r="BB479">
        <v>39.333300000000001</v>
      </c>
      <c r="BC479">
        <v>7.7645</v>
      </c>
      <c r="BD479" s="19">
        <v>6.2779999999999996</v>
      </c>
      <c r="BE479" s="19">
        <v>96.1905</v>
      </c>
      <c r="BF479">
        <v>33.148099999999999</v>
      </c>
      <c r="BG479">
        <v>12.2</v>
      </c>
      <c r="BH479" s="20">
        <v>2.2688000000000001</v>
      </c>
      <c r="BI479" s="20">
        <v>6003.8662000000004</v>
      </c>
      <c r="BJ479" s="19">
        <v>94.761899999999997</v>
      </c>
      <c r="BN479">
        <v>6</v>
      </c>
      <c r="BO479">
        <v>3.0790000000000002</v>
      </c>
      <c r="BP479">
        <v>11.5</v>
      </c>
      <c r="BQ479" s="19">
        <v>96.935900000000004</v>
      </c>
      <c r="BS479" s="20">
        <v>4.2089999999999996</v>
      </c>
      <c r="BT479" s="20">
        <v>4.2089999999999996</v>
      </c>
      <c r="BU479" s="20">
        <v>9.3309999999999995</v>
      </c>
      <c r="BV479" s="20">
        <v>9.3239999999999998</v>
      </c>
      <c r="BW479" s="19">
        <v>96.618399999999994</v>
      </c>
      <c r="BX479">
        <v>11.87</v>
      </c>
      <c r="BY479" s="6">
        <v>31720384</v>
      </c>
      <c r="BZ479" s="5">
        <v>101094277</v>
      </c>
      <c r="CA479" s="7">
        <f t="shared" si="35"/>
        <v>3.1870445515413683</v>
      </c>
      <c r="CB479">
        <v>17533044</v>
      </c>
      <c r="CC479" s="8">
        <f t="shared" si="36"/>
        <v>5.7659284377544484</v>
      </c>
      <c r="CD479" s="8">
        <f t="shared" si="37"/>
        <v>1.8091772312896723</v>
      </c>
      <c r="CE479">
        <v>37377</v>
      </c>
      <c r="CF479" s="8">
        <f t="shared" si="38"/>
        <v>848.66051314979802</v>
      </c>
      <c r="CG479" s="8">
        <f t="shared" si="39"/>
        <v>2704.7188645423657</v>
      </c>
      <c r="CH479">
        <v>101.79378</v>
      </c>
    </row>
    <row r="480" spans="1:86" ht="15.5" x14ac:dyDescent="0.35">
      <c r="A480" t="s">
        <v>105</v>
      </c>
      <c r="B480">
        <v>2022</v>
      </c>
      <c r="C480" s="2">
        <v>54.445599999999999</v>
      </c>
      <c r="E480">
        <v>0.1053</v>
      </c>
      <c r="F480">
        <v>7.5121000000000002</v>
      </c>
      <c r="H480">
        <v>13</v>
      </c>
      <c r="I480" s="19">
        <v>122.746</v>
      </c>
      <c r="J480" s="19">
        <v>127.28</v>
      </c>
      <c r="K480" s="19">
        <v>8.7970000000000006</v>
      </c>
      <c r="L480" s="19">
        <v>96.698099999999997</v>
      </c>
      <c r="M480" s="19">
        <v>69280000000</v>
      </c>
      <c r="N480" s="19"/>
      <c r="O480">
        <v>29.097000000000001</v>
      </c>
      <c r="P480">
        <v>43.564300000000003</v>
      </c>
      <c r="Q480" s="19">
        <v>59540.881000000001</v>
      </c>
      <c r="R480" s="19">
        <v>51777.5432</v>
      </c>
      <c r="S480" s="19">
        <v>4.0110000000000001</v>
      </c>
      <c r="T480" s="19">
        <v>71324.036099999998</v>
      </c>
      <c r="U480" s="19">
        <v>77152.223800000007</v>
      </c>
      <c r="W480" s="19">
        <v>95.283000000000001</v>
      </c>
      <c r="X480">
        <v>93</v>
      </c>
      <c r="Y480">
        <v>88</v>
      </c>
      <c r="Z480">
        <v>89</v>
      </c>
      <c r="AA480">
        <v>3.5</v>
      </c>
      <c r="AB480">
        <v>92.5</v>
      </c>
      <c r="AC480">
        <v>81.614599999999996</v>
      </c>
      <c r="AE480">
        <v>4</v>
      </c>
      <c r="AI480">
        <v>4</v>
      </c>
      <c r="AJ480">
        <v>3.6</v>
      </c>
      <c r="AK480">
        <v>4.4000000000000004</v>
      </c>
      <c r="AL480">
        <v>66.0351</v>
      </c>
      <c r="AM480">
        <v>2.6</v>
      </c>
      <c r="AN480">
        <v>224472</v>
      </c>
      <c r="AO480">
        <v>0</v>
      </c>
      <c r="AP480">
        <v>100</v>
      </c>
      <c r="AQ480">
        <v>97.670199999999994</v>
      </c>
      <c r="AR480">
        <v>99.9679</v>
      </c>
      <c r="AS480">
        <v>97.468000000000004</v>
      </c>
      <c r="AT480">
        <v>97.5</v>
      </c>
      <c r="AV480" s="19">
        <v>70.7547</v>
      </c>
      <c r="AY480">
        <v>3</v>
      </c>
      <c r="AZ480">
        <v>6</v>
      </c>
      <c r="BA480">
        <v>97.497699999999995</v>
      </c>
      <c r="BB480">
        <v>40.666699999999999</v>
      </c>
      <c r="BC480">
        <v>6.9225000000000003</v>
      </c>
      <c r="BD480" s="19">
        <v>5.0069999999999997</v>
      </c>
      <c r="BE480" s="19">
        <v>96.698099999999997</v>
      </c>
      <c r="BH480" s="20">
        <v>2.2553000000000001</v>
      </c>
      <c r="BI480" s="20">
        <v>6319.1752999999999</v>
      </c>
      <c r="BJ480" s="19">
        <v>93.396199999999993</v>
      </c>
      <c r="BN480">
        <v>6</v>
      </c>
      <c r="BO480">
        <v>3.2589999999999999</v>
      </c>
      <c r="BQ480" s="19"/>
      <c r="BS480" s="20">
        <v>3.5259999999999998</v>
      </c>
      <c r="BT480" s="20">
        <v>3.5259999999999998</v>
      </c>
      <c r="BU480" s="20">
        <v>7.6429999999999998</v>
      </c>
      <c r="BV480" s="20">
        <v>7.633</v>
      </c>
      <c r="BW480" s="19">
        <v>97.584500000000006</v>
      </c>
      <c r="BX480">
        <v>11.43</v>
      </c>
      <c r="BY480" s="6">
        <v>46000256</v>
      </c>
      <c r="BZ480" s="5">
        <v>132638265</v>
      </c>
      <c r="CA480" s="7">
        <f t="shared" si="35"/>
        <v>2.883424496594106</v>
      </c>
      <c r="CB480">
        <v>17700982</v>
      </c>
      <c r="CC480" s="8">
        <f t="shared" si="36"/>
        <v>7.4932715597360646</v>
      </c>
      <c r="CD480" s="8">
        <f t="shared" si="37"/>
        <v>2.5987403410726024</v>
      </c>
      <c r="CE480">
        <v>37377</v>
      </c>
      <c r="CF480" s="8">
        <f t="shared" si="38"/>
        <v>1230.7102228643284</v>
      </c>
      <c r="CG480" s="8">
        <f t="shared" si="39"/>
        <v>3548.6600048157957</v>
      </c>
      <c r="CH480">
        <v>104.63276999999999</v>
      </c>
    </row>
    <row r="481" spans="1:86" ht="15.5" x14ac:dyDescent="0.35">
      <c r="A481" t="s">
        <v>105</v>
      </c>
      <c r="B481">
        <v>2023</v>
      </c>
      <c r="C481" s="26">
        <v>54.6265</v>
      </c>
      <c r="E481">
        <v>9.7299999999999998E-2</v>
      </c>
      <c r="F481">
        <v>6.8731</v>
      </c>
      <c r="H481">
        <v>13</v>
      </c>
      <c r="I481" s="19">
        <v>127.8</v>
      </c>
      <c r="J481" s="19">
        <v>128.72</v>
      </c>
      <c r="K481" s="19">
        <v>6.0270000000000001</v>
      </c>
      <c r="L481" s="19">
        <v>96.226399999999998</v>
      </c>
      <c r="M481" s="19">
        <v>113786000000</v>
      </c>
      <c r="N481" s="19"/>
      <c r="P481">
        <v>43.264400000000002</v>
      </c>
      <c r="Q481" s="19">
        <v>64829.341</v>
      </c>
      <c r="R481" s="19">
        <v>51305.628199999999</v>
      </c>
      <c r="S481" s="19">
        <v>-0.91139999999999999</v>
      </c>
      <c r="T481" s="19">
        <v>70673.968900000007</v>
      </c>
      <c r="U481" s="19">
        <v>78305.288799999995</v>
      </c>
      <c r="W481" s="19">
        <v>95.7547</v>
      </c>
      <c r="X481">
        <v>92</v>
      </c>
      <c r="Y481">
        <v>86</v>
      </c>
      <c r="Z481">
        <v>89</v>
      </c>
      <c r="AA481">
        <v>3.5</v>
      </c>
      <c r="AB481">
        <v>97</v>
      </c>
      <c r="AC481">
        <v>81.914599999999993</v>
      </c>
      <c r="AE481">
        <v>4</v>
      </c>
      <c r="AI481">
        <v>4</v>
      </c>
      <c r="AJ481">
        <v>3.6</v>
      </c>
      <c r="AK481">
        <v>4.3</v>
      </c>
      <c r="AL481" s="24">
        <v>66.0351</v>
      </c>
      <c r="AM481">
        <v>2.6</v>
      </c>
      <c r="AN481">
        <v>144558</v>
      </c>
      <c r="AV481" s="19">
        <v>68.720399999999998</v>
      </c>
      <c r="AY481" s="25">
        <v>3</v>
      </c>
      <c r="AZ481">
        <v>6</v>
      </c>
      <c r="BB481">
        <v>40</v>
      </c>
      <c r="BD481" s="19">
        <v>7.2999999999999995E-2</v>
      </c>
      <c r="BE481" s="19">
        <v>97.169799999999995</v>
      </c>
      <c r="BH481" s="20"/>
      <c r="BI481" s="20"/>
      <c r="BJ481" s="19">
        <v>94.339600000000004</v>
      </c>
      <c r="BN481">
        <v>6</v>
      </c>
      <c r="BO481">
        <v>3.3319999999999999</v>
      </c>
      <c r="BQ481" s="19"/>
      <c r="BS481" s="20">
        <v>3.5369999999999999</v>
      </c>
      <c r="BT481" s="20">
        <v>3.5369999999999999</v>
      </c>
      <c r="BU481" s="20">
        <v>8.2680000000000007</v>
      </c>
      <c r="BV481" s="20">
        <v>8.2490000000000006</v>
      </c>
      <c r="BW481" s="19">
        <v>96.568600000000004</v>
      </c>
      <c r="BX481">
        <v>10.01</v>
      </c>
      <c r="BY481" s="6">
        <v>49403791</v>
      </c>
      <c r="BZ481" s="5">
        <v>142272461</v>
      </c>
      <c r="CA481" s="7">
        <f t="shared" si="35"/>
        <v>2.8797883344620252</v>
      </c>
      <c r="CB481">
        <v>17877117</v>
      </c>
      <c r="CC481" s="8">
        <f t="shared" si="36"/>
        <v>7.9583559810007394</v>
      </c>
      <c r="CD481" s="8">
        <f t="shared" si="37"/>
        <v>2.7635211538862783</v>
      </c>
      <c r="CE481">
        <v>37377</v>
      </c>
      <c r="CF481" s="8">
        <f t="shared" si="38"/>
        <v>1321.7698317146908</v>
      </c>
      <c r="CG481" s="8">
        <f t="shared" si="39"/>
        <v>3806.417342215801</v>
      </c>
      <c r="CH481">
        <v>102.78897000000001</v>
      </c>
    </row>
    <row r="482" spans="1:86" ht="15.5" x14ac:dyDescent="0.35">
      <c r="A482" t="s">
        <v>106</v>
      </c>
      <c r="B482">
        <v>2000</v>
      </c>
      <c r="C482" s="2">
        <v>46.383499999999998</v>
      </c>
      <c r="D482">
        <v>363879.4</v>
      </c>
      <c r="E482">
        <v>0.44069999999999998</v>
      </c>
      <c r="F482">
        <v>8.1815999999999995</v>
      </c>
      <c r="G482">
        <v>390000</v>
      </c>
      <c r="H482">
        <v>9</v>
      </c>
      <c r="I482" s="19">
        <v>118.137</v>
      </c>
      <c r="J482" s="19">
        <v>119.134</v>
      </c>
      <c r="K482" s="19">
        <v>4.9669999999999996</v>
      </c>
      <c r="L482" s="19">
        <v>73.404300000000006</v>
      </c>
      <c r="M482" s="19">
        <v>-10343000000</v>
      </c>
      <c r="N482" s="19">
        <v>15.9435</v>
      </c>
      <c r="O482">
        <v>32.853000000000002</v>
      </c>
      <c r="Q482" s="19">
        <v>4499.1220000000003</v>
      </c>
      <c r="R482" s="19">
        <v>7401.5770000000002</v>
      </c>
      <c r="S482" s="19">
        <v>5.7549999999999999</v>
      </c>
      <c r="T482" s="19">
        <v>18566.354599999999</v>
      </c>
      <c r="U482" s="19">
        <v>10718.9105</v>
      </c>
      <c r="W482" s="19">
        <v>69.398899999999998</v>
      </c>
      <c r="X482">
        <v>98</v>
      </c>
      <c r="Y482">
        <v>99</v>
      </c>
      <c r="Z482">
        <v>97</v>
      </c>
      <c r="AA482">
        <v>8.1</v>
      </c>
      <c r="AB482">
        <v>7.29</v>
      </c>
      <c r="AC482">
        <v>73.748800000000003</v>
      </c>
      <c r="AE482">
        <v>7</v>
      </c>
      <c r="AF482">
        <v>82.865600000000001</v>
      </c>
      <c r="AG482">
        <v>18.600000000000001</v>
      </c>
      <c r="AH482">
        <v>1.1200000000000001</v>
      </c>
      <c r="AI482">
        <v>9.3000000000000007</v>
      </c>
      <c r="AJ482">
        <v>8.4</v>
      </c>
      <c r="AK482">
        <v>10.199999999999999</v>
      </c>
      <c r="AL482">
        <v>57.077800000000003</v>
      </c>
      <c r="AM482">
        <v>5.8</v>
      </c>
      <c r="AN482">
        <v>-15921</v>
      </c>
      <c r="AO482">
        <v>0</v>
      </c>
      <c r="AQ482">
        <v>87.5745</v>
      </c>
      <c r="AU482">
        <v>25.790800000000001</v>
      </c>
      <c r="AV482" s="19">
        <v>59.259300000000003</v>
      </c>
      <c r="AY482">
        <v>4</v>
      </c>
      <c r="AZ482">
        <v>6</v>
      </c>
      <c r="BA482">
        <v>86.005700000000004</v>
      </c>
      <c r="BB482">
        <v>13.0435</v>
      </c>
      <c r="BC482">
        <v>3.6070000000000002</v>
      </c>
      <c r="BD482" s="19">
        <v>4.26</v>
      </c>
      <c r="BE482" s="19">
        <v>72.826099999999997</v>
      </c>
      <c r="BF482">
        <v>2.9906999999999999</v>
      </c>
      <c r="BG482">
        <v>6.9</v>
      </c>
      <c r="BH482" s="20">
        <v>0.64080000000000004</v>
      </c>
      <c r="BI482" s="20">
        <v>1441.9775</v>
      </c>
      <c r="BJ482" s="19">
        <v>69.154200000000003</v>
      </c>
      <c r="BK482">
        <v>0.98570000000000002</v>
      </c>
      <c r="BL482">
        <v>0.98560000000000003</v>
      </c>
      <c r="BM482">
        <v>0.98550000000000004</v>
      </c>
      <c r="BN482">
        <v>6</v>
      </c>
      <c r="BO482">
        <v>19.263999999999999</v>
      </c>
      <c r="BP482">
        <v>17.03</v>
      </c>
      <c r="BQ482" s="19">
        <v>99.552499999999995</v>
      </c>
      <c r="BR482">
        <v>51.931800000000003</v>
      </c>
      <c r="BS482" s="20">
        <v>14.928000000000001</v>
      </c>
      <c r="BT482" s="20">
        <v>14.928000000000001</v>
      </c>
      <c r="BU482" s="20">
        <v>32.933999999999997</v>
      </c>
      <c r="BV482" s="20">
        <v>33.564999999999998</v>
      </c>
      <c r="BW482" s="19">
        <v>81.094499999999996</v>
      </c>
      <c r="BX482">
        <v>32.58</v>
      </c>
      <c r="BY482" s="6">
        <v>14560133</v>
      </c>
      <c r="BZ482" s="5">
        <v>48793823</v>
      </c>
      <c r="CA482" s="7">
        <f t="shared" si="35"/>
        <v>3.3511934952791984</v>
      </c>
      <c r="CB482">
        <v>38258629</v>
      </c>
      <c r="CC482" s="8">
        <f t="shared" si="36"/>
        <v>1.2753677869638245</v>
      </c>
      <c r="CD482" s="8">
        <f t="shared" si="37"/>
        <v>0.38057121701878027</v>
      </c>
      <c r="CE482">
        <v>311929</v>
      </c>
      <c r="CF482" s="8">
        <f t="shared" si="38"/>
        <v>46.67771512106922</v>
      </c>
      <c r="CG482" s="8">
        <f t="shared" si="39"/>
        <v>156.42605528822264</v>
      </c>
      <c r="CH482">
        <v>97.242919999999998</v>
      </c>
    </row>
    <row r="483" spans="1:86" ht="15.5" x14ac:dyDescent="0.35">
      <c r="A483" t="s">
        <v>106</v>
      </c>
      <c r="B483">
        <v>2001</v>
      </c>
      <c r="C483" s="2">
        <v>45.355899999999998</v>
      </c>
      <c r="D483">
        <v>361803.1</v>
      </c>
      <c r="E483">
        <v>0.43080000000000002</v>
      </c>
      <c r="F483">
        <v>8.0983999999999998</v>
      </c>
      <c r="G483">
        <v>388000</v>
      </c>
      <c r="H483">
        <v>9</v>
      </c>
      <c r="I483" s="19">
        <v>124.63500000000001</v>
      </c>
      <c r="J483" s="19">
        <v>123.423</v>
      </c>
      <c r="K483" s="19">
        <v>3.9790000000000001</v>
      </c>
      <c r="L483" s="19"/>
      <c r="M483" s="19">
        <v>-5946000000</v>
      </c>
      <c r="N483" s="19">
        <v>18.078399999999998</v>
      </c>
      <c r="O483">
        <v>32.234000000000002</v>
      </c>
      <c r="P483">
        <v>3.1399999999999997E-2</v>
      </c>
      <c r="Q483" s="19">
        <v>5003.4920000000002</v>
      </c>
      <c r="R483" s="19">
        <v>7494.9609</v>
      </c>
      <c r="S483" s="19">
        <v>1.2617</v>
      </c>
      <c r="T483" s="19">
        <v>18800.601900000001</v>
      </c>
      <c r="U483" s="19">
        <v>11176.471600000001</v>
      </c>
      <c r="W483" s="19"/>
      <c r="X483">
        <v>98</v>
      </c>
      <c r="Y483">
        <v>95</v>
      </c>
      <c r="Z483">
        <v>97</v>
      </c>
      <c r="AA483">
        <v>7.6</v>
      </c>
      <c r="AB483">
        <v>9.9</v>
      </c>
      <c r="AC483">
        <v>74.2</v>
      </c>
      <c r="AE483">
        <v>6</v>
      </c>
      <c r="AF483">
        <v>83.1922</v>
      </c>
      <c r="AG483">
        <v>16.600000000000001</v>
      </c>
      <c r="AH483">
        <v>1.17</v>
      </c>
      <c r="AI483">
        <v>8.8000000000000007</v>
      </c>
      <c r="AJ483">
        <v>8</v>
      </c>
      <c r="AK483">
        <v>9.6</v>
      </c>
      <c r="AL483">
        <v>57.212600000000002</v>
      </c>
      <c r="AM483">
        <v>5.4</v>
      </c>
      <c r="AN483">
        <v>-16648</v>
      </c>
      <c r="AO483">
        <v>0</v>
      </c>
      <c r="AQ483">
        <v>88.256799999999998</v>
      </c>
      <c r="AU483">
        <v>26.044899999999998</v>
      </c>
      <c r="AV483" s="19"/>
      <c r="AY483">
        <v>4</v>
      </c>
      <c r="AZ483">
        <v>6</v>
      </c>
      <c r="BA483">
        <v>86.679900000000004</v>
      </c>
      <c r="BB483">
        <v>20.217400000000001</v>
      </c>
      <c r="BC483">
        <v>3.9864000000000002</v>
      </c>
      <c r="BD483" s="19">
        <v>1.2050000000000001</v>
      </c>
      <c r="BE483" s="19"/>
      <c r="BF483">
        <v>3.2126000000000001</v>
      </c>
      <c r="BG483">
        <v>7.3</v>
      </c>
      <c r="BH483" s="20">
        <v>0.62160000000000004</v>
      </c>
      <c r="BI483" s="20">
        <v>1467.7906</v>
      </c>
      <c r="BJ483" s="19"/>
      <c r="BK483">
        <v>0.98929999999999996</v>
      </c>
      <c r="BL483">
        <v>0.98370000000000002</v>
      </c>
      <c r="BM483">
        <v>0.97909999999999997</v>
      </c>
      <c r="BN483">
        <v>6</v>
      </c>
      <c r="BO483">
        <v>16.71</v>
      </c>
      <c r="BP483">
        <v>17.239999999999998</v>
      </c>
      <c r="BQ483" s="19">
        <v>101.9251</v>
      </c>
      <c r="BR483">
        <v>46.543700000000001</v>
      </c>
      <c r="BS483" s="20">
        <v>18.434999999999999</v>
      </c>
      <c r="BT483" s="20">
        <v>18.434999999999999</v>
      </c>
      <c r="BU483" s="20">
        <v>39.979999999999997</v>
      </c>
      <c r="BV483" s="20">
        <v>41.201000000000001</v>
      </c>
      <c r="BW483" s="19"/>
      <c r="BX483">
        <v>30.6</v>
      </c>
      <c r="BY483" s="6">
        <v>14230486</v>
      </c>
      <c r="BZ483" s="5">
        <v>45946117</v>
      </c>
      <c r="CA483" s="7">
        <f t="shared" si="35"/>
        <v>3.228710319521062</v>
      </c>
      <c r="CB483">
        <v>38248076</v>
      </c>
      <c r="CC483" s="8">
        <f t="shared" si="36"/>
        <v>1.2012660976724685</v>
      </c>
      <c r="CD483" s="8">
        <f t="shared" si="37"/>
        <v>0.37205756441186744</v>
      </c>
      <c r="CE483">
        <v>311929</v>
      </c>
      <c r="CF483" s="8">
        <f t="shared" si="38"/>
        <v>45.620913733573985</v>
      </c>
      <c r="CG483" s="8">
        <f t="shared" si="39"/>
        <v>147.29671495757049</v>
      </c>
      <c r="CH483">
        <v>109.14024000000001</v>
      </c>
    </row>
    <row r="484" spans="1:86" ht="15.5" x14ac:dyDescent="0.35">
      <c r="A484" t="s">
        <v>106</v>
      </c>
      <c r="B484">
        <v>2002</v>
      </c>
      <c r="C484" s="2">
        <v>44.483600000000003</v>
      </c>
      <c r="D484">
        <v>355235.1</v>
      </c>
      <c r="E484">
        <v>0.4128</v>
      </c>
      <c r="F484">
        <v>7.9126000000000003</v>
      </c>
      <c r="G484">
        <v>378000</v>
      </c>
      <c r="H484">
        <v>9</v>
      </c>
      <c r="I484" s="19">
        <v>127.003</v>
      </c>
      <c r="J484" s="19">
        <v>124.411</v>
      </c>
      <c r="K484" s="19">
        <v>4.1139999999999999</v>
      </c>
      <c r="L484" s="19">
        <v>68.783100000000005</v>
      </c>
      <c r="M484" s="19">
        <v>-5544000000</v>
      </c>
      <c r="N484" s="19">
        <v>20.657</v>
      </c>
      <c r="O484">
        <v>34.255000000000003</v>
      </c>
      <c r="P484">
        <v>0.31830000000000003</v>
      </c>
      <c r="Q484" s="19">
        <v>5221.8329999999996</v>
      </c>
      <c r="R484" s="19">
        <v>7640.9930999999997</v>
      </c>
      <c r="S484" s="19">
        <v>1.9483999999999999</v>
      </c>
      <c r="T484" s="19">
        <v>19166.913700000001</v>
      </c>
      <c r="U484" s="19">
        <v>11841.268400000001</v>
      </c>
      <c r="W484" s="19">
        <v>66.486500000000007</v>
      </c>
      <c r="X484">
        <v>99</v>
      </c>
      <c r="Y484">
        <v>98</v>
      </c>
      <c r="Z484">
        <v>98</v>
      </c>
      <c r="AA484">
        <v>7.3</v>
      </c>
      <c r="AB484">
        <v>21.2</v>
      </c>
      <c r="AC484">
        <v>74.497600000000006</v>
      </c>
      <c r="AD484">
        <v>94.267499999999998</v>
      </c>
      <c r="AE484">
        <v>5</v>
      </c>
      <c r="AF484">
        <v>83.425700000000006</v>
      </c>
      <c r="AG484">
        <v>17.2</v>
      </c>
      <c r="AH484">
        <v>1.1000000000000001</v>
      </c>
      <c r="AI484">
        <v>8.4</v>
      </c>
      <c r="AJ484">
        <v>7.6</v>
      </c>
      <c r="AK484">
        <v>9.1999999999999993</v>
      </c>
      <c r="AL484">
        <v>57.539400000000001</v>
      </c>
      <c r="AM484">
        <v>5.2</v>
      </c>
      <c r="AN484">
        <v>-16462</v>
      </c>
      <c r="AO484">
        <v>0</v>
      </c>
      <c r="AQ484">
        <v>88.935400000000001</v>
      </c>
      <c r="AU484">
        <v>26.539899999999999</v>
      </c>
      <c r="AV484" s="19">
        <v>71.428600000000003</v>
      </c>
      <c r="AY484">
        <v>4</v>
      </c>
      <c r="AZ484">
        <v>6</v>
      </c>
      <c r="BA484">
        <v>87.350399999999993</v>
      </c>
      <c r="BB484">
        <v>20.217400000000001</v>
      </c>
      <c r="BC484">
        <v>4.2443999999999997</v>
      </c>
      <c r="BD484" s="19">
        <v>1.4430000000000001</v>
      </c>
      <c r="BE484" s="19">
        <v>69.1892</v>
      </c>
      <c r="BF484">
        <v>3.0487000000000002</v>
      </c>
      <c r="BG484">
        <v>7.5</v>
      </c>
      <c r="BH484" s="20">
        <v>0.55669999999999997</v>
      </c>
      <c r="BI484" s="20">
        <v>1483.3439000000001</v>
      </c>
      <c r="BJ484" s="19">
        <v>67.661699999999996</v>
      </c>
      <c r="BK484">
        <v>0.99150000000000005</v>
      </c>
      <c r="BL484">
        <v>0.98070000000000002</v>
      </c>
      <c r="BM484">
        <v>0.97230000000000005</v>
      </c>
      <c r="BN484">
        <v>6</v>
      </c>
      <c r="BO484">
        <v>16.975999999999999</v>
      </c>
      <c r="BP484">
        <v>17.38</v>
      </c>
      <c r="BQ484" s="19">
        <v>103.9457</v>
      </c>
      <c r="BR484">
        <v>42.736600000000003</v>
      </c>
      <c r="BS484" s="20">
        <v>20.210999999999999</v>
      </c>
      <c r="BT484" s="20">
        <v>20.210999999999999</v>
      </c>
      <c r="BU484" s="20">
        <v>42.91</v>
      </c>
      <c r="BV484" s="20">
        <v>44.13</v>
      </c>
      <c r="BW484" s="19">
        <v>80.596999999999994</v>
      </c>
      <c r="BX484">
        <v>30.6</v>
      </c>
      <c r="BY484" s="6">
        <v>14174159</v>
      </c>
      <c r="BZ484" s="5">
        <v>44211584</v>
      </c>
      <c r="CA484" s="7">
        <f t="shared" si="35"/>
        <v>3.1191680578720753</v>
      </c>
      <c r="CB484">
        <v>38230364</v>
      </c>
      <c r="CC484" s="8">
        <f t="shared" si="36"/>
        <v>1.15645208086431</v>
      </c>
      <c r="CD484" s="8">
        <f t="shared" si="37"/>
        <v>0.37075657976994414</v>
      </c>
      <c r="CE484">
        <v>311929</v>
      </c>
      <c r="CF484" s="8">
        <f t="shared" si="38"/>
        <v>45.440337384468904</v>
      </c>
      <c r="CG484" s="8">
        <f t="shared" si="39"/>
        <v>141.73604890856572</v>
      </c>
      <c r="CH484">
        <v>103.24891</v>
      </c>
    </row>
    <row r="485" spans="1:86" ht="15.5" x14ac:dyDescent="0.35">
      <c r="A485" t="s">
        <v>106</v>
      </c>
      <c r="B485">
        <v>2003</v>
      </c>
      <c r="C485" s="2">
        <v>43.660899999999998</v>
      </c>
      <c r="D485">
        <v>366458.1</v>
      </c>
      <c r="E485">
        <v>0.41560000000000002</v>
      </c>
      <c r="F485">
        <v>8.2528000000000006</v>
      </c>
      <c r="G485">
        <v>393000</v>
      </c>
      <c r="H485">
        <v>9</v>
      </c>
      <c r="I485" s="19">
        <v>127.93600000000001</v>
      </c>
      <c r="J485" s="19">
        <v>126.526</v>
      </c>
      <c r="K485" s="19">
        <v>3.5779999999999998</v>
      </c>
      <c r="L485" s="19">
        <v>69.841300000000004</v>
      </c>
      <c r="M485" s="19">
        <v>-5473000000</v>
      </c>
      <c r="N485" s="19">
        <v>26.999199999999998</v>
      </c>
      <c r="O485">
        <v>35.726999999999997</v>
      </c>
      <c r="P485">
        <v>0.51239999999999997</v>
      </c>
      <c r="Q485" s="19">
        <v>5718.7269999999999</v>
      </c>
      <c r="R485" s="19">
        <v>7915.5541999999996</v>
      </c>
      <c r="S485" s="19">
        <v>3.5933000000000002</v>
      </c>
      <c r="T485" s="19">
        <v>19855.631799999999</v>
      </c>
      <c r="U485" s="19">
        <v>12330.4727</v>
      </c>
      <c r="W485" s="19">
        <v>67.567599999999999</v>
      </c>
      <c r="X485">
        <v>99</v>
      </c>
      <c r="Y485">
        <v>97</v>
      </c>
      <c r="Z485">
        <v>97</v>
      </c>
      <c r="AA485">
        <v>7</v>
      </c>
      <c r="AB485">
        <v>24.9</v>
      </c>
      <c r="AC485">
        <v>74.5976</v>
      </c>
      <c r="AD485">
        <v>96.845299999999995</v>
      </c>
      <c r="AE485">
        <v>5</v>
      </c>
      <c r="AF485">
        <v>83.545599999999993</v>
      </c>
      <c r="AG485">
        <v>16.5</v>
      </c>
      <c r="AH485">
        <v>1.2</v>
      </c>
      <c r="AI485">
        <v>8.1</v>
      </c>
      <c r="AJ485">
        <v>7.3</v>
      </c>
      <c r="AK485">
        <v>8.8000000000000007</v>
      </c>
      <c r="AL485">
        <v>57.370399999999997</v>
      </c>
      <c r="AM485">
        <v>5</v>
      </c>
      <c r="AN485">
        <v>-19039</v>
      </c>
      <c r="AO485">
        <v>0</v>
      </c>
      <c r="AQ485">
        <v>89.594700000000003</v>
      </c>
      <c r="AU485">
        <v>27.104800000000001</v>
      </c>
      <c r="AV485" s="19">
        <v>65.326599999999999</v>
      </c>
      <c r="AY485">
        <v>4</v>
      </c>
      <c r="AZ485">
        <v>6</v>
      </c>
      <c r="BA485">
        <v>88.001900000000006</v>
      </c>
      <c r="BB485">
        <v>20.217400000000001</v>
      </c>
      <c r="BC485">
        <v>4.0827</v>
      </c>
      <c r="BD485" s="19">
        <v>3.5230000000000001</v>
      </c>
      <c r="BE485" s="19">
        <v>71.351299999999995</v>
      </c>
      <c r="BF485">
        <v>2.5535999999999999</v>
      </c>
      <c r="BG485">
        <v>7.3</v>
      </c>
      <c r="BH485" s="20">
        <v>0.53810000000000002</v>
      </c>
      <c r="BI485" s="20">
        <v>1533.1975</v>
      </c>
      <c r="BJ485" s="19">
        <v>65.174099999999996</v>
      </c>
      <c r="BK485">
        <v>0.99399999999999999</v>
      </c>
      <c r="BL485">
        <v>0.97570000000000001</v>
      </c>
      <c r="BM485">
        <v>0.96179999999999999</v>
      </c>
      <c r="BN485">
        <v>6</v>
      </c>
      <c r="BO485">
        <v>16.263999999999999</v>
      </c>
      <c r="BP485">
        <v>17.100000000000001</v>
      </c>
      <c r="BQ485" s="19">
        <v>102.8279</v>
      </c>
      <c r="BR485">
        <v>43.5306</v>
      </c>
      <c r="BS485" s="20">
        <v>19.899000000000001</v>
      </c>
      <c r="BT485" s="20">
        <v>19.899000000000001</v>
      </c>
      <c r="BU485" s="20">
        <v>42.296999999999997</v>
      </c>
      <c r="BV485" s="20">
        <v>43.256999999999998</v>
      </c>
      <c r="BW485" s="19">
        <v>79.104500000000002</v>
      </c>
      <c r="BX485">
        <v>31.16</v>
      </c>
      <c r="BY485" s="6">
        <v>14644254</v>
      </c>
      <c r="BZ485" s="5">
        <v>45347845</v>
      </c>
      <c r="CA485" s="7">
        <f t="shared" si="35"/>
        <v>3.0966305965466048</v>
      </c>
      <c r="CB485">
        <v>38204570</v>
      </c>
      <c r="CC485" s="8">
        <f t="shared" si="36"/>
        <v>1.1869743593502033</v>
      </c>
      <c r="CD485" s="8">
        <f t="shared" si="37"/>
        <v>0.38331157764633916</v>
      </c>
      <c r="CE485">
        <v>311929</v>
      </c>
      <c r="CF485" s="8">
        <f t="shared" si="38"/>
        <v>46.947395080290704</v>
      </c>
      <c r="CG485" s="8">
        <f t="shared" si="39"/>
        <v>145.37874003378974</v>
      </c>
      <c r="CH485">
        <v>89.762299999999996</v>
      </c>
    </row>
    <row r="486" spans="1:86" ht="15.5" x14ac:dyDescent="0.35">
      <c r="A486" t="s">
        <v>106</v>
      </c>
      <c r="B486">
        <v>2004</v>
      </c>
      <c r="C486" s="2">
        <v>42.928600000000003</v>
      </c>
      <c r="D486">
        <v>373754.1</v>
      </c>
      <c r="E486">
        <v>0.3982</v>
      </c>
      <c r="F486">
        <v>8.3147000000000002</v>
      </c>
      <c r="G486">
        <v>396000</v>
      </c>
      <c r="H486">
        <v>9</v>
      </c>
      <c r="I486" s="19">
        <v>132.46299999999999</v>
      </c>
      <c r="J486" s="19">
        <v>132.09299999999999</v>
      </c>
      <c r="K486" s="19">
        <v>4.0730000000000004</v>
      </c>
      <c r="L486" s="19">
        <v>58.128100000000003</v>
      </c>
      <c r="M486" s="19">
        <v>-15271000000</v>
      </c>
      <c r="N486" s="19">
        <v>37.688400000000001</v>
      </c>
      <c r="O486">
        <v>35.728999999999999</v>
      </c>
      <c r="P486">
        <v>2.2948</v>
      </c>
      <c r="Q486" s="19">
        <v>6715.1059999999998</v>
      </c>
      <c r="R486" s="19">
        <v>8323.3876999999993</v>
      </c>
      <c r="S486" s="19">
        <v>5.1523000000000003</v>
      </c>
      <c r="T486" s="19">
        <v>20878.654500000001</v>
      </c>
      <c r="U486" s="19">
        <v>13414.857400000001</v>
      </c>
      <c r="V486">
        <v>38</v>
      </c>
      <c r="W486" s="19">
        <v>67.164199999999994</v>
      </c>
      <c r="X486">
        <v>99</v>
      </c>
      <c r="Y486">
        <v>98</v>
      </c>
      <c r="Z486">
        <v>97</v>
      </c>
      <c r="AA486">
        <v>6.7</v>
      </c>
      <c r="AB486">
        <v>32.5</v>
      </c>
      <c r="AC486">
        <v>74.846299999999999</v>
      </c>
      <c r="AD486">
        <v>97.726200000000006</v>
      </c>
      <c r="AE486">
        <v>4</v>
      </c>
      <c r="AF486">
        <v>83.674000000000007</v>
      </c>
      <c r="AG486">
        <v>16.899999999999999</v>
      </c>
      <c r="AH486">
        <v>1.1399999999999999</v>
      </c>
      <c r="AI486">
        <v>7.8</v>
      </c>
      <c r="AJ486">
        <v>7</v>
      </c>
      <c r="AK486">
        <v>8.5</v>
      </c>
      <c r="AL486">
        <v>56.989800000000002</v>
      </c>
      <c r="AM486">
        <v>4.8</v>
      </c>
      <c r="AN486">
        <v>-38216</v>
      </c>
      <c r="AO486">
        <v>0</v>
      </c>
      <c r="AQ486">
        <v>90.256299999999996</v>
      </c>
      <c r="AU486">
        <v>27.569099999999999</v>
      </c>
      <c r="AV486" s="19">
        <v>50.9709</v>
      </c>
      <c r="AW486">
        <v>2.2000000000000002</v>
      </c>
      <c r="AY486">
        <v>4</v>
      </c>
      <c r="AZ486">
        <v>6</v>
      </c>
      <c r="BA486">
        <v>88.673699999999997</v>
      </c>
      <c r="BB486">
        <v>20.217400000000001</v>
      </c>
      <c r="BC486">
        <v>3.9590000000000001</v>
      </c>
      <c r="BD486" s="19">
        <v>5.0910000000000002</v>
      </c>
      <c r="BE486" s="19">
        <v>73.134299999999996</v>
      </c>
      <c r="BF486">
        <v>3.1240999999999999</v>
      </c>
      <c r="BG486">
        <v>7.3</v>
      </c>
      <c r="BH486" s="20">
        <v>0.55249999999999999</v>
      </c>
      <c r="BI486" s="20">
        <v>1595.83</v>
      </c>
      <c r="BJ486" s="19">
        <v>61.538499999999999</v>
      </c>
      <c r="BK486">
        <v>0.99450000000000005</v>
      </c>
      <c r="BL486">
        <v>1.0045999999999999</v>
      </c>
      <c r="BM486">
        <v>1.0128999999999999</v>
      </c>
      <c r="BN486">
        <v>6</v>
      </c>
      <c r="BO486">
        <v>15.769</v>
      </c>
      <c r="BP486">
        <v>17.670000000000002</v>
      </c>
      <c r="BQ486" s="19">
        <v>105.22329999999999</v>
      </c>
      <c r="BR486">
        <v>44.866999999999997</v>
      </c>
      <c r="BS486" s="20">
        <v>18.821999999999999</v>
      </c>
      <c r="BT486" s="20">
        <v>18.821999999999999</v>
      </c>
      <c r="BU486" s="20">
        <v>39.673999999999999</v>
      </c>
      <c r="BV486" s="20">
        <v>40.51</v>
      </c>
      <c r="BW486" s="19">
        <v>82.211500000000001</v>
      </c>
      <c r="BX486">
        <v>34.17</v>
      </c>
      <c r="BY486" s="6">
        <v>15745691</v>
      </c>
      <c r="BZ486" s="5">
        <v>46657127</v>
      </c>
      <c r="CA486" s="7">
        <f t="shared" si="35"/>
        <v>2.9631679549662189</v>
      </c>
      <c r="CB486">
        <v>38182222</v>
      </c>
      <c r="CC486" s="8">
        <f t="shared" si="36"/>
        <v>1.2219594501336251</v>
      </c>
      <c r="CD486" s="8">
        <f t="shared" si="37"/>
        <v>0.41238278379922466</v>
      </c>
      <c r="CE486">
        <v>311929</v>
      </c>
      <c r="CF486" s="8">
        <f t="shared" si="38"/>
        <v>50.478445415463135</v>
      </c>
      <c r="CG486" s="8">
        <f t="shared" si="39"/>
        <v>149.5761118716118</v>
      </c>
      <c r="CH486">
        <v>88.536060000000006</v>
      </c>
    </row>
    <row r="487" spans="1:86" ht="15.5" x14ac:dyDescent="0.35">
      <c r="A487" t="s">
        <v>106</v>
      </c>
      <c r="B487">
        <v>2005</v>
      </c>
      <c r="C487" s="2">
        <v>42.283000000000001</v>
      </c>
      <c r="D487">
        <v>375606.5</v>
      </c>
      <c r="E487">
        <v>0.38519999999999999</v>
      </c>
      <c r="F487">
        <v>8.3079999999999998</v>
      </c>
      <c r="G487">
        <v>395000</v>
      </c>
      <c r="H487">
        <v>10</v>
      </c>
      <c r="I487" s="19">
        <v>135.38999999999999</v>
      </c>
      <c r="J487" s="19">
        <v>133.017</v>
      </c>
      <c r="K487" s="19">
        <v>3.875</v>
      </c>
      <c r="L487" s="19">
        <v>61.9512</v>
      </c>
      <c r="M487" s="19">
        <v>-10153000000</v>
      </c>
      <c r="N487" s="19">
        <v>44.915500000000002</v>
      </c>
      <c r="O487">
        <v>34.064999999999998</v>
      </c>
      <c r="P487">
        <v>2.4792000000000001</v>
      </c>
      <c r="Q487" s="19">
        <v>8046.3</v>
      </c>
      <c r="R487" s="19">
        <v>8598.5768000000007</v>
      </c>
      <c r="S487" s="19">
        <v>3.3062</v>
      </c>
      <c r="T487" s="19">
        <v>21568.947700000001</v>
      </c>
      <c r="U487" s="19">
        <v>13935.5573</v>
      </c>
      <c r="V487">
        <v>35.799999999999997</v>
      </c>
      <c r="W487" s="19">
        <v>66.176500000000004</v>
      </c>
      <c r="X487">
        <v>99</v>
      </c>
      <c r="Y487">
        <v>98</v>
      </c>
      <c r="Z487">
        <v>98</v>
      </c>
      <c r="AA487">
        <v>6.5</v>
      </c>
      <c r="AB487">
        <v>38.799999999999997</v>
      </c>
      <c r="AC487">
        <v>74.995099999999994</v>
      </c>
      <c r="AD487">
        <v>97.930400000000006</v>
      </c>
      <c r="AE487">
        <v>4</v>
      </c>
      <c r="AF487">
        <v>85.054000000000002</v>
      </c>
      <c r="AG487">
        <v>16</v>
      </c>
      <c r="AH487">
        <v>1.19</v>
      </c>
      <c r="AI487">
        <v>7.6</v>
      </c>
      <c r="AJ487">
        <v>6.8</v>
      </c>
      <c r="AK487">
        <v>8.1999999999999993</v>
      </c>
      <c r="AL487">
        <v>57.253100000000003</v>
      </c>
      <c r="AM487">
        <v>4.5999999999999996</v>
      </c>
      <c r="AN487">
        <v>-41942</v>
      </c>
      <c r="AO487">
        <v>0</v>
      </c>
      <c r="AP487">
        <v>99.159199999999998</v>
      </c>
      <c r="AQ487">
        <v>90.920199999999994</v>
      </c>
      <c r="AR487">
        <v>91.958500000000001</v>
      </c>
      <c r="AU487">
        <v>27.761700000000001</v>
      </c>
      <c r="AV487" s="19">
        <v>56.796100000000003</v>
      </c>
      <c r="AW487">
        <v>0.9</v>
      </c>
      <c r="AY487">
        <v>4</v>
      </c>
      <c r="AZ487">
        <v>6</v>
      </c>
      <c r="BA487">
        <v>89.349699999999999</v>
      </c>
      <c r="BB487">
        <v>20.434799999999999</v>
      </c>
      <c r="BC487">
        <v>3.9790999999999999</v>
      </c>
      <c r="BD487" s="19">
        <v>3.2610000000000001</v>
      </c>
      <c r="BE487" s="19">
        <v>72.549000000000007</v>
      </c>
      <c r="BF487">
        <v>3.4567999999999999</v>
      </c>
      <c r="BG487">
        <v>7.2</v>
      </c>
      <c r="BH487" s="20">
        <v>0.56279999999999997</v>
      </c>
      <c r="BI487" s="20">
        <v>1629.6029000000001</v>
      </c>
      <c r="BJ487" s="19">
        <v>62.679400000000001</v>
      </c>
      <c r="BK487">
        <v>0.99439999999999995</v>
      </c>
      <c r="BL487">
        <v>0.99419999999999997</v>
      </c>
      <c r="BM487">
        <v>0.99390000000000001</v>
      </c>
      <c r="BN487">
        <v>6</v>
      </c>
      <c r="BO487">
        <v>14.534000000000001</v>
      </c>
      <c r="BP487">
        <v>17.8</v>
      </c>
      <c r="BQ487" s="19">
        <v>103.2337</v>
      </c>
      <c r="BR487">
        <v>49.042700000000004</v>
      </c>
      <c r="BS487" s="20">
        <v>17.591999999999999</v>
      </c>
      <c r="BT487" s="20">
        <v>17.591999999999999</v>
      </c>
      <c r="BU487" s="20">
        <v>36.573999999999998</v>
      </c>
      <c r="BV487" s="20">
        <v>37.418999999999997</v>
      </c>
      <c r="BW487" s="19">
        <v>78.365399999999994</v>
      </c>
      <c r="BX487">
        <v>30.81</v>
      </c>
      <c r="BY487" s="6">
        <v>16597202</v>
      </c>
      <c r="BZ487" s="5">
        <v>48618414</v>
      </c>
      <c r="CA487" s="7">
        <f t="shared" si="35"/>
        <v>2.9293138686870233</v>
      </c>
      <c r="CB487">
        <v>38165445</v>
      </c>
      <c r="CC487" s="8">
        <f t="shared" si="36"/>
        <v>1.2738856837644628</v>
      </c>
      <c r="CD487" s="8">
        <f t="shared" si="37"/>
        <v>0.43487510757440401</v>
      </c>
      <c r="CE487">
        <v>311929</v>
      </c>
      <c r="CF487" s="8">
        <f t="shared" si="38"/>
        <v>53.208268548291436</v>
      </c>
      <c r="CG487" s="8">
        <f t="shared" si="39"/>
        <v>155.86371898733367</v>
      </c>
      <c r="CH487">
        <v>99.353970000000004</v>
      </c>
    </row>
    <row r="488" spans="1:86" ht="15.5" x14ac:dyDescent="0.35">
      <c r="A488" t="s">
        <v>106</v>
      </c>
      <c r="B488">
        <v>2006</v>
      </c>
      <c r="C488" s="2">
        <v>41.670200000000001</v>
      </c>
      <c r="D488">
        <v>395712.5</v>
      </c>
      <c r="E488">
        <v>0.37830000000000003</v>
      </c>
      <c r="F488">
        <v>8.6712000000000007</v>
      </c>
      <c r="G488">
        <v>410000</v>
      </c>
      <c r="H488">
        <v>10</v>
      </c>
      <c r="I488" s="19">
        <v>137.01</v>
      </c>
      <c r="J488" s="19">
        <v>134.88</v>
      </c>
      <c r="K488" s="19">
        <v>3.7789999999999999</v>
      </c>
      <c r="L488" s="19">
        <v>63.4146</v>
      </c>
      <c r="M488" s="19">
        <v>-16090000000</v>
      </c>
      <c r="N488" s="19">
        <v>55.633899999999997</v>
      </c>
      <c r="O488">
        <v>36.064</v>
      </c>
      <c r="P488">
        <v>7.6466000000000003</v>
      </c>
      <c r="Q488" s="19">
        <v>9065.1</v>
      </c>
      <c r="R488" s="19">
        <v>9137.6584999999995</v>
      </c>
      <c r="S488" s="19">
        <v>6.2694000000000001</v>
      </c>
      <c r="T488" s="19">
        <v>22921.1976</v>
      </c>
      <c r="U488" s="19">
        <v>15208.1266</v>
      </c>
      <c r="V488">
        <v>34.700000000000003</v>
      </c>
      <c r="W488" s="19">
        <v>64.390199999999993</v>
      </c>
      <c r="X488">
        <v>99</v>
      </c>
      <c r="Y488">
        <v>98</v>
      </c>
      <c r="Z488">
        <v>99</v>
      </c>
      <c r="AA488">
        <v>6.3</v>
      </c>
      <c r="AB488">
        <v>44.6</v>
      </c>
      <c r="AC488">
        <v>75.143900000000002</v>
      </c>
      <c r="AE488">
        <v>4</v>
      </c>
      <c r="AF488">
        <v>85.162199999999999</v>
      </c>
      <c r="AG488">
        <v>15.1</v>
      </c>
      <c r="AH488">
        <v>1.17</v>
      </c>
      <c r="AI488">
        <v>7.3</v>
      </c>
      <c r="AJ488">
        <v>6.6</v>
      </c>
      <c r="AK488">
        <v>8</v>
      </c>
      <c r="AL488">
        <v>57.142600000000002</v>
      </c>
      <c r="AM488">
        <v>4.4000000000000004</v>
      </c>
      <c r="AN488">
        <v>-68882</v>
      </c>
      <c r="AO488">
        <v>0</v>
      </c>
      <c r="AP488">
        <v>99.157399999999996</v>
      </c>
      <c r="AQ488">
        <v>91.586699999999993</v>
      </c>
      <c r="AR488">
        <v>92.343400000000003</v>
      </c>
      <c r="AU488">
        <v>27.72</v>
      </c>
      <c r="AV488" s="19">
        <v>55.072499999999998</v>
      </c>
      <c r="AW488">
        <v>0.7</v>
      </c>
      <c r="AY488">
        <v>4</v>
      </c>
      <c r="AZ488">
        <v>6</v>
      </c>
      <c r="BA488">
        <v>90.029700000000005</v>
      </c>
      <c r="BB488">
        <v>20.434799999999999</v>
      </c>
      <c r="BC488">
        <v>4.0026000000000002</v>
      </c>
      <c r="BD488" s="19">
        <v>6.202</v>
      </c>
      <c r="BE488" s="19">
        <v>71.568600000000004</v>
      </c>
      <c r="BF488">
        <v>3.2618</v>
      </c>
      <c r="BG488">
        <v>7.2</v>
      </c>
      <c r="BH488" s="20">
        <v>0.55100000000000005</v>
      </c>
      <c r="BI488" s="20">
        <v>1563.4586999999999</v>
      </c>
      <c r="BJ488" s="19">
        <v>62.201000000000001</v>
      </c>
      <c r="BK488">
        <v>0.99460000000000004</v>
      </c>
      <c r="BL488">
        <v>0.99019999999999997</v>
      </c>
      <c r="BM488">
        <v>0.98680000000000001</v>
      </c>
      <c r="BN488">
        <v>6</v>
      </c>
      <c r="BO488">
        <v>14.288</v>
      </c>
      <c r="BP488">
        <v>17.16</v>
      </c>
      <c r="BQ488" s="19">
        <v>101.9495</v>
      </c>
      <c r="BR488">
        <v>59.544899999999998</v>
      </c>
      <c r="BS488" s="20">
        <v>13.794</v>
      </c>
      <c r="BT488" s="20">
        <v>13.794</v>
      </c>
      <c r="BU488" s="20">
        <v>29.536000000000001</v>
      </c>
      <c r="BV488" s="20">
        <v>29.678000000000001</v>
      </c>
      <c r="BW488" s="19">
        <v>73.557699999999997</v>
      </c>
      <c r="BX488">
        <v>30.37</v>
      </c>
      <c r="BY488" s="6">
        <v>17512115</v>
      </c>
      <c r="BZ488" s="5">
        <v>51234965</v>
      </c>
      <c r="CA488" s="7">
        <f t="shared" si="35"/>
        <v>2.9256868744866056</v>
      </c>
      <c r="CB488">
        <v>38141267</v>
      </c>
      <c r="CC488" s="8">
        <f t="shared" si="36"/>
        <v>1.3432947835739175</v>
      </c>
      <c r="CD488" s="8">
        <f t="shared" si="37"/>
        <v>0.45913826092877302</v>
      </c>
      <c r="CE488">
        <v>311929</v>
      </c>
      <c r="CF488" s="8">
        <f t="shared" si="38"/>
        <v>56.141349473758453</v>
      </c>
      <c r="CG488" s="8">
        <f t="shared" si="39"/>
        <v>164.2520092713406</v>
      </c>
      <c r="CH488">
        <v>101.55557</v>
      </c>
    </row>
    <row r="489" spans="1:86" ht="15.5" x14ac:dyDescent="0.35">
      <c r="A489" t="s">
        <v>106</v>
      </c>
      <c r="B489">
        <v>2007</v>
      </c>
      <c r="C489" s="2">
        <v>41.118200000000002</v>
      </c>
      <c r="D489">
        <v>404601.3</v>
      </c>
      <c r="E489">
        <v>0.35389999999999999</v>
      </c>
      <c r="F489">
        <v>8.6640999999999995</v>
      </c>
      <c r="G489">
        <v>411000</v>
      </c>
      <c r="H489">
        <v>10</v>
      </c>
      <c r="I489" s="19">
        <v>140.39699999999999</v>
      </c>
      <c r="J489" s="19">
        <v>140.27500000000001</v>
      </c>
      <c r="K489" s="19">
        <v>5.1950000000000003</v>
      </c>
      <c r="L489" s="19">
        <v>63.592199999999998</v>
      </c>
      <c r="M489" s="19">
        <v>-28745000000</v>
      </c>
      <c r="N489" s="19">
        <v>70.381600000000006</v>
      </c>
      <c r="O489">
        <v>37.124000000000002</v>
      </c>
      <c r="P489">
        <v>10.978300000000001</v>
      </c>
      <c r="Q489" s="19">
        <v>11271.071</v>
      </c>
      <c r="R489" s="19">
        <v>9760.7042999999994</v>
      </c>
      <c r="S489" s="19">
        <v>6.8183999999999996</v>
      </c>
      <c r="T489" s="19">
        <v>24484.065699999999</v>
      </c>
      <c r="U489" s="19">
        <v>16833.852299999999</v>
      </c>
      <c r="V489">
        <v>34</v>
      </c>
      <c r="W489" s="19">
        <v>66.019400000000005</v>
      </c>
      <c r="X489">
        <v>99</v>
      </c>
      <c r="Y489">
        <v>98</v>
      </c>
      <c r="Z489">
        <v>98</v>
      </c>
      <c r="AA489">
        <v>6</v>
      </c>
      <c r="AB489">
        <v>48.6</v>
      </c>
      <c r="AC489">
        <v>75.243899999999996</v>
      </c>
      <c r="AE489">
        <v>3</v>
      </c>
      <c r="AF489">
        <v>85.240700000000004</v>
      </c>
      <c r="AG489">
        <v>16.399999999999999</v>
      </c>
      <c r="AH489">
        <v>0.89</v>
      </c>
      <c r="AI489">
        <v>7</v>
      </c>
      <c r="AJ489">
        <v>6.3</v>
      </c>
      <c r="AK489">
        <v>7.6</v>
      </c>
      <c r="AL489">
        <v>57.761099999999999</v>
      </c>
      <c r="AM489">
        <v>4.2</v>
      </c>
      <c r="AN489">
        <v>-51235</v>
      </c>
      <c r="AO489">
        <v>0</v>
      </c>
      <c r="AP489">
        <v>99.155600000000007</v>
      </c>
      <c r="AQ489">
        <v>92.255499999999998</v>
      </c>
      <c r="AR489">
        <v>92.73</v>
      </c>
      <c r="AU489">
        <v>27.604800000000001</v>
      </c>
      <c r="AV489" s="19">
        <v>70.048299999999998</v>
      </c>
      <c r="AW489">
        <v>0.5</v>
      </c>
      <c r="AY489">
        <v>4</v>
      </c>
      <c r="AZ489">
        <v>6</v>
      </c>
      <c r="BA489">
        <v>90.7136</v>
      </c>
      <c r="BB489">
        <v>20.434799999999999</v>
      </c>
      <c r="BC489">
        <v>4.0929000000000002</v>
      </c>
      <c r="BD489" s="19">
        <v>6.76</v>
      </c>
      <c r="BE489" s="19">
        <v>73.7864</v>
      </c>
      <c r="BF489">
        <v>3.8048000000000002</v>
      </c>
      <c r="BG489">
        <v>7.3</v>
      </c>
      <c r="BH489" s="20">
        <v>0.56189999999999996</v>
      </c>
      <c r="BI489" s="20">
        <v>1614.0012999999999</v>
      </c>
      <c r="BJ489" s="19">
        <v>62.679400000000001</v>
      </c>
      <c r="BK489">
        <v>0.99350000000000005</v>
      </c>
      <c r="BL489">
        <v>0.99139999999999995</v>
      </c>
      <c r="BM489">
        <v>0.98970000000000002</v>
      </c>
      <c r="BN489">
        <v>6</v>
      </c>
      <c r="BO489">
        <v>12.042999999999999</v>
      </c>
      <c r="BP489">
        <v>15.77</v>
      </c>
      <c r="BQ489" s="19">
        <v>102.363</v>
      </c>
      <c r="BR489">
        <v>71.2881</v>
      </c>
      <c r="BS489" s="20">
        <v>9.5510000000000002</v>
      </c>
      <c r="BT489" s="20">
        <v>9.5510000000000002</v>
      </c>
      <c r="BU489" s="20">
        <v>21.391999999999999</v>
      </c>
      <c r="BV489" s="20">
        <v>21.509</v>
      </c>
      <c r="BW489" s="19">
        <v>73.076899999999995</v>
      </c>
      <c r="BX489">
        <v>31.44</v>
      </c>
      <c r="BY489" s="6">
        <v>18947160</v>
      </c>
      <c r="BZ489" s="5">
        <v>54953722</v>
      </c>
      <c r="CA489" s="7">
        <f t="shared" si="35"/>
        <v>2.9003672318173277</v>
      </c>
      <c r="CB489">
        <v>38120560</v>
      </c>
      <c r="CC489" s="8">
        <f t="shared" si="36"/>
        <v>1.4415769862772216</v>
      </c>
      <c r="CD489" s="8">
        <f t="shared" si="37"/>
        <v>0.4970325724490931</v>
      </c>
      <c r="CE489">
        <v>311929</v>
      </c>
      <c r="CF489" s="8">
        <f t="shared" si="38"/>
        <v>60.741899598947199</v>
      </c>
      <c r="CG489" s="8">
        <f t="shared" si="39"/>
        <v>176.17381519512452</v>
      </c>
      <c r="CH489">
        <v>104.37136</v>
      </c>
    </row>
    <row r="490" spans="1:86" ht="15.5" x14ac:dyDescent="0.35">
      <c r="A490" t="s">
        <v>106</v>
      </c>
      <c r="B490">
        <v>2008</v>
      </c>
      <c r="C490" s="2">
        <v>40.7089</v>
      </c>
      <c r="D490">
        <v>407249.5</v>
      </c>
      <c r="E490">
        <v>0.33310000000000001</v>
      </c>
      <c r="F490">
        <v>8.5128000000000004</v>
      </c>
      <c r="G490">
        <v>403000</v>
      </c>
      <c r="H490">
        <v>10</v>
      </c>
      <c r="I490" s="19">
        <v>146.49199999999999</v>
      </c>
      <c r="J490" s="19">
        <v>144.904</v>
      </c>
      <c r="K490" s="19">
        <v>4.5810000000000004</v>
      </c>
      <c r="L490" s="19">
        <v>70.873800000000003</v>
      </c>
      <c r="M490" s="19">
        <v>-36164000000</v>
      </c>
      <c r="N490" s="19">
        <v>85.603999999999999</v>
      </c>
      <c r="O490">
        <v>36.131</v>
      </c>
      <c r="P490">
        <v>11.745200000000001</v>
      </c>
      <c r="Q490" s="19">
        <v>14052.295</v>
      </c>
      <c r="R490" s="19">
        <v>10187.201800000001</v>
      </c>
      <c r="S490" s="19">
        <v>4.3695000000000004</v>
      </c>
      <c r="T490" s="19">
        <v>25553.9058</v>
      </c>
      <c r="U490" s="19">
        <v>18372.376499999998</v>
      </c>
      <c r="V490">
        <v>33.5</v>
      </c>
      <c r="W490" s="19">
        <v>67.475700000000003</v>
      </c>
      <c r="X490">
        <v>99</v>
      </c>
      <c r="Y490">
        <v>98</v>
      </c>
      <c r="Z490">
        <v>98</v>
      </c>
      <c r="AA490">
        <v>5.7</v>
      </c>
      <c r="AB490">
        <v>53.1</v>
      </c>
      <c r="AC490">
        <v>75.543899999999994</v>
      </c>
      <c r="AE490">
        <v>3</v>
      </c>
      <c r="AF490">
        <v>85.521799999999999</v>
      </c>
      <c r="AG490">
        <v>16.600000000000001</v>
      </c>
      <c r="AH490">
        <v>0.92</v>
      </c>
      <c r="AI490">
        <v>6.7</v>
      </c>
      <c r="AJ490">
        <v>6</v>
      </c>
      <c r="AK490">
        <v>7.3</v>
      </c>
      <c r="AL490">
        <v>58.544499999999999</v>
      </c>
      <c r="AM490">
        <v>4</v>
      </c>
      <c r="AN490">
        <v>-42288</v>
      </c>
      <c r="AO490">
        <v>0</v>
      </c>
      <c r="AP490">
        <v>99.153700000000001</v>
      </c>
      <c r="AQ490">
        <v>92.926699999999997</v>
      </c>
      <c r="AR490">
        <v>93.118200000000002</v>
      </c>
      <c r="AU490">
        <v>27.430900000000001</v>
      </c>
      <c r="AV490" s="19">
        <v>77.884600000000006</v>
      </c>
      <c r="AW490">
        <v>0.2</v>
      </c>
      <c r="AY490">
        <v>4</v>
      </c>
      <c r="AZ490">
        <v>6</v>
      </c>
      <c r="BA490">
        <v>91.401499999999999</v>
      </c>
      <c r="BB490">
        <v>20.217400000000001</v>
      </c>
      <c r="BC490">
        <v>4.5399000000000003</v>
      </c>
      <c r="BD490" s="19">
        <v>4.3840000000000003</v>
      </c>
      <c r="BE490" s="19">
        <v>74.757300000000001</v>
      </c>
      <c r="BF490">
        <v>4.6706000000000003</v>
      </c>
      <c r="BG490">
        <v>8</v>
      </c>
      <c r="BH490" s="20">
        <v>0.59940000000000004</v>
      </c>
      <c r="BI490" s="20">
        <v>1626.3818000000001</v>
      </c>
      <c r="BJ490" s="19">
        <v>66.826899999999995</v>
      </c>
      <c r="BK490">
        <v>0.99119999999999997</v>
      </c>
      <c r="BL490">
        <v>0.99319999999999997</v>
      </c>
      <c r="BM490">
        <v>0.99480000000000002</v>
      </c>
      <c r="BN490">
        <v>6</v>
      </c>
      <c r="BO490">
        <v>11.14</v>
      </c>
      <c r="BP490">
        <v>17.12</v>
      </c>
      <c r="BQ490" s="19">
        <v>100.5825</v>
      </c>
      <c r="BR490">
        <v>77.879800000000003</v>
      </c>
      <c r="BS490" s="20">
        <v>7.069</v>
      </c>
      <c r="BT490" s="20">
        <v>7.069</v>
      </c>
      <c r="BU490" s="20">
        <v>17.097999999999999</v>
      </c>
      <c r="BV490" s="20">
        <v>17.225000000000001</v>
      </c>
      <c r="BW490" s="19">
        <v>75.961500000000001</v>
      </c>
      <c r="BX490">
        <v>31.28</v>
      </c>
      <c r="BY490" s="6">
        <v>19556102</v>
      </c>
      <c r="BZ490" s="5">
        <v>56645518</v>
      </c>
      <c r="CA490" s="7">
        <f t="shared" si="35"/>
        <v>2.8965648675794391</v>
      </c>
      <c r="CB490">
        <v>38125759</v>
      </c>
      <c r="CC490" s="8">
        <f t="shared" si="36"/>
        <v>1.4857544999956591</v>
      </c>
      <c r="CD490" s="8">
        <f t="shared" si="37"/>
        <v>0.51293672605967</v>
      </c>
      <c r="CE490">
        <v>311929</v>
      </c>
      <c r="CF490" s="8">
        <f t="shared" si="38"/>
        <v>62.6940810248486</v>
      </c>
      <c r="CG490" s="8">
        <f t="shared" si="39"/>
        <v>181.59747250175522</v>
      </c>
      <c r="CH490">
        <v>112.74305</v>
      </c>
    </row>
    <row r="491" spans="1:86" ht="15.5" x14ac:dyDescent="0.35">
      <c r="A491" t="s">
        <v>106</v>
      </c>
      <c r="B491">
        <v>2009</v>
      </c>
      <c r="C491" s="2">
        <v>40.246099999999998</v>
      </c>
      <c r="D491">
        <v>378559.2</v>
      </c>
      <c r="E491">
        <v>0.31140000000000001</v>
      </c>
      <c r="F491">
        <v>8.1607000000000003</v>
      </c>
      <c r="G491">
        <v>385000</v>
      </c>
      <c r="H491">
        <v>10</v>
      </c>
      <c r="I491" s="19">
        <v>152.03700000000001</v>
      </c>
      <c r="J491" s="19">
        <v>149.976</v>
      </c>
      <c r="K491" s="19">
        <v>3.16</v>
      </c>
      <c r="L491" s="19">
        <v>70.334900000000005</v>
      </c>
      <c r="M491" s="19">
        <v>-17527000000</v>
      </c>
      <c r="N491" s="19">
        <v>68.551699999999997</v>
      </c>
      <c r="O491">
        <v>35.512</v>
      </c>
      <c r="P491">
        <v>14.7255</v>
      </c>
      <c r="Q491" s="19">
        <v>11562.706</v>
      </c>
      <c r="R491" s="19">
        <v>10446.528899999999</v>
      </c>
      <c r="S491" s="19">
        <v>2.5455999999999999</v>
      </c>
      <c r="T491" s="19">
        <v>26204.410400000001</v>
      </c>
      <c r="U491" s="19">
        <v>19290.120500000001</v>
      </c>
      <c r="V491">
        <v>33.4</v>
      </c>
      <c r="W491" s="19">
        <v>68.899500000000003</v>
      </c>
      <c r="X491">
        <v>99</v>
      </c>
      <c r="Y491">
        <v>98</v>
      </c>
      <c r="Z491">
        <v>98</v>
      </c>
      <c r="AA491">
        <v>5.4</v>
      </c>
      <c r="AB491">
        <v>59</v>
      </c>
      <c r="AC491">
        <v>75.695099999999996</v>
      </c>
      <c r="AE491">
        <v>3</v>
      </c>
      <c r="AF491">
        <v>85.618700000000004</v>
      </c>
      <c r="AG491">
        <v>13.3</v>
      </c>
      <c r="AH491">
        <v>0.93</v>
      </c>
      <c r="AI491">
        <v>6.3</v>
      </c>
      <c r="AJ491">
        <v>5.7</v>
      </c>
      <c r="AK491">
        <v>6.9</v>
      </c>
      <c r="AL491">
        <v>58.962299999999999</v>
      </c>
      <c r="AM491">
        <v>3.8</v>
      </c>
      <c r="AN491">
        <v>-8283</v>
      </c>
      <c r="AO491">
        <v>0</v>
      </c>
      <c r="AP491">
        <v>99.151899999999998</v>
      </c>
      <c r="AQ491">
        <v>93.600300000000004</v>
      </c>
      <c r="AR491">
        <v>93.508300000000006</v>
      </c>
      <c r="AU491">
        <v>27.213200000000001</v>
      </c>
      <c r="AV491" s="19">
        <v>81.516599999999997</v>
      </c>
      <c r="AW491">
        <v>0.4</v>
      </c>
      <c r="AY491">
        <v>4</v>
      </c>
      <c r="AZ491">
        <v>6</v>
      </c>
      <c r="BA491">
        <v>92.093500000000006</v>
      </c>
      <c r="BB491">
        <v>20</v>
      </c>
      <c r="BC491">
        <v>4.7263999999999999</v>
      </c>
      <c r="BD491" s="19">
        <v>2.6150000000000002</v>
      </c>
      <c r="BE491" s="19">
        <v>78.947400000000002</v>
      </c>
      <c r="BF491">
        <v>6.1581999999999999</v>
      </c>
      <c r="BG491">
        <v>8.8000000000000007</v>
      </c>
      <c r="BH491" s="20">
        <v>0.66110000000000002</v>
      </c>
      <c r="BI491" s="20">
        <v>1608.4431999999999</v>
      </c>
      <c r="BJ491" s="19">
        <v>67.772499999999994</v>
      </c>
      <c r="BK491">
        <v>0.99039999999999995</v>
      </c>
      <c r="BL491">
        <v>0.99380000000000002</v>
      </c>
      <c r="BM491">
        <v>0.99650000000000005</v>
      </c>
      <c r="BN491">
        <v>6</v>
      </c>
      <c r="BO491">
        <v>12.093999999999999</v>
      </c>
      <c r="BP491">
        <v>19.23</v>
      </c>
      <c r="BQ491" s="19">
        <v>104.0373</v>
      </c>
      <c r="BR491">
        <v>73.955699999999993</v>
      </c>
      <c r="BS491" s="20">
        <v>8.1310000000000002</v>
      </c>
      <c r="BT491" s="20">
        <v>8.1310000000000002</v>
      </c>
      <c r="BU491" s="20">
        <v>20.472000000000001</v>
      </c>
      <c r="BV491" s="20">
        <v>20.596</v>
      </c>
      <c r="BW491" s="19">
        <v>80.094800000000006</v>
      </c>
      <c r="BX491">
        <v>30.13</v>
      </c>
      <c r="BY491" s="6">
        <v>19353712</v>
      </c>
      <c r="BZ491" s="5">
        <v>55020067</v>
      </c>
      <c r="CA491" s="7">
        <f t="shared" si="35"/>
        <v>2.8428689545447408</v>
      </c>
      <c r="CB491">
        <v>38151603</v>
      </c>
      <c r="CC491" s="8">
        <f t="shared" si="36"/>
        <v>1.4421429946206978</v>
      </c>
      <c r="CD491" s="8">
        <f t="shared" si="37"/>
        <v>0.50728437282176586</v>
      </c>
      <c r="CE491">
        <v>311929</v>
      </c>
      <c r="CF491" s="8">
        <f t="shared" si="38"/>
        <v>62.045247476188493</v>
      </c>
      <c r="CG491" s="8">
        <f t="shared" si="39"/>
        <v>176.38650782710167</v>
      </c>
      <c r="CH491">
        <v>95.565330000000003</v>
      </c>
    </row>
    <row r="492" spans="1:86" ht="15.5" x14ac:dyDescent="0.35">
      <c r="A492" t="s">
        <v>106</v>
      </c>
      <c r="B492">
        <v>2010</v>
      </c>
      <c r="C492" s="2">
        <v>40.142699999999998</v>
      </c>
      <c r="D492">
        <v>402892</v>
      </c>
      <c r="E492">
        <v>0.31929999999999997</v>
      </c>
      <c r="F492">
        <v>8.6577000000000002</v>
      </c>
      <c r="G492">
        <v>403000</v>
      </c>
      <c r="H492">
        <v>10</v>
      </c>
      <c r="I492" s="19">
        <v>155.97499999999999</v>
      </c>
      <c r="J492" s="19">
        <v>154.625</v>
      </c>
      <c r="K492" s="19">
        <v>4.1509999999999998</v>
      </c>
      <c r="L492" s="19">
        <v>71.904799999999994</v>
      </c>
      <c r="M492" s="19">
        <v>-24633000000</v>
      </c>
      <c r="N492" s="19">
        <v>80.213300000000004</v>
      </c>
      <c r="O492">
        <v>35.631</v>
      </c>
      <c r="P492">
        <v>15.378500000000001</v>
      </c>
      <c r="Q492" s="19">
        <v>12574.314</v>
      </c>
      <c r="R492" s="19">
        <v>10808.3976</v>
      </c>
      <c r="S492" s="19">
        <v>3.464</v>
      </c>
      <c r="T492" s="19">
        <v>27112.133399999999</v>
      </c>
      <c r="U492" s="19">
        <v>20993.249599999999</v>
      </c>
      <c r="V492">
        <v>33.200000000000003</v>
      </c>
      <c r="W492" s="19">
        <v>70.813400000000001</v>
      </c>
      <c r="X492">
        <v>99</v>
      </c>
      <c r="Y492">
        <v>98</v>
      </c>
      <c r="Z492">
        <v>98</v>
      </c>
      <c r="AA492">
        <v>5.0999999999999996</v>
      </c>
      <c r="AB492">
        <v>62.3</v>
      </c>
      <c r="AC492">
        <v>76.246300000000005</v>
      </c>
      <c r="AE492">
        <v>3</v>
      </c>
      <c r="AF492">
        <v>87.262100000000004</v>
      </c>
      <c r="AG492">
        <v>12</v>
      </c>
      <c r="AH492">
        <v>0.88</v>
      </c>
      <c r="AI492">
        <v>6</v>
      </c>
      <c r="AJ492">
        <v>5.4</v>
      </c>
      <c r="AK492">
        <v>6.5</v>
      </c>
      <c r="AL492">
        <v>59.545900000000003</v>
      </c>
      <c r="AM492">
        <v>3.6</v>
      </c>
      <c r="AN492">
        <v>119623</v>
      </c>
      <c r="AO492">
        <v>0</v>
      </c>
      <c r="AP492">
        <v>98.426900000000003</v>
      </c>
      <c r="AQ492">
        <v>94.276300000000006</v>
      </c>
      <c r="AR492">
        <v>93.234999999999999</v>
      </c>
      <c r="AU492">
        <v>26.9665</v>
      </c>
      <c r="AV492" s="19">
        <v>84.360200000000006</v>
      </c>
      <c r="AW492">
        <v>0.3</v>
      </c>
      <c r="AY492">
        <v>4</v>
      </c>
      <c r="AZ492">
        <v>6</v>
      </c>
      <c r="BA492">
        <v>92.789500000000004</v>
      </c>
      <c r="BB492">
        <v>20</v>
      </c>
      <c r="BC492">
        <v>4.6148999999999996</v>
      </c>
      <c r="BD492" s="19">
        <v>3.169</v>
      </c>
      <c r="BE492" s="19">
        <v>81.339699999999993</v>
      </c>
      <c r="BF492">
        <v>7.4036</v>
      </c>
      <c r="BG492">
        <v>9.5</v>
      </c>
      <c r="BH492" s="20">
        <v>0.72619999999999996</v>
      </c>
      <c r="BI492" s="20">
        <v>1697.0281</v>
      </c>
      <c r="BJ492" s="19">
        <v>68.720399999999998</v>
      </c>
      <c r="BK492">
        <v>0.99180000000000001</v>
      </c>
      <c r="BL492">
        <v>0.99319999999999997</v>
      </c>
      <c r="BM492">
        <v>0.99429999999999996</v>
      </c>
      <c r="BN492">
        <v>6</v>
      </c>
      <c r="BO492">
        <v>12.590999999999999</v>
      </c>
      <c r="BP492">
        <v>18.66</v>
      </c>
      <c r="BQ492" s="19">
        <v>101.6581</v>
      </c>
      <c r="BR492">
        <v>69.664000000000001</v>
      </c>
      <c r="BS492" s="20">
        <v>9.5779999999999994</v>
      </c>
      <c r="BT492" s="20">
        <v>9.5779999999999994</v>
      </c>
      <c r="BU492" s="20">
        <v>23.576000000000001</v>
      </c>
      <c r="BV492" s="20">
        <v>23.6</v>
      </c>
      <c r="BW492" s="19">
        <v>80.094800000000006</v>
      </c>
      <c r="BX492">
        <v>32.18</v>
      </c>
      <c r="BY492" s="6">
        <v>20461496</v>
      </c>
      <c r="BZ492" s="5">
        <v>55794467</v>
      </c>
      <c r="CA492" s="7">
        <f t="shared" si="35"/>
        <v>2.7268029180271083</v>
      </c>
      <c r="CB492">
        <v>38042794</v>
      </c>
      <c r="CC492" s="8">
        <f t="shared" si="36"/>
        <v>1.4666237974003697</v>
      </c>
      <c r="CD492" s="8">
        <f t="shared" si="37"/>
        <v>0.53785471172280352</v>
      </c>
      <c r="CE492">
        <v>311929</v>
      </c>
      <c r="CF492" s="8">
        <f t="shared" si="38"/>
        <v>65.596645390457439</v>
      </c>
      <c r="CG492" s="8">
        <f t="shared" si="39"/>
        <v>178.86912406348881</v>
      </c>
      <c r="CH492">
        <v>103.96306</v>
      </c>
    </row>
    <row r="493" spans="1:86" ht="15.5" x14ac:dyDescent="0.35">
      <c r="A493" t="s">
        <v>106</v>
      </c>
      <c r="B493">
        <v>2011</v>
      </c>
      <c r="C493" s="2">
        <v>40.603900000000003</v>
      </c>
      <c r="D493">
        <v>406456.5</v>
      </c>
      <c r="E493">
        <v>0.30109999999999998</v>
      </c>
      <c r="F493">
        <v>8.5886999999999993</v>
      </c>
      <c r="G493">
        <v>403000</v>
      </c>
      <c r="H493">
        <v>10</v>
      </c>
      <c r="I493" s="19">
        <v>162.56700000000001</v>
      </c>
      <c r="J493" s="19">
        <v>161.738</v>
      </c>
      <c r="K493" s="19">
        <v>4.6689999999999996</v>
      </c>
      <c r="L493" s="19">
        <v>71.563999999999993</v>
      </c>
      <c r="M493" s="19">
        <v>-27043000000</v>
      </c>
      <c r="N493" s="19">
        <v>94.763400000000004</v>
      </c>
      <c r="O493">
        <v>35.915999999999997</v>
      </c>
      <c r="P493">
        <v>18.247499999999999</v>
      </c>
      <c r="Q493" s="19">
        <v>13867.857</v>
      </c>
      <c r="R493" s="19">
        <v>11370.313399999999</v>
      </c>
      <c r="S493" s="19">
        <v>5.1989000000000001</v>
      </c>
      <c r="T493" s="19">
        <v>28521.6613</v>
      </c>
      <c r="U493" s="19">
        <v>22808.505499999999</v>
      </c>
      <c r="V493">
        <v>33.200000000000003</v>
      </c>
      <c r="W493" s="19">
        <v>70.142200000000003</v>
      </c>
      <c r="X493">
        <v>99</v>
      </c>
      <c r="Y493">
        <v>98</v>
      </c>
      <c r="Z493">
        <v>98</v>
      </c>
      <c r="AA493">
        <v>4.9000000000000004</v>
      </c>
      <c r="AB493">
        <v>62</v>
      </c>
      <c r="AC493">
        <v>76.695099999999996</v>
      </c>
      <c r="AE493">
        <v>2</v>
      </c>
      <c r="AF493">
        <v>87.403499999999994</v>
      </c>
      <c r="AG493">
        <v>12.8</v>
      </c>
      <c r="AH493">
        <v>0.71</v>
      </c>
      <c r="AI493">
        <v>5.7</v>
      </c>
      <c r="AJ493">
        <v>5.2</v>
      </c>
      <c r="AK493">
        <v>6.2</v>
      </c>
      <c r="AL493">
        <v>60.263300000000001</v>
      </c>
      <c r="AM493">
        <v>3.4</v>
      </c>
      <c r="AN493">
        <v>45951</v>
      </c>
      <c r="AO493">
        <v>0</v>
      </c>
      <c r="AP493">
        <v>97.699700000000007</v>
      </c>
      <c r="AQ493">
        <v>94.954700000000003</v>
      </c>
      <c r="AR493">
        <v>92.951800000000006</v>
      </c>
      <c r="AU493">
        <v>26.5458</v>
      </c>
      <c r="AV493" s="19">
        <v>85.781999999999996</v>
      </c>
      <c r="AW493">
        <v>0.3</v>
      </c>
      <c r="AY493">
        <v>4</v>
      </c>
      <c r="AZ493">
        <v>6</v>
      </c>
      <c r="BA493">
        <v>93.489500000000007</v>
      </c>
      <c r="BB493">
        <v>23.695699999999999</v>
      </c>
      <c r="BC493">
        <v>4.4652000000000003</v>
      </c>
      <c r="BD493" s="19">
        <v>5.2549999999999999</v>
      </c>
      <c r="BE493" s="19">
        <v>78.673000000000002</v>
      </c>
      <c r="BF493">
        <v>8.3910999999999998</v>
      </c>
      <c r="BG493">
        <v>10.4</v>
      </c>
      <c r="BH493" s="20">
        <v>0.75219999999999998</v>
      </c>
      <c r="BI493" s="20">
        <v>1679.9007999999999</v>
      </c>
      <c r="BJ493" s="19">
        <v>72.77</v>
      </c>
      <c r="BK493">
        <v>0.99609999999999999</v>
      </c>
      <c r="BL493">
        <v>0.99470000000000003</v>
      </c>
      <c r="BM493">
        <v>0.99360000000000004</v>
      </c>
      <c r="BN493">
        <v>6</v>
      </c>
      <c r="BO493">
        <v>13.266999999999999</v>
      </c>
      <c r="BP493">
        <v>18.079999999999998</v>
      </c>
      <c r="BQ493" s="19">
        <v>99.305099999999996</v>
      </c>
      <c r="BR493">
        <v>68.090699999999998</v>
      </c>
      <c r="BS493" s="20">
        <v>9.5760000000000005</v>
      </c>
      <c r="BT493" s="20">
        <v>9.5760000000000005</v>
      </c>
      <c r="BU493" s="20">
        <v>25.529</v>
      </c>
      <c r="BV493" s="20">
        <v>25.619</v>
      </c>
      <c r="BW493" s="19">
        <v>80.281700000000001</v>
      </c>
      <c r="BX493">
        <v>31.63</v>
      </c>
      <c r="BY493" s="6">
        <v>21476616</v>
      </c>
      <c r="BZ493" s="5">
        <v>57148253</v>
      </c>
      <c r="CA493" s="7">
        <f t="shared" si="35"/>
        <v>2.6609524051647617</v>
      </c>
      <c r="CB493">
        <v>38063255</v>
      </c>
      <c r="CC493" s="8">
        <f t="shared" si="36"/>
        <v>1.5014021528111561</v>
      </c>
      <c r="CD493" s="8">
        <f t="shared" si="37"/>
        <v>0.56423487691738394</v>
      </c>
      <c r="CE493">
        <v>311929</v>
      </c>
      <c r="CF493" s="8">
        <f t="shared" si="38"/>
        <v>68.850975702804163</v>
      </c>
      <c r="CG493" s="8">
        <f t="shared" si="39"/>
        <v>183.20916939431729</v>
      </c>
      <c r="CH493">
        <v>101.64055</v>
      </c>
    </row>
    <row r="494" spans="1:86" ht="15.5" x14ac:dyDescent="0.35">
      <c r="A494" s="9" t="s">
        <v>106</v>
      </c>
      <c r="B494" s="9">
        <v>2012</v>
      </c>
      <c r="C494" s="10">
        <v>41.1813</v>
      </c>
      <c r="D494" s="9">
        <v>397844.5</v>
      </c>
      <c r="E494" s="9">
        <v>0.29010000000000002</v>
      </c>
      <c r="F494" s="9">
        <v>8.3992000000000004</v>
      </c>
      <c r="G494" s="9">
        <v>396000</v>
      </c>
      <c r="H494" s="9">
        <v>10</v>
      </c>
      <c r="I494" s="21">
        <v>168.625</v>
      </c>
      <c r="J494" s="21">
        <v>165.619</v>
      </c>
      <c r="K494" s="21">
        <v>3.8420000000000001</v>
      </c>
      <c r="L494" s="21">
        <v>72.985799999999998</v>
      </c>
      <c r="M494" s="21">
        <v>-20375000000</v>
      </c>
      <c r="N494" s="21">
        <v>93.094899999999996</v>
      </c>
      <c r="O494" s="9">
        <v>34.997999999999998</v>
      </c>
      <c r="P494" s="9">
        <v>18.007999999999999</v>
      </c>
      <c r="Q494" s="21">
        <v>13087.206</v>
      </c>
      <c r="R494" s="21">
        <v>11542.2353</v>
      </c>
      <c r="S494" s="21">
        <v>1.512</v>
      </c>
      <c r="T494" s="21">
        <v>28952.915700000001</v>
      </c>
      <c r="U494" s="21">
        <v>23728.145700000001</v>
      </c>
      <c r="V494" s="9">
        <v>33</v>
      </c>
      <c r="W494" s="21">
        <v>70.616100000000003</v>
      </c>
      <c r="X494" s="9">
        <v>99</v>
      </c>
      <c r="Y494" s="9">
        <v>97</v>
      </c>
      <c r="Z494" s="9">
        <v>98</v>
      </c>
      <c r="AA494" s="9">
        <v>4.7</v>
      </c>
      <c r="AB494" s="9">
        <v>62.3</v>
      </c>
      <c r="AC494" s="9">
        <v>76.746300000000005</v>
      </c>
      <c r="AD494" s="9"/>
      <c r="AE494" s="9">
        <v>2</v>
      </c>
      <c r="AF494" s="9">
        <v>87.478099999999998</v>
      </c>
      <c r="AG494" s="9">
        <v>11.1</v>
      </c>
      <c r="AH494" s="9">
        <v>0.69</v>
      </c>
      <c r="AI494" s="9">
        <v>5.4</v>
      </c>
      <c r="AJ494" s="9">
        <v>4.9000000000000004</v>
      </c>
      <c r="AK494" s="9">
        <v>5.9</v>
      </c>
      <c r="AL494" s="9">
        <v>60.836199999999998</v>
      </c>
      <c r="AM494" s="9">
        <v>3.2</v>
      </c>
      <c r="AN494" s="9">
        <v>4635</v>
      </c>
      <c r="AO494" s="9">
        <v>0</v>
      </c>
      <c r="AP494" s="9">
        <v>96.969700000000003</v>
      </c>
      <c r="AQ494" s="9">
        <v>95.635000000000005</v>
      </c>
      <c r="AR494" s="9">
        <v>92.656999999999996</v>
      </c>
      <c r="AS494" s="9"/>
      <c r="AT494" s="9"/>
      <c r="AU494" s="9">
        <v>24.130500000000001</v>
      </c>
      <c r="AV494" s="21">
        <v>86.255899999999997</v>
      </c>
      <c r="AW494" s="9">
        <v>0.2</v>
      </c>
      <c r="AX494" s="9"/>
      <c r="AY494" s="9">
        <v>4</v>
      </c>
      <c r="AZ494" s="9">
        <v>6</v>
      </c>
      <c r="BA494" s="9">
        <v>94.192999999999998</v>
      </c>
      <c r="BB494" s="9">
        <v>23.695699999999999</v>
      </c>
      <c r="BC494" s="9">
        <v>4.3749000000000002</v>
      </c>
      <c r="BD494" s="21">
        <v>1.512</v>
      </c>
      <c r="BE494" s="21">
        <v>79.146900000000002</v>
      </c>
      <c r="BF494" s="9">
        <v>10.761900000000001</v>
      </c>
      <c r="BG494" s="9">
        <v>10.9</v>
      </c>
      <c r="BH494" s="22">
        <v>0.89</v>
      </c>
      <c r="BI494" s="22">
        <v>1752.079</v>
      </c>
      <c r="BJ494" s="21">
        <v>73.239400000000003</v>
      </c>
      <c r="BK494" s="9">
        <v>1.0017</v>
      </c>
      <c r="BL494" s="9">
        <v>0.99529999999999996</v>
      </c>
      <c r="BM494" s="9">
        <v>0.99</v>
      </c>
      <c r="BN494" s="9">
        <v>6</v>
      </c>
      <c r="BO494" s="9">
        <v>13.531000000000001</v>
      </c>
      <c r="BP494" s="9">
        <v>18.57</v>
      </c>
      <c r="BQ494" s="21">
        <v>97.433000000000007</v>
      </c>
      <c r="BR494" s="9">
        <v>66.934600000000003</v>
      </c>
      <c r="BS494" s="22">
        <v>10.031000000000001</v>
      </c>
      <c r="BT494" s="22">
        <v>10.031000000000001</v>
      </c>
      <c r="BU494" s="22">
        <v>26.312000000000001</v>
      </c>
      <c r="BV494" s="22">
        <v>26.437000000000001</v>
      </c>
      <c r="BW494" s="21">
        <v>82.629099999999994</v>
      </c>
      <c r="BX494" s="9">
        <v>31.72</v>
      </c>
      <c r="BY494" s="14">
        <v>22635388</v>
      </c>
      <c r="BZ494" s="5">
        <v>62014890</v>
      </c>
      <c r="CA494" s="7">
        <f t="shared" si="35"/>
        <v>2.7397316979943089</v>
      </c>
      <c r="CB494">
        <v>38063164</v>
      </c>
      <c r="CC494" s="8">
        <f t="shared" si="36"/>
        <v>1.6292626120098685</v>
      </c>
      <c r="CD494" s="8">
        <f t="shared" si="37"/>
        <v>0.594679622534795</v>
      </c>
      <c r="CE494">
        <v>311929</v>
      </c>
      <c r="CF494" s="8">
        <f t="shared" si="38"/>
        <v>72.565833891686893</v>
      </c>
      <c r="CG494" s="8">
        <f t="shared" si="39"/>
        <v>198.81091530444428</v>
      </c>
      <c r="CH494" s="9">
        <v>101.29097</v>
      </c>
    </row>
    <row r="495" spans="1:86" ht="15.5" x14ac:dyDescent="0.35">
      <c r="A495" t="s">
        <v>106</v>
      </c>
      <c r="B495">
        <v>2013</v>
      </c>
      <c r="C495" s="2">
        <v>41.918799999999997</v>
      </c>
      <c r="D495">
        <v>390916.1</v>
      </c>
      <c r="E495">
        <v>0.28399999999999997</v>
      </c>
      <c r="F495">
        <v>8.2825000000000006</v>
      </c>
      <c r="G495">
        <v>391000</v>
      </c>
      <c r="H495">
        <v>10</v>
      </c>
      <c r="I495" s="19">
        <v>170.50899999999999</v>
      </c>
      <c r="J495" s="19">
        <v>166.779</v>
      </c>
      <c r="K495" s="19">
        <v>3.1909999999999998</v>
      </c>
      <c r="L495" s="19">
        <v>72.985799999999998</v>
      </c>
      <c r="M495" s="19">
        <v>-10222000000</v>
      </c>
      <c r="N495" s="19">
        <v>102.967</v>
      </c>
      <c r="O495">
        <v>35.432000000000002</v>
      </c>
      <c r="P495">
        <v>18.377400000000002</v>
      </c>
      <c r="Q495" s="19">
        <v>13613.905000000001</v>
      </c>
      <c r="R495" s="19">
        <v>11628.2287</v>
      </c>
      <c r="S495" s="19">
        <v>0.745</v>
      </c>
      <c r="T495" s="19">
        <v>29168.624199999998</v>
      </c>
      <c r="U495" s="19">
        <v>24433.8914</v>
      </c>
      <c r="V495">
        <v>33.1</v>
      </c>
      <c r="W495" s="19">
        <v>70.616100000000003</v>
      </c>
      <c r="X495">
        <v>99</v>
      </c>
      <c r="Y495">
        <v>96</v>
      </c>
      <c r="Z495">
        <v>98</v>
      </c>
      <c r="AA495">
        <v>4.5</v>
      </c>
      <c r="AB495">
        <v>62.8</v>
      </c>
      <c r="AC495">
        <v>77</v>
      </c>
      <c r="AD495">
        <v>96.946899999999999</v>
      </c>
      <c r="AE495">
        <v>2</v>
      </c>
      <c r="AF495">
        <v>86.815200000000004</v>
      </c>
      <c r="AG495">
        <v>10.8</v>
      </c>
      <c r="AH495">
        <v>0.63</v>
      </c>
      <c r="AI495">
        <v>5.2</v>
      </c>
      <c r="AJ495">
        <v>4.7</v>
      </c>
      <c r="AK495">
        <v>5.7</v>
      </c>
      <c r="AL495">
        <v>61.843000000000004</v>
      </c>
      <c r="AM495">
        <v>3.1</v>
      </c>
      <c r="AN495">
        <v>12402</v>
      </c>
      <c r="AO495">
        <v>0</v>
      </c>
      <c r="AP495">
        <v>96.237200000000001</v>
      </c>
      <c r="AQ495">
        <v>96.317999999999998</v>
      </c>
      <c r="AR495">
        <v>92.352099999999993</v>
      </c>
      <c r="AU495">
        <v>23.1892</v>
      </c>
      <c r="AV495" s="19">
        <v>81.516599999999997</v>
      </c>
      <c r="AW495">
        <v>0.4</v>
      </c>
      <c r="AY495">
        <v>4</v>
      </c>
      <c r="AZ495">
        <v>6</v>
      </c>
      <c r="BA495">
        <v>94.900800000000004</v>
      </c>
      <c r="BB495">
        <v>23.695699999999999</v>
      </c>
      <c r="BC495">
        <v>4.5552999999999999</v>
      </c>
      <c r="BD495" s="19">
        <v>0.68400000000000005</v>
      </c>
      <c r="BE495" s="19">
        <v>80.568700000000007</v>
      </c>
      <c r="BF495">
        <v>10.761900000000001</v>
      </c>
      <c r="BG495">
        <v>11.4</v>
      </c>
      <c r="BH495" s="20">
        <v>0.88480000000000003</v>
      </c>
      <c r="BI495" s="20">
        <v>1868.3130000000001</v>
      </c>
      <c r="BJ495" s="19">
        <v>74.178399999999996</v>
      </c>
      <c r="BK495">
        <v>1.0018</v>
      </c>
      <c r="BL495">
        <v>0.98060000000000003</v>
      </c>
      <c r="BM495">
        <v>0.96430000000000005</v>
      </c>
      <c r="BN495">
        <v>6</v>
      </c>
      <c r="BO495">
        <v>14.085000000000001</v>
      </c>
      <c r="BP495">
        <v>18.25</v>
      </c>
      <c r="BQ495" s="19">
        <v>98.113399999999999</v>
      </c>
      <c r="BR495">
        <v>66.019800000000004</v>
      </c>
      <c r="BS495" s="20">
        <v>10.292999999999999</v>
      </c>
      <c r="BT495" s="20">
        <v>10.292999999999999</v>
      </c>
      <c r="BU495" s="20">
        <v>27.155999999999999</v>
      </c>
      <c r="BV495" s="20">
        <v>27.286999999999999</v>
      </c>
      <c r="BW495" s="19">
        <v>79.342699999999994</v>
      </c>
      <c r="BX495">
        <v>29.8</v>
      </c>
      <c r="BY495" s="6">
        <v>23401138</v>
      </c>
      <c r="BZ495" s="5">
        <v>62959452</v>
      </c>
      <c r="CA495" s="7">
        <f t="shared" si="35"/>
        <v>2.6904440288331277</v>
      </c>
      <c r="CB495">
        <v>38040196</v>
      </c>
      <c r="CC495" s="8">
        <f t="shared" si="36"/>
        <v>1.6550769612228076</v>
      </c>
      <c r="CD495" s="8">
        <f t="shared" si="37"/>
        <v>0.6151687020750366</v>
      </c>
      <c r="CE495">
        <v>311929</v>
      </c>
      <c r="CF495" s="8">
        <f t="shared" si="38"/>
        <v>75.020719458594741</v>
      </c>
      <c r="CG495" s="8">
        <f t="shared" si="39"/>
        <v>201.83904670614146</v>
      </c>
      <c r="CH495">
        <v>100.49053000000001</v>
      </c>
    </row>
    <row r="496" spans="1:86" ht="15.5" x14ac:dyDescent="0.35">
      <c r="A496" t="s">
        <v>106</v>
      </c>
      <c r="B496">
        <v>2014</v>
      </c>
      <c r="C496" s="2">
        <v>42.805999999999997</v>
      </c>
      <c r="D496">
        <v>372170.3</v>
      </c>
      <c r="E496">
        <v>0.26240000000000002</v>
      </c>
      <c r="F496">
        <v>7.9592999999999998</v>
      </c>
      <c r="G496">
        <v>378000</v>
      </c>
      <c r="H496">
        <v>10</v>
      </c>
      <c r="I496" s="19">
        <v>170.68799999999999</v>
      </c>
      <c r="J496" s="19">
        <v>165.11099999999999</v>
      </c>
      <c r="K496" s="19">
        <v>2.8130000000000002</v>
      </c>
      <c r="L496" s="19">
        <v>72.596199999999996</v>
      </c>
      <c r="M496" s="19">
        <v>-16106000000</v>
      </c>
      <c r="N496" s="19">
        <v>110.5102</v>
      </c>
      <c r="O496">
        <v>36.345999999999997</v>
      </c>
      <c r="P496">
        <v>18.904599999999999</v>
      </c>
      <c r="Q496" s="19">
        <v>14263.456</v>
      </c>
      <c r="R496" s="19">
        <v>12093.1623</v>
      </c>
      <c r="S496" s="19">
        <v>3.9983</v>
      </c>
      <c r="T496" s="19">
        <v>30334.878700000001</v>
      </c>
      <c r="U496" s="19">
        <v>25459.7392</v>
      </c>
      <c r="V496">
        <v>32.799999999999997</v>
      </c>
      <c r="W496" s="19">
        <v>74.519199999999998</v>
      </c>
      <c r="X496">
        <v>98</v>
      </c>
      <c r="Y496">
        <v>96</v>
      </c>
      <c r="Z496">
        <v>97</v>
      </c>
      <c r="AA496">
        <v>4.3</v>
      </c>
      <c r="AB496">
        <v>66.599999999999994</v>
      </c>
      <c r="AC496">
        <v>77.602400000000003</v>
      </c>
      <c r="AD496">
        <v>96.767600000000002</v>
      </c>
      <c r="AE496">
        <v>2</v>
      </c>
      <c r="AF496">
        <v>86.982299999999995</v>
      </c>
      <c r="AG496">
        <v>10.4</v>
      </c>
      <c r="AH496">
        <v>0.57999999999999996</v>
      </c>
      <c r="AI496">
        <v>5</v>
      </c>
      <c r="AJ496">
        <v>4.5999999999999996</v>
      </c>
      <c r="AK496">
        <v>5.5</v>
      </c>
      <c r="AL496">
        <v>63.1614</v>
      </c>
      <c r="AM496">
        <v>3</v>
      </c>
      <c r="AN496">
        <v>5525</v>
      </c>
      <c r="AO496">
        <v>0</v>
      </c>
      <c r="AP496">
        <v>95.502099999999999</v>
      </c>
      <c r="AQ496">
        <v>97.003699999999995</v>
      </c>
      <c r="AR496">
        <v>92.036900000000003</v>
      </c>
      <c r="AU496">
        <v>23.433800000000002</v>
      </c>
      <c r="AV496" s="19">
        <v>76.1905</v>
      </c>
      <c r="AW496">
        <v>0.4</v>
      </c>
      <c r="AY496">
        <v>4</v>
      </c>
      <c r="AZ496">
        <v>6</v>
      </c>
      <c r="BA496">
        <v>95.612799999999993</v>
      </c>
      <c r="BB496">
        <v>24.347799999999999</v>
      </c>
      <c r="BC496">
        <v>4.4946000000000002</v>
      </c>
      <c r="BD496" s="19">
        <v>3.92</v>
      </c>
      <c r="BE496" s="19">
        <v>81.25</v>
      </c>
      <c r="BF496">
        <v>12.8767</v>
      </c>
      <c r="BG496">
        <v>11.6</v>
      </c>
      <c r="BH496" s="20">
        <v>0.95079999999999998</v>
      </c>
      <c r="BI496" s="20">
        <v>2054.7476000000001</v>
      </c>
      <c r="BJ496" s="19">
        <v>78.365399999999994</v>
      </c>
      <c r="BK496">
        <v>1.0022</v>
      </c>
      <c r="BL496">
        <v>0.97989999999999999</v>
      </c>
      <c r="BM496">
        <v>0.96189999999999998</v>
      </c>
      <c r="BN496">
        <v>6</v>
      </c>
      <c r="BO496">
        <v>13.715999999999999</v>
      </c>
      <c r="BP496">
        <v>17.37</v>
      </c>
      <c r="BQ496" s="19">
        <v>98.371300000000005</v>
      </c>
      <c r="BR496">
        <v>70.397499999999994</v>
      </c>
      <c r="BS496" s="20">
        <v>8.9710000000000001</v>
      </c>
      <c r="BT496" s="20">
        <v>8.9710000000000001</v>
      </c>
      <c r="BU496" s="20">
        <v>23.73</v>
      </c>
      <c r="BV496" s="20">
        <v>23.837</v>
      </c>
      <c r="BW496" s="19">
        <v>82.266000000000005</v>
      </c>
      <c r="BX496">
        <v>27.3</v>
      </c>
      <c r="BY496" s="6">
        <v>25083978</v>
      </c>
      <c r="BZ496" s="5">
        <v>66579589</v>
      </c>
      <c r="CA496" s="7">
        <f t="shared" si="35"/>
        <v>2.6542675567647205</v>
      </c>
      <c r="CB496">
        <v>38011735</v>
      </c>
      <c r="CC496" s="8">
        <f t="shared" si="36"/>
        <v>1.7515535399791669</v>
      </c>
      <c r="CD496" s="8">
        <f t="shared" si="37"/>
        <v>0.65990089639423188</v>
      </c>
      <c r="CE496">
        <v>311929</v>
      </c>
      <c r="CF496" s="8">
        <f t="shared" si="38"/>
        <v>80.415665103276709</v>
      </c>
      <c r="CG496" s="8">
        <f t="shared" si="39"/>
        <v>213.44469093928427</v>
      </c>
      <c r="CH496">
        <v>100.92313</v>
      </c>
    </row>
    <row r="497" spans="1:86" ht="15.5" x14ac:dyDescent="0.35">
      <c r="A497" t="s">
        <v>106</v>
      </c>
      <c r="B497">
        <v>2015</v>
      </c>
      <c r="C497" s="2">
        <v>43.836300000000001</v>
      </c>
      <c r="D497">
        <v>380241.2</v>
      </c>
      <c r="E497">
        <v>0.25390000000000001</v>
      </c>
      <c r="F497">
        <v>8.0488999999999997</v>
      </c>
      <c r="G497">
        <v>381000</v>
      </c>
      <c r="H497">
        <v>10</v>
      </c>
      <c r="I497" s="19">
        <v>169.11099999999999</v>
      </c>
      <c r="J497" s="19">
        <v>164.285</v>
      </c>
      <c r="K497" s="19">
        <v>2.79</v>
      </c>
      <c r="L497" s="19">
        <v>74.761899999999997</v>
      </c>
      <c r="M497" s="19">
        <v>-6350000000</v>
      </c>
      <c r="N497" s="19">
        <v>100</v>
      </c>
      <c r="O497">
        <v>37.429000000000002</v>
      </c>
      <c r="P497">
        <v>18.986799999999999</v>
      </c>
      <c r="Q497" s="19">
        <v>12622.572</v>
      </c>
      <c r="R497" s="19">
        <v>12637.522000000001</v>
      </c>
      <c r="S497" s="19">
        <v>4.5014000000000003</v>
      </c>
      <c r="T497" s="19">
        <v>31700.368200000001</v>
      </c>
      <c r="U497" s="19">
        <v>26995.340899999999</v>
      </c>
      <c r="V497">
        <v>31.8</v>
      </c>
      <c r="W497" s="19">
        <v>74.285700000000006</v>
      </c>
      <c r="X497">
        <v>98</v>
      </c>
      <c r="Y497">
        <v>96</v>
      </c>
      <c r="Z497">
        <v>96</v>
      </c>
      <c r="AA497">
        <v>4.2</v>
      </c>
      <c r="AB497">
        <v>68</v>
      </c>
      <c r="AC497">
        <v>77.4512</v>
      </c>
      <c r="AD497">
        <v>96.539199999999994</v>
      </c>
      <c r="AE497">
        <v>2</v>
      </c>
      <c r="AF497">
        <v>88.163399999999996</v>
      </c>
      <c r="AG497">
        <v>9.3000000000000007</v>
      </c>
      <c r="AH497">
        <v>0.44</v>
      </c>
      <c r="AI497">
        <v>4.9000000000000004</v>
      </c>
      <c r="AJ497">
        <v>4.4000000000000004</v>
      </c>
      <c r="AK497">
        <v>5.3</v>
      </c>
      <c r="AL497">
        <v>63.508600000000001</v>
      </c>
      <c r="AM497">
        <v>2.9</v>
      </c>
      <c r="AN497">
        <v>3887</v>
      </c>
      <c r="AO497">
        <v>0</v>
      </c>
      <c r="AP497">
        <v>94.764600000000002</v>
      </c>
      <c r="AQ497">
        <v>97.692099999999996</v>
      </c>
      <c r="AR497">
        <v>91.711399999999998</v>
      </c>
      <c r="AU497">
        <v>22.414000000000001</v>
      </c>
      <c r="AV497" s="19">
        <v>74.761899999999997</v>
      </c>
      <c r="AW497">
        <v>0.4</v>
      </c>
      <c r="AY497">
        <v>4</v>
      </c>
      <c r="AZ497">
        <v>6</v>
      </c>
      <c r="BA497">
        <v>96.3292</v>
      </c>
      <c r="BB497">
        <v>27.391300000000001</v>
      </c>
      <c r="BC497">
        <v>4.4401999999999999</v>
      </c>
      <c r="BD497" s="19">
        <v>4.4320000000000004</v>
      </c>
      <c r="BE497" s="19">
        <v>79.523799999999994</v>
      </c>
      <c r="BF497">
        <v>14.194100000000001</v>
      </c>
      <c r="BG497">
        <v>11.9</v>
      </c>
      <c r="BH497" s="20">
        <v>1.0042</v>
      </c>
      <c r="BI497" s="20">
        <v>2158.3784000000001</v>
      </c>
      <c r="BJ497" s="19">
        <v>76.1905</v>
      </c>
      <c r="BM497">
        <v>0.96319999999999995</v>
      </c>
      <c r="BN497">
        <v>6</v>
      </c>
      <c r="BO497">
        <v>11.840999999999999</v>
      </c>
      <c r="BP497">
        <v>15.85</v>
      </c>
      <c r="BQ497" s="19">
        <v>100</v>
      </c>
      <c r="BR497">
        <v>74.702200000000005</v>
      </c>
      <c r="BS497" s="20">
        <v>7.4749999999999996</v>
      </c>
      <c r="BT497" s="20">
        <v>7.4749999999999996</v>
      </c>
      <c r="BU497" s="20">
        <v>20.684000000000001</v>
      </c>
      <c r="BV497" s="20">
        <v>20.738</v>
      </c>
      <c r="BW497" s="19">
        <v>81.773399999999995</v>
      </c>
      <c r="BX497">
        <v>26.39</v>
      </c>
      <c r="BY497" s="6">
        <v>26942056</v>
      </c>
      <c r="BZ497" s="5">
        <v>71234421</v>
      </c>
      <c r="CA497" s="7">
        <f t="shared" si="35"/>
        <v>2.6439860788649536</v>
      </c>
      <c r="CB497">
        <v>37986412</v>
      </c>
      <c r="CC497" s="8">
        <f t="shared" si="36"/>
        <v>1.8752605800200346</v>
      </c>
      <c r="CD497" s="8">
        <f t="shared" si="37"/>
        <v>0.70925508837212636</v>
      </c>
      <c r="CE497">
        <v>311929</v>
      </c>
      <c r="CF497" s="8">
        <f t="shared" si="38"/>
        <v>86.372398847173557</v>
      </c>
      <c r="CG497" s="8">
        <f t="shared" si="39"/>
        <v>228.36742015009827</v>
      </c>
      <c r="CH497">
        <v>100</v>
      </c>
    </row>
    <row r="498" spans="1:86" ht="15.5" x14ac:dyDescent="0.35">
      <c r="A498" t="s">
        <v>106</v>
      </c>
      <c r="B498">
        <v>2016</v>
      </c>
      <c r="C498" s="2">
        <v>45.027999999999999</v>
      </c>
      <c r="D498">
        <v>417364.7</v>
      </c>
      <c r="E498">
        <v>0.25530000000000003</v>
      </c>
      <c r="F498">
        <v>8.3408999999999995</v>
      </c>
      <c r="G498">
        <v>381000</v>
      </c>
      <c r="H498">
        <v>10</v>
      </c>
      <c r="I498" s="19">
        <v>167.965</v>
      </c>
      <c r="J498" s="19">
        <v>165.6</v>
      </c>
      <c r="K498" s="19">
        <v>2.9319999999999999</v>
      </c>
      <c r="L498" s="19">
        <v>75.714299999999994</v>
      </c>
      <c r="M498" s="19">
        <v>-5070000000</v>
      </c>
      <c r="N498" s="19">
        <v>102.3567</v>
      </c>
      <c r="O498">
        <v>38.125999999999998</v>
      </c>
      <c r="P498">
        <v>19.151299999999999</v>
      </c>
      <c r="Q498" s="19">
        <v>12455.032999999999</v>
      </c>
      <c r="R498" s="19">
        <v>13026.1859</v>
      </c>
      <c r="S498" s="19">
        <v>3.0754999999999999</v>
      </c>
      <c r="T498" s="19">
        <v>32675.305199999999</v>
      </c>
      <c r="U498" s="19">
        <v>28359.6927</v>
      </c>
      <c r="V498">
        <v>31.2</v>
      </c>
      <c r="W498" s="19">
        <v>72.381</v>
      </c>
      <c r="X498">
        <v>98</v>
      </c>
      <c r="Y498">
        <v>95</v>
      </c>
      <c r="Z498">
        <v>96</v>
      </c>
      <c r="AA498">
        <v>4.0999999999999996</v>
      </c>
      <c r="AB498">
        <v>73.3</v>
      </c>
      <c r="AC498">
        <v>77.851200000000006</v>
      </c>
      <c r="AD498">
        <v>95.877499999999998</v>
      </c>
      <c r="AE498">
        <v>2</v>
      </c>
      <c r="AF498">
        <v>88.051400000000001</v>
      </c>
      <c r="AG498">
        <v>9.6999999999999993</v>
      </c>
      <c r="AH498">
        <v>0.49</v>
      </c>
      <c r="AI498">
        <v>4.8</v>
      </c>
      <c r="AJ498">
        <v>4.3</v>
      </c>
      <c r="AK498">
        <v>5.2</v>
      </c>
      <c r="AL498">
        <v>62.833399999999997</v>
      </c>
      <c r="AM498">
        <v>2.8</v>
      </c>
      <c r="AN498">
        <v>-5675</v>
      </c>
      <c r="AO498">
        <v>0</v>
      </c>
      <c r="AP498">
        <v>94.026700000000005</v>
      </c>
      <c r="AQ498">
        <v>98.383099999999999</v>
      </c>
      <c r="AR498">
        <v>91.378399999999999</v>
      </c>
      <c r="AU498">
        <v>21.2485</v>
      </c>
      <c r="AV498" s="19">
        <v>63.333300000000001</v>
      </c>
      <c r="AW498">
        <v>0.2</v>
      </c>
      <c r="AY498">
        <v>4</v>
      </c>
      <c r="AZ498">
        <v>6</v>
      </c>
      <c r="BA498">
        <v>97.049700000000001</v>
      </c>
      <c r="BB498">
        <v>27.391300000000001</v>
      </c>
      <c r="BC498">
        <v>4.5251000000000001</v>
      </c>
      <c r="BD498" s="19">
        <v>3.0310000000000001</v>
      </c>
      <c r="BE498" s="19">
        <v>79.523799999999994</v>
      </c>
      <c r="BF498">
        <v>13.991199999999999</v>
      </c>
      <c r="BG498">
        <v>11.3</v>
      </c>
      <c r="BH498" s="20">
        <v>0.96819999999999995</v>
      </c>
      <c r="BI498" s="20">
        <v>2304.0075999999999</v>
      </c>
      <c r="BJ498" s="19">
        <v>71.428600000000003</v>
      </c>
      <c r="BM498">
        <v>0.96689999999999998</v>
      </c>
      <c r="BN498">
        <v>6</v>
      </c>
      <c r="BO498">
        <v>11.544</v>
      </c>
      <c r="BP498">
        <v>13.81</v>
      </c>
      <c r="BQ498" s="19">
        <v>100.3633</v>
      </c>
      <c r="BR498">
        <v>78.826499999999996</v>
      </c>
      <c r="BS498" s="20">
        <v>6.141</v>
      </c>
      <c r="BT498" s="20">
        <v>6.141</v>
      </c>
      <c r="BU498" s="20">
        <v>17.588999999999999</v>
      </c>
      <c r="BV498" s="20">
        <v>17.635999999999999</v>
      </c>
      <c r="BW498" s="19">
        <v>74.384200000000007</v>
      </c>
      <c r="BX498">
        <v>26.06</v>
      </c>
      <c r="BY498" s="6">
        <v>30108308</v>
      </c>
      <c r="BZ498" s="5">
        <v>79393860</v>
      </c>
      <c r="CA498" s="7">
        <f t="shared" si="35"/>
        <v>2.6369419364249893</v>
      </c>
      <c r="CB498">
        <v>37970087</v>
      </c>
      <c r="CC498" s="8">
        <f t="shared" si="36"/>
        <v>2.0909580744442331</v>
      </c>
      <c r="CD498" s="8">
        <f t="shared" si="37"/>
        <v>0.79294809095380792</v>
      </c>
      <c r="CE498">
        <v>311929</v>
      </c>
      <c r="CF498" s="8">
        <f t="shared" si="38"/>
        <v>96.522952338512937</v>
      </c>
      <c r="CG498" s="8">
        <f t="shared" si="39"/>
        <v>254.52542084897524</v>
      </c>
      <c r="CH498">
        <v>95.438040000000001</v>
      </c>
    </row>
    <row r="499" spans="1:86" ht="15.5" x14ac:dyDescent="0.35">
      <c r="A499" t="s">
        <v>106</v>
      </c>
      <c r="B499">
        <v>2017</v>
      </c>
      <c r="C499" s="2">
        <v>46.355200000000004</v>
      </c>
      <c r="D499">
        <v>466884.2</v>
      </c>
      <c r="E499">
        <v>0.25309999999999999</v>
      </c>
      <c r="F499">
        <v>8.6951999999999998</v>
      </c>
      <c r="G499">
        <v>381000</v>
      </c>
      <c r="H499">
        <v>10</v>
      </c>
      <c r="I499" s="19">
        <v>171.27199999999999</v>
      </c>
      <c r="J499" s="19">
        <v>169.077</v>
      </c>
      <c r="K499" s="19">
        <v>3.3260000000000001</v>
      </c>
      <c r="L499" s="19">
        <v>73.8095</v>
      </c>
      <c r="M499" s="19">
        <v>-6309000000</v>
      </c>
      <c r="N499" s="19">
        <v>117.69750000000001</v>
      </c>
      <c r="O499">
        <v>38.186999999999998</v>
      </c>
      <c r="P499">
        <v>19.953199999999999</v>
      </c>
      <c r="Q499" s="19">
        <v>13917.705</v>
      </c>
      <c r="R499" s="19">
        <v>13695.6453</v>
      </c>
      <c r="S499" s="19">
        <v>5.1393000000000004</v>
      </c>
      <c r="T499" s="19">
        <v>34354.5988</v>
      </c>
      <c r="U499" s="19">
        <v>30170.281900000002</v>
      </c>
      <c r="V499">
        <v>29.7</v>
      </c>
      <c r="W499" s="19">
        <v>71.904799999999994</v>
      </c>
      <c r="X499">
        <v>96</v>
      </c>
      <c r="Y499">
        <v>93</v>
      </c>
      <c r="Z499">
        <v>94</v>
      </c>
      <c r="AA499">
        <v>4</v>
      </c>
      <c r="AB499">
        <v>76</v>
      </c>
      <c r="AC499">
        <v>77.753699999999995</v>
      </c>
      <c r="AD499">
        <v>96.0364</v>
      </c>
      <c r="AE499">
        <v>2</v>
      </c>
      <c r="AF499">
        <v>88.1113</v>
      </c>
      <c r="AG499">
        <v>9.1</v>
      </c>
      <c r="AH499">
        <v>0.51</v>
      </c>
      <c r="AI499">
        <v>4.5999999999999996</v>
      </c>
      <c r="AJ499">
        <v>4.2</v>
      </c>
      <c r="AK499">
        <v>5.0999999999999996</v>
      </c>
      <c r="AL499">
        <v>62.531199999999998</v>
      </c>
      <c r="AM499">
        <v>2.8</v>
      </c>
      <c r="AN499">
        <v>-21535</v>
      </c>
      <c r="AO499">
        <v>0</v>
      </c>
      <c r="AP499">
        <v>93.289500000000004</v>
      </c>
      <c r="AQ499">
        <v>98.796599999999998</v>
      </c>
      <c r="AR499">
        <v>91.0381</v>
      </c>
      <c r="AU499">
        <v>22.263200000000001</v>
      </c>
      <c r="AV499" s="19">
        <v>64.285700000000006</v>
      </c>
      <c r="AW499">
        <v>0.3</v>
      </c>
      <c r="AY499">
        <v>4</v>
      </c>
      <c r="AZ499">
        <v>6</v>
      </c>
      <c r="BA499">
        <v>97.498900000000006</v>
      </c>
      <c r="BB499">
        <v>28.043500000000002</v>
      </c>
      <c r="BC499">
        <v>4.5308999999999999</v>
      </c>
      <c r="BD499" s="19">
        <v>5.1520000000000001</v>
      </c>
      <c r="BE499" s="19">
        <v>76.1905</v>
      </c>
      <c r="BF499">
        <v>14.448499999999999</v>
      </c>
      <c r="BG499">
        <v>11.1</v>
      </c>
      <c r="BH499" s="20">
        <v>1.0379</v>
      </c>
      <c r="BI499" s="20">
        <v>2994.8566999999998</v>
      </c>
      <c r="BJ499" s="19">
        <v>64.285700000000006</v>
      </c>
      <c r="BK499">
        <v>1.0005999999999999</v>
      </c>
      <c r="BL499">
        <v>0.98370000000000002</v>
      </c>
      <c r="BM499">
        <v>0.96750000000000003</v>
      </c>
      <c r="BN499">
        <v>6</v>
      </c>
      <c r="BO499">
        <v>10.585000000000001</v>
      </c>
      <c r="BP499">
        <v>13.25</v>
      </c>
      <c r="BQ499" s="19">
        <v>98.823300000000003</v>
      </c>
      <c r="BR499">
        <v>82.663600000000002</v>
      </c>
      <c r="BS499" s="20">
        <v>4.867</v>
      </c>
      <c r="BT499" s="20">
        <v>4.867</v>
      </c>
      <c r="BU499" s="20">
        <v>14.763</v>
      </c>
      <c r="BV499" s="20">
        <v>14.813000000000001</v>
      </c>
      <c r="BW499" s="19">
        <v>72.413799999999995</v>
      </c>
      <c r="BX499">
        <v>26.65</v>
      </c>
      <c r="BY499" s="6">
        <v>31989344</v>
      </c>
      <c r="BZ499" s="5">
        <v>83880915</v>
      </c>
      <c r="CA499" s="7">
        <f t="shared" si="35"/>
        <v>2.6221517702895065</v>
      </c>
      <c r="CB499">
        <v>37974826</v>
      </c>
      <c r="CC499" s="8">
        <f t="shared" si="36"/>
        <v>2.2088558088455756</v>
      </c>
      <c r="CD499" s="8">
        <f t="shared" si="37"/>
        <v>0.84238289860761972</v>
      </c>
      <c r="CE499">
        <v>311929</v>
      </c>
      <c r="CF499" s="8">
        <f t="shared" si="38"/>
        <v>102.55328616447974</v>
      </c>
      <c r="CG499" s="8">
        <f t="shared" si="39"/>
        <v>268.91028086519691</v>
      </c>
      <c r="CH499">
        <v>97.767570000000006</v>
      </c>
    </row>
    <row r="500" spans="1:86" ht="15.5" x14ac:dyDescent="0.35">
      <c r="A500" t="s">
        <v>106</v>
      </c>
      <c r="B500">
        <v>2018</v>
      </c>
      <c r="C500" s="2">
        <v>47.761299999999999</v>
      </c>
      <c r="D500">
        <v>378382.4</v>
      </c>
      <c r="E500">
        <v>0.23780000000000001</v>
      </c>
      <c r="F500">
        <v>8.6784999999999997</v>
      </c>
      <c r="G500">
        <v>381000</v>
      </c>
      <c r="H500">
        <v>10</v>
      </c>
      <c r="I500" s="19">
        <v>174.29900000000001</v>
      </c>
      <c r="J500" s="19">
        <v>170.93700000000001</v>
      </c>
      <c r="K500" s="19">
        <v>3.5790000000000002</v>
      </c>
      <c r="L500" s="19">
        <v>73.333299999999994</v>
      </c>
      <c r="M500" s="19">
        <v>-11680000000</v>
      </c>
      <c r="N500" s="19">
        <v>132.3647</v>
      </c>
      <c r="O500">
        <v>39.520000000000003</v>
      </c>
      <c r="P500">
        <v>20.531400000000001</v>
      </c>
      <c r="Q500" s="19">
        <v>15658.061</v>
      </c>
      <c r="R500" s="19">
        <v>14551.084999999999</v>
      </c>
      <c r="S500" s="19">
        <v>6.2461000000000002</v>
      </c>
      <c r="T500" s="19">
        <v>36500.411399999997</v>
      </c>
      <c r="U500" s="19">
        <v>32345.106599999999</v>
      </c>
      <c r="V500">
        <v>30.2</v>
      </c>
      <c r="W500" s="19">
        <v>71.904799999999994</v>
      </c>
      <c r="X500">
        <v>95</v>
      </c>
      <c r="Y500">
        <v>91</v>
      </c>
      <c r="Z500">
        <v>93</v>
      </c>
      <c r="AA500">
        <v>3.9</v>
      </c>
      <c r="AB500">
        <v>77.5</v>
      </c>
      <c r="AC500">
        <v>77.602400000000003</v>
      </c>
      <c r="AD500">
        <v>98.144900000000007</v>
      </c>
      <c r="AE500">
        <v>2</v>
      </c>
      <c r="AF500">
        <v>88.167400000000001</v>
      </c>
      <c r="AG500">
        <v>9.1999999999999993</v>
      </c>
      <c r="AH500">
        <v>0.79</v>
      </c>
      <c r="AI500">
        <v>4.5</v>
      </c>
      <c r="AJ500">
        <v>4.0999999999999996</v>
      </c>
      <c r="AK500">
        <v>4.9000000000000004</v>
      </c>
      <c r="AL500">
        <v>62.575499999999998</v>
      </c>
      <c r="AM500">
        <v>2.8</v>
      </c>
      <c r="AN500">
        <v>-223</v>
      </c>
      <c r="AO500">
        <v>0</v>
      </c>
      <c r="AP500">
        <v>92.5535</v>
      </c>
      <c r="AQ500">
        <v>98.955399999999997</v>
      </c>
      <c r="AR500">
        <v>90.690600000000003</v>
      </c>
      <c r="AU500">
        <v>22.409400000000002</v>
      </c>
      <c r="AV500" s="19">
        <v>62.735799999999998</v>
      </c>
      <c r="AW500">
        <v>0.2</v>
      </c>
      <c r="AY500">
        <v>4</v>
      </c>
      <c r="AZ500">
        <v>6</v>
      </c>
      <c r="BA500">
        <v>97.699399999999997</v>
      </c>
      <c r="BB500">
        <v>28.043500000000002</v>
      </c>
      <c r="BC500">
        <v>4.4875999999999996</v>
      </c>
      <c r="BD500" s="19">
        <v>6.2460000000000004</v>
      </c>
      <c r="BE500" s="19">
        <v>78.571399999999997</v>
      </c>
      <c r="BF500">
        <v>12.978300000000001</v>
      </c>
      <c r="BG500">
        <v>15.1</v>
      </c>
      <c r="BH500" s="20">
        <v>1.2060999999999999</v>
      </c>
      <c r="BI500" s="20">
        <v>3079.4924000000001</v>
      </c>
      <c r="BJ500" s="19">
        <v>64.285700000000006</v>
      </c>
      <c r="BK500">
        <v>0.98860000000000003</v>
      </c>
      <c r="BL500">
        <v>0.98019999999999996</v>
      </c>
      <c r="BM500">
        <v>0.97170000000000001</v>
      </c>
      <c r="BN500">
        <v>6</v>
      </c>
      <c r="BO500">
        <v>9.9740000000000002</v>
      </c>
      <c r="BP500">
        <v>13.47</v>
      </c>
      <c r="BQ500" s="19">
        <v>98.09</v>
      </c>
      <c r="BR500">
        <v>86.375200000000007</v>
      </c>
      <c r="BS500" s="20">
        <v>3.835</v>
      </c>
      <c r="BT500" s="20">
        <v>3.835</v>
      </c>
      <c r="BU500" s="20">
        <v>11.682</v>
      </c>
      <c r="BV500" s="20">
        <v>11.727</v>
      </c>
      <c r="BW500" s="19">
        <v>70.873800000000003</v>
      </c>
      <c r="BX500">
        <v>23.31</v>
      </c>
      <c r="BY500" s="6">
        <v>33895930</v>
      </c>
      <c r="BZ500" s="5">
        <v>88860463</v>
      </c>
      <c r="CA500" s="7">
        <f t="shared" si="35"/>
        <v>2.6215673386155802</v>
      </c>
      <c r="CB500">
        <v>37974750</v>
      </c>
      <c r="CC500" s="8">
        <f t="shared" si="36"/>
        <v>2.3399880973541629</v>
      </c>
      <c r="CD500" s="8">
        <f t="shared" si="37"/>
        <v>0.89259126129862609</v>
      </c>
      <c r="CE500">
        <v>311929</v>
      </c>
      <c r="CF500" s="8">
        <f t="shared" si="38"/>
        <v>108.66552965578705</v>
      </c>
      <c r="CG500" s="8">
        <f t="shared" si="39"/>
        <v>284.87400337897407</v>
      </c>
      <c r="CH500">
        <v>97.201459999999997</v>
      </c>
    </row>
    <row r="501" spans="1:86" ht="15.5" x14ac:dyDescent="0.35">
      <c r="A501" t="s">
        <v>106</v>
      </c>
      <c r="B501">
        <v>2019</v>
      </c>
      <c r="C501" s="2">
        <v>49.210799999999999</v>
      </c>
      <c r="D501">
        <v>375311.1</v>
      </c>
      <c r="E501">
        <v>0.21529999999999999</v>
      </c>
      <c r="F501">
        <v>8.2202000000000002</v>
      </c>
      <c r="G501">
        <v>381000</v>
      </c>
      <c r="H501">
        <v>10</v>
      </c>
      <c r="I501" s="19">
        <v>178.251</v>
      </c>
      <c r="J501" s="19">
        <v>176.749</v>
      </c>
      <c r="K501" s="19">
        <v>3.831</v>
      </c>
      <c r="L501" s="19">
        <v>71.428600000000003</v>
      </c>
      <c r="M501" s="19">
        <v>-1664000000</v>
      </c>
      <c r="N501" s="19">
        <v>133.8843</v>
      </c>
      <c r="O501">
        <v>41.151000000000003</v>
      </c>
      <c r="P501">
        <v>20.504300000000001</v>
      </c>
      <c r="Q501" s="19">
        <v>15869.041999999999</v>
      </c>
      <c r="R501" s="19">
        <v>15221.3091</v>
      </c>
      <c r="S501" s="19">
        <v>4.6059999999999999</v>
      </c>
      <c r="T501" s="19">
        <v>38181.623</v>
      </c>
      <c r="U501" s="19">
        <v>35882.3655</v>
      </c>
      <c r="V501">
        <v>28.8</v>
      </c>
      <c r="W501" s="19">
        <v>70.476200000000006</v>
      </c>
      <c r="X501">
        <v>95</v>
      </c>
      <c r="Y501">
        <v>90</v>
      </c>
      <c r="Z501">
        <v>93</v>
      </c>
      <c r="AA501">
        <v>3.8</v>
      </c>
      <c r="AB501">
        <v>80.400000000000006</v>
      </c>
      <c r="AC501">
        <v>77.904899999999998</v>
      </c>
      <c r="AD501">
        <v>100.97790000000001</v>
      </c>
      <c r="AE501">
        <v>2</v>
      </c>
      <c r="AF501">
        <v>88.167400000000001</v>
      </c>
      <c r="AG501">
        <v>9.4</v>
      </c>
      <c r="AH501">
        <v>1.17</v>
      </c>
      <c r="AI501">
        <v>4.4000000000000004</v>
      </c>
      <c r="AJ501">
        <v>4</v>
      </c>
      <c r="AK501">
        <v>4.8</v>
      </c>
      <c r="AL501">
        <v>61.979900000000001</v>
      </c>
      <c r="AM501">
        <v>2.7</v>
      </c>
      <c r="AN501">
        <v>7696</v>
      </c>
      <c r="AO501">
        <v>0</v>
      </c>
      <c r="AP501">
        <v>91.819699999999997</v>
      </c>
      <c r="AQ501">
        <v>98.957499999999996</v>
      </c>
      <c r="AR501">
        <v>90.335999999999999</v>
      </c>
      <c r="AU501">
        <v>18.770199999999999</v>
      </c>
      <c r="AV501" s="19">
        <v>65.566000000000003</v>
      </c>
      <c r="AW501">
        <v>0.1</v>
      </c>
      <c r="AY501">
        <v>4</v>
      </c>
      <c r="AZ501">
        <v>6</v>
      </c>
      <c r="BA501">
        <v>97.747799999999998</v>
      </c>
      <c r="BB501">
        <v>28.695699999999999</v>
      </c>
      <c r="BC501">
        <v>4.6115000000000004</v>
      </c>
      <c r="BD501" s="19">
        <v>4.5810000000000004</v>
      </c>
      <c r="BE501" s="19">
        <v>80.476200000000006</v>
      </c>
      <c r="BF501">
        <v>15.976100000000001</v>
      </c>
      <c r="BG501">
        <v>15.6</v>
      </c>
      <c r="BH501" s="20">
        <v>1.3232999999999999</v>
      </c>
      <c r="BI501" s="20">
        <v>3159.0659000000001</v>
      </c>
      <c r="BJ501" s="19">
        <v>63.333300000000001</v>
      </c>
      <c r="BK501">
        <v>0.98699999999999999</v>
      </c>
      <c r="BL501">
        <v>0.97929999999999995</v>
      </c>
      <c r="BM501">
        <v>0.97109999999999996</v>
      </c>
      <c r="BN501">
        <v>6</v>
      </c>
      <c r="BO501">
        <v>9.5730000000000004</v>
      </c>
      <c r="BP501">
        <v>13.7</v>
      </c>
      <c r="BQ501" s="19">
        <v>98.664199999999994</v>
      </c>
      <c r="BR501">
        <v>87.742900000000006</v>
      </c>
      <c r="BS501" s="20">
        <v>3.2669999999999999</v>
      </c>
      <c r="BT501" s="20">
        <v>3.2669999999999999</v>
      </c>
      <c r="BU501" s="20">
        <v>9.8320000000000007</v>
      </c>
      <c r="BV501" s="20">
        <v>9.8699999999999992</v>
      </c>
      <c r="BW501" s="19">
        <v>69.565200000000004</v>
      </c>
      <c r="BX501">
        <v>21.17</v>
      </c>
      <c r="BY501" s="6">
        <v>35668091</v>
      </c>
      <c r="BZ501" s="5">
        <v>93342738</v>
      </c>
      <c r="CA501" s="7">
        <f t="shared" si="35"/>
        <v>2.6169816040897733</v>
      </c>
      <c r="CB501">
        <v>37965475</v>
      </c>
      <c r="CC501" s="8">
        <f t="shared" si="36"/>
        <v>2.458621629256581</v>
      </c>
      <c r="CD501" s="8">
        <f t="shared" si="37"/>
        <v>0.93948754756788899</v>
      </c>
      <c r="CE501">
        <v>311929</v>
      </c>
      <c r="CF501" s="8">
        <f t="shared" si="38"/>
        <v>114.3468257199555</v>
      </c>
      <c r="CG501" s="8">
        <f t="shared" si="39"/>
        <v>299.24353939518289</v>
      </c>
      <c r="CH501">
        <v>97.149469999999994</v>
      </c>
    </row>
    <row r="502" spans="1:86" ht="15.5" x14ac:dyDescent="0.35">
      <c r="A502" t="s">
        <v>106</v>
      </c>
      <c r="B502">
        <v>2020</v>
      </c>
      <c r="C502" s="2">
        <v>50.5227</v>
      </c>
      <c r="D502">
        <v>374164.1</v>
      </c>
      <c r="E502">
        <v>0.20910000000000001</v>
      </c>
      <c r="F502">
        <v>7.8334999999999999</v>
      </c>
      <c r="G502">
        <v>381000</v>
      </c>
      <c r="H502">
        <v>9</v>
      </c>
      <c r="I502" s="19">
        <v>184.375</v>
      </c>
      <c r="J502" s="19">
        <v>180.99100000000001</v>
      </c>
      <c r="K502" s="19">
        <v>2.9140000000000001</v>
      </c>
      <c r="L502" s="19">
        <v>72.381</v>
      </c>
      <c r="M502" s="19">
        <v>14648000000</v>
      </c>
      <c r="N502" s="19">
        <v>137.51990000000001</v>
      </c>
      <c r="O502">
        <v>41.404000000000003</v>
      </c>
      <c r="P502">
        <v>21.925599999999999</v>
      </c>
      <c r="Q502" s="19">
        <v>15963.102000000001</v>
      </c>
      <c r="R502" s="19">
        <v>14937.596</v>
      </c>
      <c r="S502" s="19">
        <v>-1.8638999999999999</v>
      </c>
      <c r="T502" s="19">
        <v>37469.948100000001</v>
      </c>
      <c r="U502" s="19">
        <v>36714.168700000002</v>
      </c>
      <c r="V502">
        <v>28.5</v>
      </c>
      <c r="W502" s="19">
        <v>64.285700000000006</v>
      </c>
      <c r="X502">
        <v>94</v>
      </c>
      <c r="Y502">
        <v>90</v>
      </c>
      <c r="Z502">
        <v>92</v>
      </c>
      <c r="AA502">
        <v>3.8</v>
      </c>
      <c r="AB502">
        <v>83.2</v>
      </c>
      <c r="AC502">
        <v>76.400000000000006</v>
      </c>
      <c r="AE502">
        <v>3</v>
      </c>
      <c r="AF502">
        <v>88.167400000000001</v>
      </c>
      <c r="AH502">
        <v>1.54</v>
      </c>
      <c r="AI502">
        <v>4.4000000000000004</v>
      </c>
      <c r="AJ502">
        <v>4</v>
      </c>
      <c r="AK502">
        <v>4.8</v>
      </c>
      <c r="AL502">
        <v>62.032299999999999</v>
      </c>
      <c r="AM502">
        <v>2.7</v>
      </c>
      <c r="AN502">
        <v>3920</v>
      </c>
      <c r="AO502">
        <v>0</v>
      </c>
      <c r="AP502">
        <v>91.088800000000006</v>
      </c>
      <c r="AQ502">
        <v>98.957499999999996</v>
      </c>
      <c r="AR502">
        <v>89.619200000000006</v>
      </c>
      <c r="AU502">
        <v>17.958300000000001</v>
      </c>
      <c r="AV502" s="19">
        <v>62.264200000000002</v>
      </c>
      <c r="AW502">
        <v>0.1</v>
      </c>
      <c r="AX502">
        <v>11.8</v>
      </c>
      <c r="AY502">
        <v>4</v>
      </c>
      <c r="AZ502">
        <v>4</v>
      </c>
      <c r="BA502">
        <v>97.803200000000004</v>
      </c>
      <c r="BB502">
        <v>28.695699999999999</v>
      </c>
      <c r="BC502">
        <v>4.6707999999999998</v>
      </c>
      <c r="BD502" s="19">
        <v>-2.036</v>
      </c>
      <c r="BE502" s="19">
        <v>76.1905</v>
      </c>
      <c r="BF502">
        <v>18.3995</v>
      </c>
      <c r="BG502">
        <v>16.100000000000001</v>
      </c>
      <c r="BH502" s="20">
        <v>1.3861000000000001</v>
      </c>
      <c r="BI502" s="20">
        <v>3260.1550000000002</v>
      </c>
      <c r="BJ502" s="19">
        <v>67.619</v>
      </c>
      <c r="BK502">
        <v>0.9637</v>
      </c>
      <c r="BL502">
        <v>0.98050000000000004</v>
      </c>
      <c r="BM502">
        <v>0.98640000000000005</v>
      </c>
      <c r="BN502">
        <v>8</v>
      </c>
      <c r="BO502">
        <v>10.135999999999999</v>
      </c>
      <c r="BP502">
        <v>13.88</v>
      </c>
      <c r="BQ502" s="19">
        <v>100.8456</v>
      </c>
      <c r="BR502">
        <v>87.742900000000006</v>
      </c>
      <c r="BS502" s="20">
        <v>3.1549999999999998</v>
      </c>
      <c r="BT502" s="20">
        <v>3.1549999999999998</v>
      </c>
      <c r="BU502" s="20">
        <v>10.831</v>
      </c>
      <c r="BV502" s="20">
        <v>10.871</v>
      </c>
      <c r="BW502" s="19">
        <v>66.183599999999998</v>
      </c>
      <c r="BX502">
        <v>19.399999999999999</v>
      </c>
      <c r="BY502" s="6">
        <v>17878969</v>
      </c>
      <c r="BZ502" s="5">
        <v>51377168</v>
      </c>
      <c r="CA502" s="7">
        <f t="shared" si="35"/>
        <v>2.8736090990481609</v>
      </c>
      <c r="CB502">
        <v>37899070</v>
      </c>
      <c r="CC502" s="8">
        <f t="shared" si="36"/>
        <v>1.3556313650968217</v>
      </c>
      <c r="CD502" s="8">
        <f t="shared" si="37"/>
        <v>0.47175218283720416</v>
      </c>
      <c r="CE502">
        <v>311929</v>
      </c>
      <c r="CF502" s="8">
        <f t="shared" si="38"/>
        <v>57.317431210307475</v>
      </c>
      <c r="CG502" s="8">
        <f t="shared" si="39"/>
        <v>164.70789186000661</v>
      </c>
      <c r="CH502">
        <v>97.083250000000007</v>
      </c>
    </row>
    <row r="503" spans="1:86" ht="15.5" x14ac:dyDescent="0.35">
      <c r="A503" t="s">
        <v>106</v>
      </c>
      <c r="B503">
        <v>2021</v>
      </c>
      <c r="C503" s="2">
        <v>51.509</v>
      </c>
      <c r="D503">
        <v>372943.7</v>
      </c>
      <c r="E503">
        <v>0.21329999999999999</v>
      </c>
      <c r="F503">
        <v>8.7570999999999994</v>
      </c>
      <c r="G503">
        <v>381000</v>
      </c>
      <c r="H503">
        <v>9</v>
      </c>
      <c r="I503" s="19">
        <v>193.83199999999999</v>
      </c>
      <c r="J503" s="19">
        <v>196.55600000000001</v>
      </c>
      <c r="K503" s="19">
        <v>6.2510000000000003</v>
      </c>
      <c r="L503" s="19">
        <v>68.095200000000006</v>
      </c>
      <c r="M503" s="19">
        <v>-8943000000</v>
      </c>
      <c r="N503" s="19">
        <v>169.6977</v>
      </c>
      <c r="O503">
        <v>39.613</v>
      </c>
      <c r="P503">
        <v>22.816600000000001</v>
      </c>
      <c r="Q503" s="19">
        <v>18591.612000000001</v>
      </c>
      <c r="R503" s="19">
        <v>16368.624</v>
      </c>
      <c r="S503" s="19">
        <v>9.58</v>
      </c>
      <c r="T503" s="19">
        <v>41059.584799999997</v>
      </c>
      <c r="U503" s="19">
        <v>41059.584799999997</v>
      </c>
      <c r="V503">
        <v>28.5</v>
      </c>
      <c r="W503" s="19">
        <v>61.428600000000003</v>
      </c>
      <c r="X503">
        <v>94</v>
      </c>
      <c r="Y503">
        <v>89</v>
      </c>
      <c r="Z503">
        <v>91</v>
      </c>
      <c r="AA503">
        <v>3.8</v>
      </c>
      <c r="AB503">
        <v>85.4</v>
      </c>
      <c r="AC503">
        <v>75.351200000000006</v>
      </c>
      <c r="AE503">
        <v>2</v>
      </c>
      <c r="AH503">
        <v>1.22</v>
      </c>
      <c r="AI503">
        <v>4.4000000000000004</v>
      </c>
      <c r="AJ503">
        <v>3.9</v>
      </c>
      <c r="AK503">
        <v>4.8</v>
      </c>
      <c r="AL503">
        <v>61.6676</v>
      </c>
      <c r="AM503">
        <v>2.7</v>
      </c>
      <c r="AN503">
        <v>2251</v>
      </c>
      <c r="AO503">
        <v>0</v>
      </c>
      <c r="AP503">
        <v>90.361599999999996</v>
      </c>
      <c r="AQ503">
        <v>98.957400000000007</v>
      </c>
      <c r="AR503">
        <v>88.906199999999998</v>
      </c>
      <c r="AV503" s="19">
        <v>61.320799999999998</v>
      </c>
      <c r="AW503">
        <v>0.1</v>
      </c>
      <c r="AX503">
        <v>12.2</v>
      </c>
      <c r="AY503">
        <v>4</v>
      </c>
      <c r="AZ503">
        <v>4</v>
      </c>
      <c r="BA503">
        <v>97.86</v>
      </c>
      <c r="BB503">
        <v>28.322399999999998</v>
      </c>
      <c r="BC503">
        <v>4.6424000000000003</v>
      </c>
      <c r="BD503" s="19">
        <v>6.9269999999999996</v>
      </c>
      <c r="BE503" s="19">
        <v>75.714299999999994</v>
      </c>
      <c r="BF503">
        <v>17.46</v>
      </c>
      <c r="BG503">
        <v>15.2</v>
      </c>
      <c r="BH503" s="20">
        <v>1.4318</v>
      </c>
      <c r="BI503" s="20">
        <v>3558.2046</v>
      </c>
      <c r="BJ503" s="19">
        <v>64.285700000000006</v>
      </c>
      <c r="BN503">
        <v>8</v>
      </c>
      <c r="BO503">
        <v>12.445</v>
      </c>
      <c r="BP503">
        <v>13.67</v>
      </c>
      <c r="BQ503" s="19">
        <v>98.468999999999994</v>
      </c>
      <c r="BS503" s="20">
        <v>3.2679999999999998</v>
      </c>
      <c r="BT503" s="20">
        <v>3.2679999999999998</v>
      </c>
      <c r="BU503" s="20">
        <v>11.808</v>
      </c>
      <c r="BV503" s="20">
        <v>11.849</v>
      </c>
      <c r="BW503" s="19">
        <v>63.768099999999997</v>
      </c>
      <c r="BX503">
        <v>21.71</v>
      </c>
      <c r="BY503" s="6">
        <v>22198972</v>
      </c>
      <c r="BZ503" s="5">
        <v>62837520</v>
      </c>
      <c r="CA503" s="7">
        <f t="shared" si="35"/>
        <v>2.8306499958646736</v>
      </c>
      <c r="CB503">
        <v>36981559</v>
      </c>
      <c r="CC503" s="8">
        <f t="shared" si="36"/>
        <v>1.6991582209933334</v>
      </c>
      <c r="CD503" s="8">
        <f t="shared" si="37"/>
        <v>0.60027139472405688</v>
      </c>
      <c r="CE503">
        <v>311929</v>
      </c>
      <c r="CF503" s="8">
        <f t="shared" si="38"/>
        <v>71.16674627880063</v>
      </c>
      <c r="CG503" s="8">
        <f t="shared" si="39"/>
        <v>201.44815005978924</v>
      </c>
      <c r="CH503">
        <v>96.442400000000006</v>
      </c>
    </row>
    <row r="504" spans="1:86" ht="15.5" x14ac:dyDescent="0.35">
      <c r="A504" t="s">
        <v>106</v>
      </c>
      <c r="B504">
        <v>2022</v>
      </c>
      <c r="C504" s="2">
        <v>52.306600000000003</v>
      </c>
      <c r="E504">
        <v>0.19850000000000001</v>
      </c>
      <c r="F504">
        <v>8.6170000000000009</v>
      </c>
      <c r="H504">
        <v>9</v>
      </c>
      <c r="I504" s="19">
        <v>221.37899999999999</v>
      </c>
      <c r="J504" s="19">
        <v>229.184</v>
      </c>
      <c r="K504" s="19">
        <v>8.7970000000000006</v>
      </c>
      <c r="L504" s="19">
        <v>68.396199999999993</v>
      </c>
      <c r="M504" s="19">
        <v>-15915000000</v>
      </c>
      <c r="N504" s="19"/>
      <c r="O504">
        <v>39.765999999999998</v>
      </c>
      <c r="P504">
        <v>23.837299999999999</v>
      </c>
      <c r="Q504" s="19">
        <v>18859.803</v>
      </c>
      <c r="R504" s="19">
        <v>17303.644899999999</v>
      </c>
      <c r="S504" s="19">
        <v>5.7122999999999999</v>
      </c>
      <c r="T504" s="19">
        <v>43405.0216</v>
      </c>
      <c r="U504" s="19">
        <v>46077.385600000001</v>
      </c>
      <c r="W504" s="19">
        <v>61.792499999999997</v>
      </c>
      <c r="X504">
        <v>94</v>
      </c>
      <c r="Y504">
        <v>90</v>
      </c>
      <c r="Z504">
        <v>91</v>
      </c>
      <c r="AA504">
        <v>3.7</v>
      </c>
      <c r="AB504">
        <v>86.9</v>
      </c>
      <c r="AC504">
        <v>77.156099999999995</v>
      </c>
      <c r="AD504">
        <v>132.6671</v>
      </c>
      <c r="AE504">
        <v>2</v>
      </c>
      <c r="AI504">
        <v>4.4000000000000004</v>
      </c>
      <c r="AJ504">
        <v>3.9</v>
      </c>
      <c r="AK504">
        <v>4.8</v>
      </c>
      <c r="AL504">
        <v>61.594799999999999</v>
      </c>
      <c r="AM504">
        <v>2.5</v>
      </c>
      <c r="AN504">
        <v>967744</v>
      </c>
      <c r="AO504">
        <v>0</v>
      </c>
      <c r="AP504">
        <v>90.369600000000005</v>
      </c>
      <c r="AQ504">
        <v>98.957099999999997</v>
      </c>
      <c r="AR504">
        <v>88.914500000000004</v>
      </c>
      <c r="AV504" s="19">
        <v>61.792499999999997</v>
      </c>
      <c r="AX504">
        <v>11.8</v>
      </c>
      <c r="AY504">
        <v>4</v>
      </c>
      <c r="AZ504">
        <v>4</v>
      </c>
      <c r="BA504">
        <v>97.918000000000006</v>
      </c>
      <c r="BB504">
        <v>28.260899999999999</v>
      </c>
      <c r="BC504">
        <v>4.6840999999999999</v>
      </c>
      <c r="BD504" s="19">
        <v>5.2549999999999999</v>
      </c>
      <c r="BE504" s="19">
        <v>74.528300000000002</v>
      </c>
      <c r="BH504" s="20">
        <v>1.4538</v>
      </c>
      <c r="BI504" s="20">
        <v>3721.0720000000001</v>
      </c>
      <c r="BJ504" s="19">
        <v>64.150899999999993</v>
      </c>
      <c r="BN504">
        <v>8</v>
      </c>
      <c r="BO504">
        <v>10.5</v>
      </c>
      <c r="BQ504" s="19"/>
      <c r="BS504" s="20">
        <v>2.8109999999999999</v>
      </c>
      <c r="BT504" s="20">
        <v>2.8109999999999999</v>
      </c>
      <c r="BU504" s="20">
        <v>10.55</v>
      </c>
      <c r="BV504" s="20">
        <v>10.584</v>
      </c>
      <c r="BW504" s="19">
        <v>65.700500000000005</v>
      </c>
      <c r="BX504">
        <v>22.04</v>
      </c>
      <c r="BY504" s="6">
        <v>34249004</v>
      </c>
      <c r="BZ504" s="5">
        <v>89953799</v>
      </c>
      <c r="CA504" s="7">
        <f t="shared" si="35"/>
        <v>2.6264646703302672</v>
      </c>
      <c r="CB504">
        <v>36821749</v>
      </c>
      <c r="CC504" s="8">
        <f t="shared" si="36"/>
        <v>2.4429529135077206</v>
      </c>
      <c r="CD504" s="8">
        <f t="shared" si="37"/>
        <v>0.93012974478751675</v>
      </c>
      <c r="CE504">
        <v>311929</v>
      </c>
      <c r="CF504" s="8">
        <f t="shared" si="38"/>
        <v>109.79743467263384</v>
      </c>
      <c r="CG504" s="8">
        <f t="shared" si="39"/>
        <v>288.37908306056829</v>
      </c>
      <c r="CH504">
        <v>97.345389999999995</v>
      </c>
    </row>
    <row r="505" spans="1:86" ht="15.5" x14ac:dyDescent="0.35">
      <c r="A505" t="s">
        <v>106</v>
      </c>
      <c r="B505">
        <v>2023</v>
      </c>
      <c r="C505" s="26">
        <v>53.040199999999999</v>
      </c>
      <c r="E505">
        <v>0.17929999999999999</v>
      </c>
      <c r="F505">
        <v>7.8202999999999996</v>
      </c>
      <c r="H505">
        <v>9</v>
      </c>
      <c r="I505" s="19">
        <v>246.77500000000001</v>
      </c>
      <c r="J505" s="19">
        <v>243.39400000000001</v>
      </c>
      <c r="K505" s="19">
        <v>6.0270000000000001</v>
      </c>
      <c r="L505" s="19">
        <v>68.867900000000006</v>
      </c>
      <c r="M505" s="19">
        <v>14416000000</v>
      </c>
      <c r="N505" s="19"/>
      <c r="O505">
        <v>41.764000000000003</v>
      </c>
      <c r="P505">
        <v>26.114000000000001</v>
      </c>
      <c r="Q505" s="19">
        <v>22030.582999999999</v>
      </c>
      <c r="R505" s="19">
        <v>17391.144100000001</v>
      </c>
      <c r="S505" s="19">
        <v>0.50570000000000004</v>
      </c>
      <c r="T505" s="19">
        <v>43624.507400000002</v>
      </c>
      <c r="U505" s="19">
        <v>46570.470300000001</v>
      </c>
      <c r="W505" s="19">
        <v>66.509399999999999</v>
      </c>
      <c r="X505">
        <v>94</v>
      </c>
      <c r="Y505">
        <v>90</v>
      </c>
      <c r="Z505">
        <v>91</v>
      </c>
      <c r="AA505">
        <v>3.7</v>
      </c>
      <c r="AB505">
        <v>86.4</v>
      </c>
      <c r="AC505">
        <v>78.507300000000001</v>
      </c>
      <c r="AE505">
        <v>2</v>
      </c>
      <c r="AI505">
        <v>4.4000000000000004</v>
      </c>
      <c r="AJ505">
        <v>3.9</v>
      </c>
      <c r="AK505">
        <v>4.8</v>
      </c>
      <c r="AL505" s="24">
        <v>61.594799999999999</v>
      </c>
      <c r="AM505">
        <v>2.4</v>
      </c>
      <c r="AN505">
        <v>-7824</v>
      </c>
      <c r="AV505" s="19">
        <v>63.981000000000002</v>
      </c>
      <c r="AY505" s="25">
        <v>4</v>
      </c>
      <c r="AZ505">
        <v>4</v>
      </c>
      <c r="BB505">
        <v>29.347799999999999</v>
      </c>
      <c r="BD505" s="19">
        <v>0.13900000000000001</v>
      </c>
      <c r="BE505" s="19">
        <v>76.415099999999995</v>
      </c>
      <c r="BH505" s="20"/>
      <c r="BI505" s="20"/>
      <c r="BJ505" s="19">
        <v>65.094300000000004</v>
      </c>
      <c r="BN505">
        <v>8</v>
      </c>
      <c r="BO505">
        <v>10.236000000000001</v>
      </c>
      <c r="BQ505" s="19"/>
      <c r="BS505" s="20">
        <v>2.7429999999999999</v>
      </c>
      <c r="BT505" s="20">
        <v>2.7429999999999999</v>
      </c>
      <c r="BU505" s="20">
        <v>11.151999999999999</v>
      </c>
      <c r="BV505" s="20">
        <v>11.196999999999999</v>
      </c>
      <c r="BW505" s="19">
        <v>67.647099999999995</v>
      </c>
      <c r="BX505">
        <v>20.83</v>
      </c>
      <c r="BY505" s="6">
        <v>36239201</v>
      </c>
      <c r="BZ505" s="5">
        <v>92797861</v>
      </c>
      <c r="CA505" s="7">
        <f t="shared" si="35"/>
        <v>2.5607038356060885</v>
      </c>
      <c r="CB505">
        <v>36687353</v>
      </c>
      <c r="CC505" s="8">
        <f t="shared" si="36"/>
        <v>2.5294237226654102</v>
      </c>
      <c r="CD505" s="8">
        <f t="shared" si="37"/>
        <v>0.98778456434292217</v>
      </c>
      <c r="CE505">
        <v>311929</v>
      </c>
      <c r="CF505" s="8">
        <f t="shared" si="38"/>
        <v>116.17772313571358</v>
      </c>
      <c r="CG505" s="8">
        <f t="shared" si="39"/>
        <v>297.49674124560397</v>
      </c>
      <c r="CH505">
        <v>105.00568</v>
      </c>
    </row>
    <row r="506" spans="1:86" ht="15.5" x14ac:dyDescent="0.35">
      <c r="A506" t="s">
        <v>107</v>
      </c>
      <c r="B506">
        <v>2000</v>
      </c>
      <c r="C506" s="2">
        <v>48.187100000000001</v>
      </c>
      <c r="D506">
        <v>110727.6</v>
      </c>
      <c r="E506">
        <v>0.17849999999999999</v>
      </c>
      <c r="F506">
        <v>6.2596999999999996</v>
      </c>
      <c r="G506">
        <v>82500</v>
      </c>
      <c r="H506">
        <v>9</v>
      </c>
      <c r="I506" s="19">
        <v>73.180999999999997</v>
      </c>
      <c r="J506" s="19">
        <v>74.66</v>
      </c>
      <c r="K506" s="19">
        <v>4.9669999999999996</v>
      </c>
      <c r="L506" s="19">
        <v>84.5745</v>
      </c>
      <c r="M506" s="19">
        <v>-12810000000</v>
      </c>
      <c r="N506" s="19">
        <v>44.150300000000001</v>
      </c>
      <c r="O506">
        <v>21.887</v>
      </c>
      <c r="P506">
        <v>0.24460000000000001</v>
      </c>
      <c r="Q506" s="19">
        <v>11531.467000000001</v>
      </c>
      <c r="R506" s="19">
        <v>18822.0933</v>
      </c>
      <c r="S506" s="19">
        <v>3.0891000000000002</v>
      </c>
      <c r="T506" s="19">
        <v>35069.827499999999</v>
      </c>
      <c r="U506" s="19">
        <v>18879.058199999999</v>
      </c>
      <c r="W506" s="19">
        <v>80.874300000000005</v>
      </c>
      <c r="X506">
        <v>96</v>
      </c>
      <c r="Y506">
        <v>58</v>
      </c>
      <c r="Z506">
        <v>87</v>
      </c>
      <c r="AA506">
        <v>5.5</v>
      </c>
      <c r="AB506">
        <v>16.399999999999999</v>
      </c>
      <c r="AC506">
        <v>76.314599999999999</v>
      </c>
      <c r="AE506">
        <v>9</v>
      </c>
      <c r="AF506">
        <v>90.883700000000005</v>
      </c>
      <c r="AG506">
        <v>19.399999999999999</v>
      </c>
      <c r="AH506">
        <v>0.32</v>
      </c>
      <c r="AI506">
        <v>7.2</v>
      </c>
      <c r="AJ506">
        <v>6.4</v>
      </c>
      <c r="AK506">
        <v>7.9</v>
      </c>
      <c r="AL506">
        <v>54.960700000000003</v>
      </c>
      <c r="AM506">
        <v>3.4</v>
      </c>
      <c r="AN506">
        <v>60586</v>
      </c>
      <c r="AO506">
        <v>0</v>
      </c>
      <c r="AP506">
        <v>99.229699999999994</v>
      </c>
      <c r="AQ506">
        <v>97.535899999999998</v>
      </c>
      <c r="AR506">
        <v>93.658900000000003</v>
      </c>
      <c r="AS506">
        <v>51.067999999999998</v>
      </c>
      <c r="AT506">
        <v>55.756399999999999</v>
      </c>
      <c r="AU506">
        <v>13.9603</v>
      </c>
      <c r="AV506" s="19">
        <v>94.709000000000003</v>
      </c>
      <c r="AZ506">
        <v>6</v>
      </c>
      <c r="BA506">
        <v>53.618400000000001</v>
      </c>
      <c r="BB506">
        <v>17.391300000000001</v>
      </c>
      <c r="BC506">
        <v>5.9981999999999998</v>
      </c>
      <c r="BD506" s="19">
        <v>3.8159999999999998</v>
      </c>
      <c r="BE506" s="19">
        <v>78.804299999999998</v>
      </c>
      <c r="BF506">
        <v>30.2989</v>
      </c>
      <c r="BG506">
        <v>20.100000000000001</v>
      </c>
      <c r="BH506" s="20">
        <v>0.72160000000000002</v>
      </c>
      <c r="BI506" s="20">
        <v>1633.8157000000001</v>
      </c>
      <c r="BJ506" s="19">
        <v>85.074600000000004</v>
      </c>
      <c r="BK506">
        <v>0.95699999999999996</v>
      </c>
      <c r="BL506">
        <v>1.0108999999999999</v>
      </c>
      <c r="BM506">
        <v>1.0667</v>
      </c>
      <c r="BN506">
        <v>6</v>
      </c>
      <c r="BO506">
        <v>8.6199999999999992</v>
      </c>
      <c r="BP506">
        <v>7.5</v>
      </c>
      <c r="BQ506" s="19">
        <v>104.1497</v>
      </c>
      <c r="BR506">
        <v>89.085999999999999</v>
      </c>
      <c r="BS506" s="20">
        <v>3.806</v>
      </c>
      <c r="BT506" s="20">
        <v>3.806</v>
      </c>
      <c r="BU506" s="20">
        <v>8.2449999999999992</v>
      </c>
      <c r="BV506" s="20">
        <v>8.2539999999999996</v>
      </c>
      <c r="BW506" s="19">
        <v>92.0398</v>
      </c>
      <c r="BX506">
        <v>32.799999999999997</v>
      </c>
      <c r="BY506" s="5">
        <v>11098727</v>
      </c>
      <c r="BZ506" s="6">
        <v>41955769</v>
      </c>
      <c r="CA506" s="7">
        <f t="shared" si="35"/>
        <v>3.7802325437863278</v>
      </c>
      <c r="CB506">
        <v>10289898</v>
      </c>
      <c r="CC506" s="8">
        <f t="shared" si="36"/>
        <v>4.0773746250934657</v>
      </c>
      <c r="CD506" s="8">
        <f t="shared" si="37"/>
        <v>1.0786041805273483</v>
      </c>
      <c r="CE506">
        <v>89103</v>
      </c>
      <c r="CF506" s="8">
        <f t="shared" si="38"/>
        <v>124.56064330045004</v>
      </c>
      <c r="CG506" s="8">
        <f t="shared" si="39"/>
        <v>470.86819747932168</v>
      </c>
      <c r="CH506">
        <v>96.877279999999999</v>
      </c>
    </row>
    <row r="507" spans="1:86" ht="15.5" x14ac:dyDescent="0.35">
      <c r="A507" t="s">
        <v>107</v>
      </c>
      <c r="B507">
        <v>2001</v>
      </c>
      <c r="C507" s="2">
        <v>48.379300000000001</v>
      </c>
      <c r="D507">
        <v>107731.3</v>
      </c>
      <c r="E507">
        <v>0.1731</v>
      </c>
      <c r="F507">
        <v>6.1433999999999997</v>
      </c>
      <c r="G507">
        <v>81900</v>
      </c>
      <c r="H507">
        <v>9</v>
      </c>
      <c r="I507" s="19">
        <v>76.408000000000001</v>
      </c>
      <c r="J507" s="19">
        <v>77.58</v>
      </c>
      <c r="K507" s="19">
        <v>3.9790000000000001</v>
      </c>
      <c r="L507" s="19"/>
      <c r="M507" s="19">
        <v>-12707000000</v>
      </c>
      <c r="N507" s="19">
        <v>43.795699999999997</v>
      </c>
      <c r="O507">
        <v>22.640999999999998</v>
      </c>
      <c r="P507">
        <v>0.95920000000000005</v>
      </c>
      <c r="Q507" s="19">
        <v>11734.855</v>
      </c>
      <c r="R507" s="19">
        <v>19053.089899999999</v>
      </c>
      <c r="S507" s="19">
        <v>1.2273000000000001</v>
      </c>
      <c r="T507" s="19">
        <v>35500.226600000002</v>
      </c>
      <c r="U507" s="19">
        <v>19530.678500000002</v>
      </c>
      <c r="W507" s="19"/>
      <c r="X507">
        <v>97</v>
      </c>
      <c r="Y507">
        <v>70</v>
      </c>
      <c r="Z507">
        <v>90</v>
      </c>
      <c r="AA507">
        <v>5.0999999999999996</v>
      </c>
      <c r="AB507">
        <v>18.100000000000001</v>
      </c>
      <c r="AC507">
        <v>76.814599999999999</v>
      </c>
      <c r="AE507">
        <v>9</v>
      </c>
      <c r="AF507">
        <v>91.094800000000006</v>
      </c>
      <c r="AG507">
        <v>21.5</v>
      </c>
      <c r="AH507">
        <v>0.37</v>
      </c>
      <c r="AI507">
        <v>6.6</v>
      </c>
      <c r="AJ507">
        <v>6</v>
      </c>
      <c r="AK507">
        <v>7.2</v>
      </c>
      <c r="AL507">
        <v>55.349600000000002</v>
      </c>
      <c r="AM507">
        <v>3.2</v>
      </c>
      <c r="AN507">
        <v>55565</v>
      </c>
      <c r="AO507">
        <v>0</v>
      </c>
      <c r="AP507">
        <v>99.216399999999993</v>
      </c>
      <c r="AQ507">
        <v>97.666600000000003</v>
      </c>
      <c r="AR507">
        <v>93.693399999999997</v>
      </c>
      <c r="AS507">
        <v>51.251300000000001</v>
      </c>
      <c r="AT507">
        <v>55.791400000000003</v>
      </c>
      <c r="AU507">
        <v>13.849600000000001</v>
      </c>
      <c r="AV507" s="19"/>
      <c r="AZ507">
        <v>6</v>
      </c>
      <c r="BA507">
        <v>53.750300000000003</v>
      </c>
      <c r="BB507">
        <v>18.695699999999999</v>
      </c>
      <c r="BC507">
        <v>6.0541</v>
      </c>
      <c r="BD507" s="19">
        <v>1.944</v>
      </c>
      <c r="BE507" s="19"/>
      <c r="BF507">
        <v>34.578299999999999</v>
      </c>
      <c r="BG507">
        <v>20.8</v>
      </c>
      <c r="BH507" s="20">
        <v>0.76480000000000004</v>
      </c>
      <c r="BI507" s="20">
        <v>1717.3018</v>
      </c>
      <c r="BJ507" s="19"/>
      <c r="BK507">
        <v>0.98319999999999996</v>
      </c>
      <c r="BL507">
        <v>1.0196000000000001</v>
      </c>
      <c r="BM507">
        <v>1.0570999999999999</v>
      </c>
      <c r="BN507">
        <v>6</v>
      </c>
      <c r="BO507">
        <v>8.7370000000000001</v>
      </c>
      <c r="BP507">
        <v>8.7100000000000009</v>
      </c>
      <c r="BQ507" s="19">
        <v>103.67619999999999</v>
      </c>
      <c r="BR507">
        <v>88.519900000000007</v>
      </c>
      <c r="BS507" s="20">
        <v>3.8290000000000002</v>
      </c>
      <c r="BT507" s="20">
        <v>3.8290000000000002</v>
      </c>
      <c r="BU507" s="20">
        <v>8.9540000000000006</v>
      </c>
      <c r="BV507" s="20">
        <v>8.9629999999999992</v>
      </c>
      <c r="BW507" s="19"/>
      <c r="BX507">
        <v>31</v>
      </c>
      <c r="BY507" s="5">
        <v>10907349</v>
      </c>
      <c r="BZ507" s="6">
        <v>41339937</v>
      </c>
      <c r="CA507" s="7">
        <f t="shared" si="35"/>
        <v>3.7900994091231519</v>
      </c>
      <c r="CB507">
        <v>10362722</v>
      </c>
      <c r="CC507" s="8">
        <f t="shared" si="36"/>
        <v>3.9892932571191237</v>
      </c>
      <c r="CD507" s="8">
        <f t="shared" si="37"/>
        <v>1.0525563650168364</v>
      </c>
      <c r="CE507">
        <v>89103</v>
      </c>
      <c r="CF507" s="8">
        <f t="shared" si="38"/>
        <v>122.41281438335409</v>
      </c>
      <c r="CG507" s="8">
        <f t="shared" si="39"/>
        <v>463.95673546345239</v>
      </c>
      <c r="CH507">
        <v>98.819040000000001</v>
      </c>
    </row>
    <row r="508" spans="1:86" ht="15.5" x14ac:dyDescent="0.35">
      <c r="A508" t="s">
        <v>107</v>
      </c>
      <c r="B508">
        <v>2002</v>
      </c>
      <c r="C508" s="2">
        <v>48.700400000000002</v>
      </c>
      <c r="D508">
        <v>110800.4</v>
      </c>
      <c r="E508">
        <v>0.1832</v>
      </c>
      <c r="F508">
        <v>6.5164</v>
      </c>
      <c r="G508">
        <v>86000</v>
      </c>
      <c r="H508">
        <v>9</v>
      </c>
      <c r="I508" s="19">
        <v>79.236000000000004</v>
      </c>
      <c r="J508" s="19">
        <v>80.7</v>
      </c>
      <c r="K508" s="19">
        <v>4.1139999999999999</v>
      </c>
      <c r="L508" s="19">
        <v>85.185199999999995</v>
      </c>
      <c r="M508" s="19">
        <v>-11292000000</v>
      </c>
      <c r="N508" s="19">
        <v>47.065300000000001</v>
      </c>
      <c r="O508">
        <v>28.343</v>
      </c>
      <c r="P508">
        <v>2.5024999999999999</v>
      </c>
      <c r="Q508" s="19">
        <v>12927.547</v>
      </c>
      <c r="R508" s="19">
        <v>19095.110199999999</v>
      </c>
      <c r="S508" s="19">
        <v>0.2205</v>
      </c>
      <c r="T508" s="19">
        <v>35578.519999999997</v>
      </c>
      <c r="U508" s="19">
        <v>20356.647300000001</v>
      </c>
      <c r="W508" s="19">
        <v>85.4054</v>
      </c>
      <c r="X508">
        <v>98</v>
      </c>
      <c r="Y508">
        <v>82</v>
      </c>
      <c r="Z508">
        <v>93</v>
      </c>
      <c r="AA508">
        <v>4.7</v>
      </c>
      <c r="AB508">
        <v>19.399999999999999</v>
      </c>
      <c r="AC508">
        <v>77.065899999999999</v>
      </c>
      <c r="AE508">
        <v>9</v>
      </c>
      <c r="AF508">
        <v>91.235699999999994</v>
      </c>
      <c r="AG508">
        <v>21.2</v>
      </c>
      <c r="AH508">
        <v>0.32</v>
      </c>
      <c r="AI508">
        <v>6.1</v>
      </c>
      <c r="AJ508">
        <v>5.5</v>
      </c>
      <c r="AK508">
        <v>6.6</v>
      </c>
      <c r="AL508">
        <v>55.857599999999998</v>
      </c>
      <c r="AM508">
        <v>3</v>
      </c>
      <c r="AN508">
        <v>42169</v>
      </c>
      <c r="AO508">
        <v>0</v>
      </c>
      <c r="AP508">
        <v>99.204700000000003</v>
      </c>
      <c r="AQ508">
        <v>97.795199999999994</v>
      </c>
      <c r="AR508">
        <v>93.727800000000002</v>
      </c>
      <c r="AS508">
        <v>51.434600000000003</v>
      </c>
      <c r="AT508">
        <v>55.8264</v>
      </c>
      <c r="AU508">
        <v>13.69</v>
      </c>
      <c r="AV508" s="19">
        <v>95.238100000000003</v>
      </c>
      <c r="AZ508">
        <v>6</v>
      </c>
      <c r="BA508">
        <v>53.879300000000001</v>
      </c>
      <c r="BB508">
        <v>19.130400000000002</v>
      </c>
      <c r="BC508">
        <v>6.3254999999999999</v>
      </c>
      <c r="BD508" s="19">
        <v>0.77100000000000002</v>
      </c>
      <c r="BE508" s="19">
        <v>85.4054</v>
      </c>
      <c r="BF508">
        <v>22.1008</v>
      </c>
      <c r="BG508">
        <v>18.3</v>
      </c>
      <c r="BH508" s="20">
        <v>0.7218</v>
      </c>
      <c r="BI508" s="20">
        <v>1827.5988</v>
      </c>
      <c r="BJ508" s="19">
        <v>88.557199999999995</v>
      </c>
      <c r="BK508">
        <v>0.96140000000000003</v>
      </c>
      <c r="BL508">
        <v>1.0053000000000001</v>
      </c>
      <c r="BM508">
        <v>1.0497000000000001</v>
      </c>
      <c r="BN508">
        <v>6</v>
      </c>
      <c r="BO508">
        <v>9.7579999999999991</v>
      </c>
      <c r="BP508">
        <v>12.33</v>
      </c>
      <c r="BQ508" s="19">
        <v>104.61360000000001</v>
      </c>
      <c r="BR508">
        <v>86.5077</v>
      </c>
      <c r="BS508" s="20">
        <v>4.4969999999999999</v>
      </c>
      <c r="BT508" s="20">
        <v>4.4969999999999999</v>
      </c>
      <c r="BU508" s="20">
        <v>10.448</v>
      </c>
      <c r="BV508" s="20">
        <v>10.456</v>
      </c>
      <c r="BW508" s="19">
        <v>91.044799999999995</v>
      </c>
      <c r="BX508">
        <v>31.21</v>
      </c>
      <c r="BY508" s="5">
        <v>11378960</v>
      </c>
      <c r="BZ508" s="6">
        <v>41811198</v>
      </c>
      <c r="CA508" s="7">
        <f t="shared" si="35"/>
        <v>3.6744305279217082</v>
      </c>
      <c r="CB508">
        <v>10419631</v>
      </c>
      <c r="CC508" s="8">
        <f t="shared" si="36"/>
        <v>4.0127330804708921</v>
      </c>
      <c r="CD508" s="8">
        <f t="shared" si="37"/>
        <v>1.0920693832631885</v>
      </c>
      <c r="CE508">
        <v>89103</v>
      </c>
      <c r="CF508" s="8">
        <f t="shared" si="38"/>
        <v>127.7056889218096</v>
      </c>
      <c r="CG508" s="8">
        <f t="shared" si="39"/>
        <v>469.24568196357023</v>
      </c>
      <c r="CH508">
        <v>100.04406</v>
      </c>
    </row>
    <row r="509" spans="1:86" ht="15.5" x14ac:dyDescent="0.35">
      <c r="A509" t="s">
        <v>107</v>
      </c>
      <c r="B509">
        <v>2003</v>
      </c>
      <c r="C509" s="2">
        <v>49.017299999999999</v>
      </c>
      <c r="D509">
        <v>109473.3</v>
      </c>
      <c r="E509">
        <v>0.1714</v>
      </c>
      <c r="F509">
        <v>6.02</v>
      </c>
      <c r="G509">
        <v>80700</v>
      </c>
      <c r="H509">
        <v>9</v>
      </c>
      <c r="I509" s="19">
        <v>81.801000000000002</v>
      </c>
      <c r="J509" s="19">
        <v>82.54</v>
      </c>
      <c r="K509" s="19">
        <v>3.5779999999999998</v>
      </c>
      <c r="L509" s="19">
        <v>83.068799999999996</v>
      </c>
      <c r="M509" s="19">
        <v>-10958000000</v>
      </c>
      <c r="N509" s="19">
        <v>57.691800000000001</v>
      </c>
      <c r="O509">
        <v>27.079000000000001</v>
      </c>
      <c r="P509">
        <v>4.8022</v>
      </c>
      <c r="Q509" s="19">
        <v>15793.822</v>
      </c>
      <c r="R509" s="19">
        <v>18846.5412</v>
      </c>
      <c r="S509" s="19">
        <v>-1.3017000000000001</v>
      </c>
      <c r="T509" s="19">
        <v>35115.379500000003</v>
      </c>
      <c r="U509" s="19">
        <v>20852.240399999999</v>
      </c>
      <c r="V509">
        <v>38.799999999999997</v>
      </c>
      <c r="W509" s="19">
        <v>83.783799999999999</v>
      </c>
      <c r="X509">
        <v>99</v>
      </c>
      <c r="Y509">
        <v>94</v>
      </c>
      <c r="Z509">
        <v>96</v>
      </c>
      <c r="AA509">
        <v>4.3</v>
      </c>
      <c r="AB509">
        <v>29.7</v>
      </c>
      <c r="AC509">
        <v>77.219499999999996</v>
      </c>
      <c r="AE509">
        <v>8</v>
      </c>
      <c r="AF509">
        <v>91.321200000000005</v>
      </c>
      <c r="AG509">
        <v>19.399999999999999</v>
      </c>
      <c r="AH509">
        <v>0.35</v>
      </c>
      <c r="AI509">
        <v>5.5</v>
      </c>
      <c r="AJ509">
        <v>5</v>
      </c>
      <c r="AK509">
        <v>6</v>
      </c>
      <c r="AL509">
        <v>55.814300000000003</v>
      </c>
      <c r="AM509">
        <v>2.8</v>
      </c>
      <c r="AN509">
        <v>24740</v>
      </c>
      <c r="AO509">
        <v>0</v>
      </c>
      <c r="AP509">
        <v>99.194400000000002</v>
      </c>
      <c r="AQ509">
        <v>97.921999999999997</v>
      </c>
      <c r="AR509">
        <v>93.763400000000004</v>
      </c>
      <c r="AS509">
        <v>51.617899999999999</v>
      </c>
      <c r="AT509">
        <v>55.8613</v>
      </c>
      <c r="AU509">
        <v>13.489699999999999</v>
      </c>
      <c r="AV509" s="19">
        <v>95.979900000000001</v>
      </c>
      <c r="AW509">
        <v>0.9</v>
      </c>
      <c r="AX509">
        <v>20.399999999999999</v>
      </c>
      <c r="AZ509">
        <v>6</v>
      </c>
      <c r="BA509">
        <v>54.006399999999999</v>
      </c>
      <c r="BB509">
        <v>19.130400000000002</v>
      </c>
      <c r="BC509">
        <v>6.4420999999999999</v>
      </c>
      <c r="BD509" s="19">
        <v>-0.93100000000000005</v>
      </c>
      <c r="BE509" s="19">
        <v>86.486500000000007</v>
      </c>
      <c r="BF509">
        <v>38.491399999999999</v>
      </c>
      <c r="BG509">
        <v>22.1</v>
      </c>
      <c r="BH509" s="20">
        <v>0.69799999999999995</v>
      </c>
      <c r="BI509" s="20">
        <v>1939.0876000000001</v>
      </c>
      <c r="BJ509" s="19">
        <v>88.557199999999995</v>
      </c>
      <c r="BK509">
        <v>0.94889999999999997</v>
      </c>
      <c r="BL509">
        <v>1.0175000000000001</v>
      </c>
      <c r="BM509">
        <v>1.0911999999999999</v>
      </c>
      <c r="BN509">
        <v>6</v>
      </c>
      <c r="BO509">
        <v>10.294</v>
      </c>
      <c r="BP509">
        <v>11.78</v>
      </c>
      <c r="BQ509" s="19">
        <v>102.3473</v>
      </c>
      <c r="BR509">
        <v>82.041200000000003</v>
      </c>
      <c r="BS509" s="20">
        <v>6.1319999999999997</v>
      </c>
      <c r="BT509" s="20">
        <v>6.1319999999999997</v>
      </c>
      <c r="BU509" s="20">
        <v>13.492000000000001</v>
      </c>
      <c r="BV509" s="20">
        <v>13.504</v>
      </c>
      <c r="BW509" s="19">
        <v>93.034800000000004</v>
      </c>
      <c r="BX509">
        <v>32.5</v>
      </c>
      <c r="BY509" s="5">
        <v>11283270</v>
      </c>
      <c r="BZ509" s="6">
        <v>41583232</v>
      </c>
      <c r="CA509" s="7">
        <f t="shared" si="35"/>
        <v>3.6853883670248075</v>
      </c>
      <c r="CB509">
        <v>10458821</v>
      </c>
      <c r="CC509" s="8">
        <f t="shared" si="36"/>
        <v>3.9759005341041789</v>
      </c>
      <c r="CD509" s="8">
        <f t="shared" si="37"/>
        <v>1.0788281011788996</v>
      </c>
      <c r="CE509">
        <v>89103</v>
      </c>
      <c r="CF509" s="8">
        <f t="shared" si="38"/>
        <v>126.63176324029494</v>
      </c>
      <c r="CG509" s="8">
        <f t="shared" si="39"/>
        <v>466.6872271416226</v>
      </c>
      <c r="CH509">
        <v>101.35588</v>
      </c>
    </row>
    <row r="510" spans="1:86" ht="15.5" x14ac:dyDescent="0.35">
      <c r="A510" t="s">
        <v>107</v>
      </c>
      <c r="B510">
        <v>2004</v>
      </c>
      <c r="C510" s="2">
        <v>49.3735</v>
      </c>
      <c r="D510">
        <v>115023.9</v>
      </c>
      <c r="E510">
        <v>0.1731</v>
      </c>
      <c r="F510">
        <v>6.1734</v>
      </c>
      <c r="G510">
        <v>83800</v>
      </c>
      <c r="H510">
        <v>9</v>
      </c>
      <c r="I510" s="19">
        <v>83.853999999999999</v>
      </c>
      <c r="J510" s="19">
        <v>84.66</v>
      </c>
      <c r="K510" s="19">
        <v>4.0730000000000004</v>
      </c>
      <c r="L510" s="19">
        <v>84.729100000000003</v>
      </c>
      <c r="M510" s="19">
        <v>-15062000000</v>
      </c>
      <c r="N510" s="19">
        <v>65.011799999999994</v>
      </c>
      <c r="O510">
        <v>30.053999999999998</v>
      </c>
      <c r="P510">
        <v>7.9987000000000004</v>
      </c>
      <c r="Q510" s="19">
        <v>18055.962</v>
      </c>
      <c r="R510" s="19">
        <v>19137.837100000001</v>
      </c>
      <c r="S510" s="19">
        <v>1.5456000000000001</v>
      </c>
      <c r="T510" s="19">
        <v>35658.129800000002</v>
      </c>
      <c r="U510" s="19">
        <v>21478.429700000001</v>
      </c>
      <c r="V510">
        <v>38.9</v>
      </c>
      <c r="W510" s="19">
        <v>81.094499999999996</v>
      </c>
      <c r="X510">
        <v>95</v>
      </c>
      <c r="Y510">
        <v>94</v>
      </c>
      <c r="Z510">
        <v>95</v>
      </c>
      <c r="AA510">
        <v>3.9</v>
      </c>
      <c r="AB510">
        <v>31.8</v>
      </c>
      <c r="AC510">
        <v>77.670699999999997</v>
      </c>
      <c r="AE510">
        <v>8</v>
      </c>
      <c r="AF510">
        <v>91.500699999999995</v>
      </c>
      <c r="AG510">
        <v>19.100000000000001</v>
      </c>
      <c r="AH510">
        <v>0.26</v>
      </c>
      <c r="AI510">
        <v>5</v>
      </c>
      <c r="AJ510">
        <v>4.5999999999999996</v>
      </c>
      <c r="AK510">
        <v>5.5</v>
      </c>
      <c r="AL510">
        <v>55.765300000000003</v>
      </c>
      <c r="AM510">
        <v>2.6</v>
      </c>
      <c r="AN510">
        <v>13928</v>
      </c>
      <c r="AO510">
        <v>0</v>
      </c>
      <c r="AP510">
        <v>99.185599999999994</v>
      </c>
      <c r="AQ510">
        <v>98.0471</v>
      </c>
      <c r="AR510">
        <v>93.800299999999993</v>
      </c>
      <c r="AS510">
        <v>52.978099999999998</v>
      </c>
      <c r="AT510">
        <v>58.3185</v>
      </c>
      <c r="AU510">
        <v>13.256500000000001</v>
      </c>
      <c r="AV510" s="19">
        <v>79.611599999999996</v>
      </c>
      <c r="AW510">
        <v>0.5</v>
      </c>
      <c r="AX510">
        <v>19.399999999999999</v>
      </c>
      <c r="AZ510">
        <v>6</v>
      </c>
      <c r="BA510">
        <v>56.017200000000003</v>
      </c>
      <c r="BB510">
        <v>19.130400000000002</v>
      </c>
      <c r="BC510">
        <v>6.7263999999999999</v>
      </c>
      <c r="BD510" s="19">
        <v>1.7889999999999999</v>
      </c>
      <c r="BE510" s="19">
        <v>84.079599999999999</v>
      </c>
      <c r="BF510">
        <v>27.918299999999999</v>
      </c>
      <c r="BG510">
        <v>19.899999999999999</v>
      </c>
      <c r="BH510" s="20">
        <v>0.72929999999999995</v>
      </c>
      <c r="BI510" s="20">
        <v>1975.6442</v>
      </c>
      <c r="BJ510" s="19">
        <v>87.980800000000002</v>
      </c>
      <c r="BK510">
        <v>0.94920000000000004</v>
      </c>
      <c r="BL510">
        <v>1.0195000000000001</v>
      </c>
      <c r="BM510">
        <v>1.1061000000000001</v>
      </c>
      <c r="BN510">
        <v>6</v>
      </c>
      <c r="BO510">
        <v>10.247999999999999</v>
      </c>
      <c r="BP510">
        <v>10.55</v>
      </c>
      <c r="BQ510" s="19">
        <v>101.48869999999999</v>
      </c>
      <c r="BR510">
        <v>81.375600000000006</v>
      </c>
      <c r="BS510" s="20">
        <v>6.319</v>
      </c>
      <c r="BT510" s="20">
        <v>6.319</v>
      </c>
      <c r="BU510" s="20">
        <v>14.048</v>
      </c>
      <c r="BV510" s="20">
        <v>14.05</v>
      </c>
      <c r="BW510" s="19">
        <v>92.307699999999997</v>
      </c>
      <c r="BX510">
        <v>32.340000000000003</v>
      </c>
      <c r="BY510" s="5">
        <v>11711926</v>
      </c>
      <c r="BZ510" s="6">
        <v>41722947</v>
      </c>
      <c r="CA510" s="7">
        <f t="shared" si="35"/>
        <v>3.5624326007524294</v>
      </c>
      <c r="CB510">
        <v>10483861</v>
      </c>
      <c r="CC510" s="8">
        <f t="shared" si="36"/>
        <v>3.9797310361135083</v>
      </c>
      <c r="CD510" s="8">
        <f t="shared" si="37"/>
        <v>1.1171386190641024</v>
      </c>
      <c r="CE510">
        <v>89103</v>
      </c>
      <c r="CF510" s="8">
        <f t="shared" si="38"/>
        <v>131.44255524505348</v>
      </c>
      <c r="CG510" s="8">
        <f t="shared" si="39"/>
        <v>468.25524393118076</v>
      </c>
      <c r="CH510">
        <v>101.64561</v>
      </c>
    </row>
    <row r="511" spans="1:86" ht="15.5" x14ac:dyDescent="0.35">
      <c r="A511" t="s">
        <v>107</v>
      </c>
      <c r="B511">
        <v>2005</v>
      </c>
      <c r="C511" s="2">
        <v>49.680399999999999</v>
      </c>
      <c r="D511">
        <v>111124.9</v>
      </c>
      <c r="E511">
        <v>0.1804</v>
      </c>
      <c r="F511">
        <v>6.4728000000000003</v>
      </c>
      <c r="G511">
        <v>85800</v>
      </c>
      <c r="H511">
        <v>9</v>
      </c>
      <c r="I511" s="19">
        <v>85.64</v>
      </c>
      <c r="J511" s="19">
        <v>86.81</v>
      </c>
      <c r="K511" s="19">
        <v>3.875</v>
      </c>
      <c r="L511" s="19">
        <v>81.463399999999993</v>
      </c>
      <c r="M511" s="19">
        <v>-18918000000</v>
      </c>
      <c r="N511" s="19">
        <v>69.3048</v>
      </c>
      <c r="O511">
        <v>29.123999999999999</v>
      </c>
      <c r="P511">
        <v>11.096299999999999</v>
      </c>
      <c r="Q511" s="19">
        <v>18790.508000000002</v>
      </c>
      <c r="R511" s="19">
        <v>19251.714599999999</v>
      </c>
      <c r="S511" s="19">
        <v>0.59499999999999997</v>
      </c>
      <c r="T511" s="19">
        <v>35870.309300000001</v>
      </c>
      <c r="U511" s="19">
        <v>22725.2775</v>
      </c>
      <c r="V511">
        <v>38.5</v>
      </c>
      <c r="W511" s="19">
        <v>82.843100000000007</v>
      </c>
      <c r="X511">
        <v>93</v>
      </c>
      <c r="Y511">
        <v>94</v>
      </c>
      <c r="Z511">
        <v>93</v>
      </c>
      <c r="AA511">
        <v>3.7</v>
      </c>
      <c r="AB511">
        <v>35</v>
      </c>
      <c r="AC511">
        <v>78.070700000000002</v>
      </c>
      <c r="AE511">
        <v>8</v>
      </c>
      <c r="AF511">
        <v>92.068399999999997</v>
      </c>
      <c r="AG511">
        <v>17.7</v>
      </c>
      <c r="AH511">
        <v>0.23</v>
      </c>
      <c r="AI511">
        <v>4.7</v>
      </c>
      <c r="AJ511">
        <v>4.2</v>
      </c>
      <c r="AK511">
        <v>5.0999999999999996</v>
      </c>
      <c r="AL511">
        <v>55.709299999999999</v>
      </c>
      <c r="AM511">
        <v>2.4</v>
      </c>
      <c r="AN511">
        <v>15537</v>
      </c>
      <c r="AO511">
        <v>0</v>
      </c>
      <c r="AP511">
        <v>99.178200000000004</v>
      </c>
      <c r="AQ511">
        <v>98.170400000000001</v>
      </c>
      <c r="AR511">
        <v>93.838200000000001</v>
      </c>
      <c r="AS511">
        <v>54.444299999999998</v>
      </c>
      <c r="AT511">
        <v>60.8</v>
      </c>
      <c r="AU511">
        <v>12.9985</v>
      </c>
      <c r="AV511" s="19">
        <v>80.582499999999996</v>
      </c>
      <c r="AW511">
        <v>0.5</v>
      </c>
      <c r="AX511">
        <v>18.5</v>
      </c>
      <c r="AZ511">
        <v>6</v>
      </c>
      <c r="BA511">
        <v>58.100200000000001</v>
      </c>
      <c r="BB511">
        <v>21.304300000000001</v>
      </c>
      <c r="BC511">
        <v>6.8441999999999998</v>
      </c>
      <c r="BD511" s="19">
        <v>0.78200000000000003</v>
      </c>
      <c r="BE511" s="19">
        <v>87.745099999999994</v>
      </c>
      <c r="BF511">
        <v>18.565799999999999</v>
      </c>
      <c r="BG511">
        <v>18.100000000000001</v>
      </c>
      <c r="BH511" s="20">
        <v>0.75760000000000005</v>
      </c>
      <c r="BI511" s="20">
        <v>2013.3271</v>
      </c>
      <c r="BJ511" s="19">
        <v>87.559799999999996</v>
      </c>
      <c r="BK511">
        <v>0.95250000000000001</v>
      </c>
      <c r="BL511">
        <v>1.0192000000000001</v>
      </c>
      <c r="BM511">
        <v>1.0998000000000001</v>
      </c>
      <c r="BN511">
        <v>6</v>
      </c>
      <c r="BO511">
        <v>11.090999999999999</v>
      </c>
      <c r="BP511">
        <v>11.31</v>
      </c>
      <c r="BQ511" s="19">
        <v>98.387500000000003</v>
      </c>
      <c r="BR511">
        <v>78.061599999999999</v>
      </c>
      <c r="BS511" s="20">
        <v>7.5819999999999999</v>
      </c>
      <c r="BT511" s="20">
        <v>7.5819999999999999</v>
      </c>
      <c r="BU511" s="20">
        <v>16.216999999999999</v>
      </c>
      <c r="BV511" s="20">
        <v>16.22</v>
      </c>
      <c r="BW511" s="19">
        <v>91.826899999999995</v>
      </c>
      <c r="BX511">
        <v>31</v>
      </c>
      <c r="BY511" s="5">
        <v>12257430</v>
      </c>
      <c r="BZ511" s="6">
        <v>43265082</v>
      </c>
      <c r="CA511" s="7">
        <f t="shared" si="35"/>
        <v>3.5297025559191444</v>
      </c>
      <c r="CB511">
        <v>10503330</v>
      </c>
      <c r="CC511" s="8">
        <f t="shared" si="36"/>
        <v>4.1191776322366334</v>
      </c>
      <c r="CD511" s="8">
        <f t="shared" si="37"/>
        <v>1.1670041786747631</v>
      </c>
      <c r="CE511">
        <v>89103</v>
      </c>
      <c r="CF511" s="8">
        <f t="shared" si="38"/>
        <v>137.56472846032119</v>
      </c>
      <c r="CG511" s="8">
        <f t="shared" si="39"/>
        <v>485.56257365071883</v>
      </c>
      <c r="CH511">
        <v>101.2876</v>
      </c>
    </row>
    <row r="512" spans="1:86" ht="15.5" x14ac:dyDescent="0.35">
      <c r="A512" t="s">
        <v>107</v>
      </c>
      <c r="B512">
        <v>2006</v>
      </c>
      <c r="C512" s="2">
        <v>49.848599999999998</v>
      </c>
      <c r="D512">
        <v>113013.2</v>
      </c>
      <c r="E512">
        <v>0.1648</v>
      </c>
      <c r="F512">
        <v>5.9965000000000002</v>
      </c>
      <c r="G512">
        <v>81000</v>
      </c>
      <c r="H512">
        <v>9</v>
      </c>
      <c r="I512" s="19">
        <v>88.248000000000005</v>
      </c>
      <c r="J512" s="19">
        <v>89</v>
      </c>
      <c r="K512" s="19">
        <v>3.7789999999999999</v>
      </c>
      <c r="L512" s="19">
        <v>80.9756</v>
      </c>
      <c r="M512" s="19">
        <v>-21419000000</v>
      </c>
      <c r="N512" s="19">
        <v>78.718900000000005</v>
      </c>
      <c r="O512">
        <v>31.43</v>
      </c>
      <c r="P512">
        <v>13.527799999999999</v>
      </c>
      <c r="Q512" s="19">
        <v>19840.492999999999</v>
      </c>
      <c r="R512" s="19">
        <v>19529.312099999999</v>
      </c>
      <c r="S512" s="19">
        <v>1.4419</v>
      </c>
      <c r="T512" s="19">
        <v>36387.536500000002</v>
      </c>
      <c r="U512" s="19">
        <v>24682.564600000002</v>
      </c>
      <c r="V512">
        <v>38.1</v>
      </c>
      <c r="W512" s="19">
        <v>78.536600000000007</v>
      </c>
      <c r="X512">
        <v>97</v>
      </c>
      <c r="Y512">
        <v>97</v>
      </c>
      <c r="Z512">
        <v>97</v>
      </c>
      <c r="AA512">
        <v>3.4</v>
      </c>
      <c r="AB512">
        <v>38</v>
      </c>
      <c r="AC512">
        <v>78.419499999999999</v>
      </c>
      <c r="AE512">
        <v>8</v>
      </c>
      <c r="AF512">
        <v>92.147599999999997</v>
      </c>
      <c r="AG512">
        <v>16.100000000000001</v>
      </c>
      <c r="AH512">
        <v>0.2</v>
      </c>
      <c r="AI512">
        <v>4.4000000000000004</v>
      </c>
      <c r="AJ512">
        <v>4</v>
      </c>
      <c r="AK512">
        <v>4.8</v>
      </c>
      <c r="AL512">
        <v>56.194099999999999</v>
      </c>
      <c r="AM512">
        <v>2.2000000000000002</v>
      </c>
      <c r="AN512">
        <v>16754</v>
      </c>
      <c r="AO512">
        <v>0</v>
      </c>
      <c r="AP512">
        <v>99.172300000000007</v>
      </c>
      <c r="AQ512">
        <v>98.292100000000005</v>
      </c>
      <c r="AR512">
        <v>93.877499999999998</v>
      </c>
      <c r="AS512">
        <v>56.016199999999998</v>
      </c>
      <c r="AT512">
        <v>63.305999999999997</v>
      </c>
      <c r="AU512">
        <v>12.5977</v>
      </c>
      <c r="AV512" s="19">
        <v>79.227099999999993</v>
      </c>
      <c r="AW512">
        <v>0.1</v>
      </c>
      <c r="AX512">
        <v>18.100000000000001</v>
      </c>
      <c r="AZ512">
        <v>6</v>
      </c>
      <c r="BA512">
        <v>60.254300000000001</v>
      </c>
      <c r="BB512">
        <v>21.304300000000001</v>
      </c>
      <c r="BC512">
        <v>5.9343000000000004</v>
      </c>
      <c r="BD512" s="19">
        <v>1.625</v>
      </c>
      <c r="BE512" s="19">
        <v>80.882400000000004</v>
      </c>
      <c r="BF512">
        <v>33.008400000000002</v>
      </c>
      <c r="BG512">
        <v>22.3</v>
      </c>
      <c r="BH512" s="20">
        <v>0.95450000000000002</v>
      </c>
      <c r="BI512" s="20">
        <v>2344.866</v>
      </c>
      <c r="BJ512" s="19">
        <v>79.425799999999995</v>
      </c>
      <c r="BK512">
        <v>0.95099999999999996</v>
      </c>
      <c r="BL512">
        <v>1.0133000000000001</v>
      </c>
      <c r="BM512">
        <v>1.0888</v>
      </c>
      <c r="BN512">
        <v>6</v>
      </c>
      <c r="BO512">
        <v>10.61</v>
      </c>
      <c r="BP512">
        <v>11.39</v>
      </c>
      <c r="BQ512" s="19">
        <v>97.543999999999997</v>
      </c>
      <c r="BR512">
        <v>77.755799999999994</v>
      </c>
      <c r="BS512" s="20">
        <v>7.649</v>
      </c>
      <c r="BT512" s="20">
        <v>7.649</v>
      </c>
      <c r="BU512" s="20">
        <v>16.501999999999999</v>
      </c>
      <c r="BV512" s="20">
        <v>16.503</v>
      </c>
      <c r="BW512" s="19">
        <v>90.384600000000006</v>
      </c>
      <c r="BX512">
        <v>32.19</v>
      </c>
      <c r="BY512" s="5">
        <v>13046832</v>
      </c>
      <c r="BZ512" s="6">
        <v>45521904</v>
      </c>
      <c r="CA512" s="7">
        <f t="shared" si="35"/>
        <v>3.4891155186178531</v>
      </c>
      <c r="CB512">
        <v>10522288</v>
      </c>
      <c r="CC512" s="8">
        <f t="shared" si="36"/>
        <v>4.3262362710467537</v>
      </c>
      <c r="CD512" s="8">
        <f t="shared" si="37"/>
        <v>1.239923484322041</v>
      </c>
      <c r="CE512">
        <v>89103</v>
      </c>
      <c r="CF512" s="8">
        <f t="shared" si="38"/>
        <v>146.42416080266656</v>
      </c>
      <c r="CG512" s="8">
        <f t="shared" si="39"/>
        <v>510.8908117571799</v>
      </c>
      <c r="CH512">
        <v>101.88847</v>
      </c>
    </row>
    <row r="513" spans="1:86" ht="15.5" x14ac:dyDescent="0.35">
      <c r="A513" t="s">
        <v>107</v>
      </c>
      <c r="B513">
        <v>2007</v>
      </c>
      <c r="C513" s="2">
        <v>49.950200000000002</v>
      </c>
      <c r="D513">
        <v>111316.6</v>
      </c>
      <c r="E513">
        <v>0.15670000000000001</v>
      </c>
      <c r="F513">
        <v>5.8322000000000003</v>
      </c>
      <c r="G513">
        <v>78800</v>
      </c>
      <c r="H513">
        <v>9</v>
      </c>
      <c r="I513" s="19">
        <v>90.385999999999996</v>
      </c>
      <c r="J513" s="19">
        <v>91.44</v>
      </c>
      <c r="K513" s="19">
        <v>5.1950000000000003</v>
      </c>
      <c r="L513" s="19">
        <v>81.553399999999996</v>
      </c>
      <c r="M513" s="19">
        <v>-23138000000</v>
      </c>
      <c r="N513" s="19">
        <v>95.379400000000004</v>
      </c>
      <c r="O513">
        <v>30.814</v>
      </c>
      <c r="P513">
        <v>14.4788</v>
      </c>
      <c r="Q513" s="19">
        <v>22813.754000000001</v>
      </c>
      <c r="R513" s="19">
        <v>19979.570599999999</v>
      </c>
      <c r="S513" s="19">
        <v>2.3056000000000001</v>
      </c>
      <c r="T513" s="19">
        <v>37226.470200000003</v>
      </c>
      <c r="U513" s="19">
        <v>25738.936900000001</v>
      </c>
      <c r="V513">
        <v>36.799999999999997</v>
      </c>
      <c r="W513" s="19">
        <v>78.640799999999999</v>
      </c>
      <c r="X513">
        <v>97</v>
      </c>
      <c r="Y513">
        <v>97</v>
      </c>
      <c r="Z513">
        <v>95</v>
      </c>
      <c r="AA513">
        <v>3.3</v>
      </c>
      <c r="AB513">
        <v>42.1</v>
      </c>
      <c r="AC513">
        <v>78.322000000000003</v>
      </c>
      <c r="AE513">
        <v>8</v>
      </c>
      <c r="AF513">
        <v>92.123999999999995</v>
      </c>
      <c r="AG513">
        <v>13.1</v>
      </c>
      <c r="AH513">
        <v>0.19</v>
      </c>
      <c r="AI513">
        <v>4.2</v>
      </c>
      <c r="AJ513">
        <v>3.8</v>
      </c>
      <c r="AK513">
        <v>4.5</v>
      </c>
      <c r="AL513">
        <v>57.290500000000002</v>
      </c>
      <c r="AM513">
        <v>2.1</v>
      </c>
      <c r="AN513">
        <v>21064</v>
      </c>
      <c r="AO513">
        <v>0</v>
      </c>
      <c r="AP513">
        <v>99.1678</v>
      </c>
      <c r="AQ513">
        <v>98.412099999999995</v>
      </c>
      <c r="AR513">
        <v>93.9178</v>
      </c>
      <c r="AS513">
        <v>57.694099999999999</v>
      </c>
      <c r="AT513">
        <v>65.836500000000001</v>
      </c>
      <c r="AU513">
        <v>12.029500000000001</v>
      </c>
      <c r="AV513" s="19">
        <v>76.811599999999999</v>
      </c>
      <c r="AW513">
        <v>0.3</v>
      </c>
      <c r="AX513">
        <v>18.5</v>
      </c>
      <c r="AZ513">
        <v>6</v>
      </c>
      <c r="BA513">
        <v>62.477699999999999</v>
      </c>
      <c r="BB513">
        <v>28.260899999999999</v>
      </c>
      <c r="BC513">
        <v>5.8018999999999998</v>
      </c>
      <c r="BD513" s="19">
        <v>2.5070000000000001</v>
      </c>
      <c r="BE513" s="19">
        <v>83.495099999999994</v>
      </c>
      <c r="BF513">
        <v>35.077199999999998</v>
      </c>
      <c r="BG513">
        <v>23.1</v>
      </c>
      <c r="BH513" s="20">
        <v>1.1242000000000001</v>
      </c>
      <c r="BI513" s="20">
        <v>2674.3872000000001</v>
      </c>
      <c r="BJ513" s="19">
        <v>82.296700000000001</v>
      </c>
      <c r="BK513">
        <v>0.94640000000000002</v>
      </c>
      <c r="BL513">
        <v>1.0049999999999999</v>
      </c>
      <c r="BM513">
        <v>1.0743</v>
      </c>
      <c r="BN513">
        <v>6</v>
      </c>
      <c r="BO513">
        <v>11.157</v>
      </c>
      <c r="BP513">
        <v>12.61</v>
      </c>
      <c r="BQ513" s="19">
        <v>97.205799999999996</v>
      </c>
      <c r="BR513">
        <v>77.165700000000001</v>
      </c>
      <c r="BS513" s="20">
        <v>7.9649999999999999</v>
      </c>
      <c r="BT513" s="20">
        <v>7.9660000000000002</v>
      </c>
      <c r="BU513" s="20">
        <v>16.727</v>
      </c>
      <c r="BV513" s="20">
        <v>16.73</v>
      </c>
      <c r="BW513" s="19">
        <v>90.384600000000006</v>
      </c>
      <c r="BX513">
        <v>33.08</v>
      </c>
      <c r="BY513" s="5">
        <v>14044161</v>
      </c>
      <c r="BZ513" s="6">
        <v>47964609</v>
      </c>
      <c r="CA513" s="7">
        <f t="shared" si="35"/>
        <v>3.4152705170497546</v>
      </c>
      <c r="CB513">
        <v>10542964</v>
      </c>
      <c r="CC513" s="8">
        <f t="shared" si="36"/>
        <v>4.5494425476554792</v>
      </c>
      <c r="CD513" s="8">
        <f t="shared" si="37"/>
        <v>1.3320884904852184</v>
      </c>
      <c r="CE513">
        <v>89103</v>
      </c>
      <c r="CF513" s="8">
        <f t="shared" si="38"/>
        <v>157.61715093767887</v>
      </c>
      <c r="CG513" s="8">
        <f t="shared" si="39"/>
        <v>538.30520857883573</v>
      </c>
      <c r="CH513">
        <v>101.86855</v>
      </c>
    </row>
    <row r="514" spans="1:86" ht="15.5" x14ac:dyDescent="0.35">
      <c r="A514" t="s">
        <v>107</v>
      </c>
      <c r="B514">
        <v>2008</v>
      </c>
      <c r="C514" s="2">
        <v>50.133499999999998</v>
      </c>
      <c r="D514">
        <v>109653.6</v>
      </c>
      <c r="E514">
        <v>0.15090000000000001</v>
      </c>
      <c r="F514">
        <v>5.6268000000000002</v>
      </c>
      <c r="G514">
        <v>76100</v>
      </c>
      <c r="H514">
        <v>9</v>
      </c>
      <c r="I514" s="19">
        <v>92.783000000000001</v>
      </c>
      <c r="J514" s="19">
        <v>92.21</v>
      </c>
      <c r="K514" s="19">
        <v>4.5810000000000004</v>
      </c>
      <c r="L514" s="19">
        <v>81.553399999999996</v>
      </c>
      <c r="M514" s="19">
        <v>-31181000000</v>
      </c>
      <c r="N514" s="19">
        <v>103.79689999999999</v>
      </c>
      <c r="O514">
        <v>31.32</v>
      </c>
      <c r="P514">
        <v>15.481</v>
      </c>
      <c r="Q514" s="19">
        <v>24946.304</v>
      </c>
      <c r="R514" s="19">
        <v>20014.474900000001</v>
      </c>
      <c r="S514" s="19">
        <v>0.17469999999999999</v>
      </c>
      <c r="T514" s="19">
        <v>37291.504800000002</v>
      </c>
      <c r="U514" s="19">
        <v>26665.837299999999</v>
      </c>
      <c r="V514">
        <v>36.6</v>
      </c>
      <c r="W514" s="19">
        <v>82.524299999999997</v>
      </c>
      <c r="X514">
        <v>97</v>
      </c>
      <c r="Y514">
        <v>97</v>
      </c>
      <c r="Z514">
        <v>97</v>
      </c>
      <c r="AA514">
        <v>3.2</v>
      </c>
      <c r="AB514">
        <v>44.1</v>
      </c>
      <c r="AC514">
        <v>78.5244</v>
      </c>
      <c r="AE514">
        <v>9</v>
      </c>
      <c r="AF514">
        <v>92.270099999999999</v>
      </c>
      <c r="AG514">
        <v>12.1</v>
      </c>
      <c r="AH514">
        <v>0.12</v>
      </c>
      <c r="AI514">
        <v>4</v>
      </c>
      <c r="AJ514">
        <v>3.6</v>
      </c>
      <c r="AK514">
        <v>4.4000000000000004</v>
      </c>
      <c r="AL514">
        <v>58.162199999999999</v>
      </c>
      <c r="AM514">
        <v>2.1</v>
      </c>
      <c r="AN514">
        <v>9478</v>
      </c>
      <c r="AO514">
        <v>0</v>
      </c>
      <c r="AP514">
        <v>99.164699999999996</v>
      </c>
      <c r="AQ514">
        <v>98.530299999999997</v>
      </c>
      <c r="AR514">
        <v>93.959400000000002</v>
      </c>
      <c r="AS514">
        <v>59.477800000000002</v>
      </c>
      <c r="AT514">
        <v>68.391400000000004</v>
      </c>
      <c r="AU514">
        <v>11.4411</v>
      </c>
      <c r="AV514" s="19">
        <v>81.25</v>
      </c>
      <c r="AW514">
        <v>0.1</v>
      </c>
      <c r="AX514">
        <v>17.899999999999999</v>
      </c>
      <c r="AZ514">
        <v>6</v>
      </c>
      <c r="BA514">
        <v>64.768799999999999</v>
      </c>
      <c r="BB514">
        <v>28.260899999999999</v>
      </c>
      <c r="BC514">
        <v>5.9896000000000003</v>
      </c>
      <c r="BD514" s="19">
        <v>0.31900000000000001</v>
      </c>
      <c r="BE514" s="19">
        <v>82.524299999999997</v>
      </c>
      <c r="BF514">
        <v>32.933</v>
      </c>
      <c r="BG514">
        <v>23.2</v>
      </c>
      <c r="BH514" s="20">
        <v>1.4433</v>
      </c>
      <c r="BI514" s="20">
        <v>3827.1655000000001</v>
      </c>
      <c r="BJ514" s="19">
        <v>83.653800000000004</v>
      </c>
      <c r="BK514">
        <v>0.94520000000000004</v>
      </c>
      <c r="BL514">
        <v>0.99770000000000003</v>
      </c>
      <c r="BM514">
        <v>1.0582</v>
      </c>
      <c r="BN514">
        <v>6</v>
      </c>
      <c r="BO514">
        <v>10.231</v>
      </c>
      <c r="BP514">
        <v>13.03</v>
      </c>
      <c r="BQ514" s="19">
        <v>93.844700000000003</v>
      </c>
      <c r="BR514">
        <v>77.753799999999998</v>
      </c>
      <c r="BS514" s="20">
        <v>7.5529999999999999</v>
      </c>
      <c r="BT514" s="20">
        <v>7.5529999999999999</v>
      </c>
      <c r="BU514" s="20">
        <v>16.663</v>
      </c>
      <c r="BV514" s="20">
        <v>16.663</v>
      </c>
      <c r="BW514" s="19">
        <v>89.423100000000005</v>
      </c>
      <c r="BX514">
        <v>34.67</v>
      </c>
      <c r="BY514" s="5">
        <v>14400260</v>
      </c>
      <c r="BZ514" s="6">
        <v>47328837</v>
      </c>
      <c r="CA514" s="7">
        <f t="shared" si="35"/>
        <v>3.2866654490960578</v>
      </c>
      <c r="CB514">
        <v>10558177</v>
      </c>
      <c r="CC514" s="8">
        <f t="shared" si="36"/>
        <v>4.4826712982743135</v>
      </c>
      <c r="CD514" s="8">
        <f t="shared" si="37"/>
        <v>1.3638964378036094</v>
      </c>
      <c r="CE514">
        <v>89103</v>
      </c>
      <c r="CF514" s="8">
        <f t="shared" si="38"/>
        <v>161.61363814910834</v>
      </c>
      <c r="CG514" s="8">
        <f t="shared" si="39"/>
        <v>531.169960607387</v>
      </c>
      <c r="CH514">
        <v>100.9207</v>
      </c>
    </row>
    <row r="515" spans="1:86" ht="15.5" x14ac:dyDescent="0.35">
      <c r="A515" t="s">
        <v>107</v>
      </c>
      <c r="B515">
        <v>2009</v>
      </c>
      <c r="C515" s="2">
        <v>50.456800000000001</v>
      </c>
      <c r="D515">
        <v>100715.4</v>
      </c>
      <c r="E515">
        <v>0.1537</v>
      </c>
      <c r="F515">
        <v>5.5484999999999998</v>
      </c>
      <c r="G515">
        <v>72900</v>
      </c>
      <c r="H515">
        <v>12</v>
      </c>
      <c r="I515" s="19">
        <v>91.944999999999993</v>
      </c>
      <c r="J515" s="19">
        <v>92.08</v>
      </c>
      <c r="K515" s="19">
        <v>3.16</v>
      </c>
      <c r="L515" s="19">
        <v>81.818200000000004</v>
      </c>
      <c r="M515" s="19">
        <v>-25310000000</v>
      </c>
      <c r="N515" s="19">
        <v>80.314999999999998</v>
      </c>
      <c r="O515">
        <v>34.402000000000001</v>
      </c>
      <c r="P515">
        <v>18.076599999999999</v>
      </c>
      <c r="Q515" s="19">
        <v>23126.079000000002</v>
      </c>
      <c r="R515" s="19">
        <v>19371.1319</v>
      </c>
      <c r="S515" s="19">
        <v>-3.2143999999999999</v>
      </c>
      <c r="T515" s="19">
        <v>36092.810899999997</v>
      </c>
      <c r="U515" s="19">
        <v>26458.109700000001</v>
      </c>
      <c r="V515">
        <v>34.9</v>
      </c>
      <c r="W515" s="19">
        <v>83.253600000000006</v>
      </c>
      <c r="X515">
        <v>96</v>
      </c>
      <c r="Y515">
        <v>96</v>
      </c>
      <c r="Z515">
        <v>95</v>
      </c>
      <c r="AA515">
        <v>3.1</v>
      </c>
      <c r="AB515">
        <v>48.3</v>
      </c>
      <c r="AC515">
        <v>78.726799999999997</v>
      </c>
      <c r="AE515">
        <v>9</v>
      </c>
      <c r="AF515">
        <v>92.339200000000005</v>
      </c>
      <c r="AG515">
        <v>12</v>
      </c>
      <c r="AH515">
        <v>0.17</v>
      </c>
      <c r="AI515">
        <v>3.9</v>
      </c>
      <c r="AJ515">
        <v>3.5</v>
      </c>
      <c r="AK515">
        <v>4.3</v>
      </c>
      <c r="AL515">
        <v>58.448</v>
      </c>
      <c r="AM515">
        <v>2.1</v>
      </c>
      <c r="AN515">
        <v>14532</v>
      </c>
      <c r="AO515">
        <v>0</v>
      </c>
      <c r="AP515">
        <v>99.1631</v>
      </c>
      <c r="AQ515">
        <v>98.646900000000002</v>
      </c>
      <c r="AR515">
        <v>94.001900000000006</v>
      </c>
      <c r="AS515">
        <v>61.3673</v>
      </c>
      <c r="AT515">
        <v>70.970799999999997</v>
      </c>
      <c r="AU515">
        <v>10.98</v>
      </c>
      <c r="AV515" s="19">
        <v>72.985799999999998</v>
      </c>
      <c r="AW515">
        <v>0.2</v>
      </c>
      <c r="AX515">
        <v>17.899999999999999</v>
      </c>
      <c r="AZ515">
        <v>6</v>
      </c>
      <c r="BA515">
        <v>67.126000000000005</v>
      </c>
      <c r="BB515">
        <v>27.391300000000001</v>
      </c>
      <c r="BC515">
        <v>6.4638999999999998</v>
      </c>
      <c r="BD515" s="19">
        <v>-3.1219999999999999</v>
      </c>
      <c r="BE515" s="19">
        <v>79.425799999999995</v>
      </c>
      <c r="BF515">
        <v>37.875500000000002</v>
      </c>
      <c r="BG515">
        <v>24.9</v>
      </c>
      <c r="BH515" s="20">
        <v>1.58</v>
      </c>
      <c r="BI515" s="20">
        <v>3768.6156999999998</v>
      </c>
      <c r="BJ515" s="19">
        <v>83.412300000000002</v>
      </c>
      <c r="BK515">
        <v>0.96609999999999996</v>
      </c>
      <c r="BL515">
        <v>1.0029999999999999</v>
      </c>
      <c r="BM515">
        <v>1.0431999999999999</v>
      </c>
      <c r="BN515">
        <v>6</v>
      </c>
      <c r="BO515">
        <v>11.207000000000001</v>
      </c>
      <c r="BP515">
        <v>13.01</v>
      </c>
      <c r="BQ515" s="19">
        <v>97.9452</v>
      </c>
      <c r="BR515">
        <v>72.505600000000001</v>
      </c>
      <c r="BS515" s="20">
        <v>9.4320000000000004</v>
      </c>
      <c r="BT515" s="20">
        <v>9.4320000000000004</v>
      </c>
      <c r="BU515" s="20">
        <v>20.308</v>
      </c>
      <c r="BV515" s="20">
        <v>20.309000000000001</v>
      </c>
      <c r="BW515" s="19">
        <v>86.729900000000001</v>
      </c>
      <c r="BX515">
        <v>37.18</v>
      </c>
      <c r="BY515" s="5">
        <v>14088295</v>
      </c>
      <c r="BZ515" s="6">
        <v>44364742</v>
      </c>
      <c r="CA515" s="7">
        <f t="shared" ref="CA515:CA578" si="40">BZ515/BY515</f>
        <v>3.1490497608120784</v>
      </c>
      <c r="CB515">
        <v>10568247</v>
      </c>
      <c r="CC515" s="8">
        <f t="shared" ref="CC515:CC578" si="41">BZ515/CB515</f>
        <v>4.197928189982691</v>
      </c>
      <c r="CD515" s="8">
        <f t="shared" ref="CD515:CD578" si="42">BY515/CB515</f>
        <v>1.3330777564150422</v>
      </c>
      <c r="CE515">
        <v>89103</v>
      </c>
      <c r="CF515" s="8">
        <f t="shared" ref="CF515:CF578" si="43">BY515/CE515</f>
        <v>158.11246534909037</v>
      </c>
      <c r="CG515" s="8">
        <f t="shared" ref="CG515:CG578" si="44">BZ515/CE515</f>
        <v>497.90402118896111</v>
      </c>
      <c r="CH515">
        <v>100.44973</v>
      </c>
    </row>
    <row r="516" spans="1:86" ht="15.5" x14ac:dyDescent="0.35">
      <c r="A516" t="s">
        <v>107</v>
      </c>
      <c r="B516">
        <v>2010</v>
      </c>
      <c r="C516" s="2">
        <v>50.840600000000002</v>
      </c>
      <c r="D516">
        <v>97425.35</v>
      </c>
      <c r="E516">
        <v>0.1376</v>
      </c>
      <c r="F516">
        <v>5.0502000000000002</v>
      </c>
      <c r="G516">
        <v>68900</v>
      </c>
      <c r="H516">
        <v>12</v>
      </c>
      <c r="I516" s="19">
        <v>93.224000000000004</v>
      </c>
      <c r="J516" s="19">
        <v>94.33</v>
      </c>
      <c r="K516" s="19">
        <v>4.1509999999999998</v>
      </c>
      <c r="L516" s="19">
        <v>81.428600000000003</v>
      </c>
      <c r="M516" s="19">
        <v>-24478000000</v>
      </c>
      <c r="N516" s="19">
        <v>89.753200000000007</v>
      </c>
      <c r="O516">
        <v>35.712000000000003</v>
      </c>
      <c r="P516">
        <v>20.1036</v>
      </c>
      <c r="Q516" s="19">
        <v>22570.36</v>
      </c>
      <c r="R516" s="19">
        <v>19698.683700000001</v>
      </c>
      <c r="S516" s="19">
        <v>1.6909000000000001</v>
      </c>
      <c r="T516" s="19">
        <v>36703.114099999999</v>
      </c>
      <c r="U516" s="19">
        <v>27295.103599999999</v>
      </c>
      <c r="V516">
        <v>35.799999999999997</v>
      </c>
      <c r="W516" s="19">
        <v>78.947400000000002</v>
      </c>
      <c r="X516">
        <v>98</v>
      </c>
      <c r="Y516">
        <v>97</v>
      </c>
      <c r="Z516">
        <v>96</v>
      </c>
      <c r="AA516">
        <v>3</v>
      </c>
      <c r="AB516">
        <v>53.3</v>
      </c>
      <c r="AC516">
        <v>79.026799999999994</v>
      </c>
      <c r="AE516">
        <v>10</v>
      </c>
      <c r="AF516">
        <v>93.104799999999997</v>
      </c>
      <c r="AG516">
        <v>11.2</v>
      </c>
      <c r="AH516">
        <v>0.17</v>
      </c>
      <c r="AI516">
        <v>3.8</v>
      </c>
      <c r="AJ516">
        <v>3.4</v>
      </c>
      <c r="AK516">
        <v>4.2</v>
      </c>
      <c r="AL516">
        <v>58.760800000000003</v>
      </c>
      <c r="AM516">
        <v>2.1</v>
      </c>
      <c r="AN516">
        <v>-5627</v>
      </c>
      <c r="AO516">
        <v>0</v>
      </c>
      <c r="AP516">
        <v>99.162800000000004</v>
      </c>
      <c r="AQ516">
        <v>98.761799999999994</v>
      </c>
      <c r="AR516">
        <v>94.123900000000006</v>
      </c>
      <c r="AS516">
        <v>63.362699999999997</v>
      </c>
      <c r="AT516">
        <v>73.574700000000007</v>
      </c>
      <c r="AU516">
        <v>10.7936</v>
      </c>
      <c r="AV516" s="19">
        <v>71.09</v>
      </c>
      <c r="AW516">
        <v>0.1</v>
      </c>
      <c r="AX516">
        <v>18</v>
      </c>
      <c r="AZ516">
        <v>6</v>
      </c>
      <c r="BA516">
        <v>69.547799999999995</v>
      </c>
      <c r="BB516">
        <v>27.391300000000001</v>
      </c>
      <c r="BC516">
        <v>6.6731999999999996</v>
      </c>
      <c r="BD516" s="19">
        <v>1.738</v>
      </c>
      <c r="BE516" s="19">
        <v>74.641199999999998</v>
      </c>
      <c r="BF516">
        <v>53.155700000000003</v>
      </c>
      <c r="BG516">
        <v>27.8</v>
      </c>
      <c r="BH516" s="20">
        <v>1.5353000000000001</v>
      </c>
      <c r="BI516" s="20">
        <v>3923.7554</v>
      </c>
      <c r="BJ516" s="19">
        <v>82.938400000000001</v>
      </c>
      <c r="BK516">
        <v>0.97009999999999996</v>
      </c>
      <c r="BL516">
        <v>0.99839999999999995</v>
      </c>
      <c r="BM516">
        <v>1.028</v>
      </c>
      <c r="BN516">
        <v>6</v>
      </c>
      <c r="BO516">
        <v>11.438000000000001</v>
      </c>
      <c r="BP516">
        <v>13.58</v>
      </c>
      <c r="BQ516" s="19">
        <v>96.303600000000003</v>
      </c>
      <c r="BR516">
        <v>68.886399999999995</v>
      </c>
      <c r="BS516" s="20">
        <v>10.771000000000001</v>
      </c>
      <c r="BT516" s="20">
        <v>10.771000000000001</v>
      </c>
      <c r="BU516" s="20">
        <v>22.753</v>
      </c>
      <c r="BV516" s="20">
        <v>22.754000000000001</v>
      </c>
      <c r="BW516" s="19">
        <v>83.886300000000006</v>
      </c>
      <c r="BX516">
        <v>38.200000000000003</v>
      </c>
      <c r="BY516" s="5">
        <v>14502561</v>
      </c>
      <c r="BZ516" s="6">
        <v>45035005</v>
      </c>
      <c r="CA516" s="7">
        <f t="shared" si="40"/>
        <v>3.105313951101464</v>
      </c>
      <c r="CB516">
        <v>10573100</v>
      </c>
      <c r="CC516" s="8">
        <f t="shared" si="41"/>
        <v>4.2593945957193258</v>
      </c>
      <c r="CD516" s="8">
        <f t="shared" si="42"/>
        <v>1.3716470098646565</v>
      </c>
      <c r="CE516">
        <v>89103</v>
      </c>
      <c r="CF516" s="8">
        <f t="shared" si="43"/>
        <v>162.76175886333795</v>
      </c>
      <c r="CG516" s="8">
        <f t="shared" si="44"/>
        <v>505.42636050413569</v>
      </c>
      <c r="CH516">
        <v>99.720929999999996</v>
      </c>
    </row>
    <row r="517" spans="1:86" ht="15.5" x14ac:dyDescent="0.35">
      <c r="A517" t="s">
        <v>107</v>
      </c>
      <c r="B517">
        <v>2011</v>
      </c>
      <c r="C517" s="2">
        <v>51.318199999999997</v>
      </c>
      <c r="D517">
        <v>91807.19</v>
      </c>
      <c r="E517">
        <v>0.1351</v>
      </c>
      <c r="F517">
        <v>4.8822999999999999</v>
      </c>
      <c r="G517">
        <v>67700</v>
      </c>
      <c r="H517">
        <v>12</v>
      </c>
      <c r="I517" s="19">
        <v>96.537999999999997</v>
      </c>
      <c r="J517" s="19">
        <v>97.63</v>
      </c>
      <c r="K517" s="19">
        <v>4.6689999999999996</v>
      </c>
      <c r="L517" s="19">
        <v>81.516599999999997</v>
      </c>
      <c r="M517" s="19">
        <v>-14977000000</v>
      </c>
      <c r="N517" s="19">
        <v>108.3021</v>
      </c>
      <c r="O517">
        <v>26.152999999999999</v>
      </c>
      <c r="P517">
        <v>21.2468</v>
      </c>
      <c r="Q517" s="19">
        <v>23224.223999999998</v>
      </c>
      <c r="R517" s="19">
        <v>19389.639599999999</v>
      </c>
      <c r="S517" s="19">
        <v>-1.5689</v>
      </c>
      <c r="T517" s="19">
        <v>36127.294900000001</v>
      </c>
      <c r="U517" s="19">
        <v>26803.233700000001</v>
      </c>
      <c r="V517">
        <v>36.299999999999997</v>
      </c>
      <c r="W517" s="19">
        <v>76.777299999999997</v>
      </c>
      <c r="X517">
        <v>97</v>
      </c>
      <c r="Y517">
        <v>97</v>
      </c>
      <c r="Z517">
        <v>97</v>
      </c>
      <c r="AA517">
        <v>3</v>
      </c>
      <c r="AB517">
        <v>55.3</v>
      </c>
      <c r="AC517">
        <v>80.470699999999994</v>
      </c>
      <c r="AE517">
        <v>10</v>
      </c>
      <c r="AF517">
        <v>93.478800000000007</v>
      </c>
      <c r="AG517">
        <v>10.8</v>
      </c>
      <c r="AH517">
        <v>0.15</v>
      </c>
      <c r="AI517">
        <v>3.7</v>
      </c>
      <c r="AJ517">
        <v>3.4</v>
      </c>
      <c r="AK517">
        <v>4.0999999999999996</v>
      </c>
      <c r="AL517">
        <v>59.2624</v>
      </c>
      <c r="AM517">
        <v>2.1</v>
      </c>
      <c r="AN517">
        <v>-31513</v>
      </c>
      <c r="AO517">
        <v>0</v>
      </c>
      <c r="AP517">
        <v>99.163899999999998</v>
      </c>
      <c r="AQ517">
        <v>98.875</v>
      </c>
      <c r="AR517">
        <v>94.244600000000005</v>
      </c>
      <c r="AS517">
        <v>65.463999999999999</v>
      </c>
      <c r="AT517">
        <v>76.2029</v>
      </c>
      <c r="AU517">
        <v>11.5158</v>
      </c>
      <c r="AV517" s="19">
        <v>69.668199999999999</v>
      </c>
      <c r="AW517">
        <v>0.5</v>
      </c>
      <c r="AX517">
        <v>17.899999999999999</v>
      </c>
      <c r="AZ517">
        <v>6</v>
      </c>
      <c r="BA517">
        <v>72.032700000000006</v>
      </c>
      <c r="BB517">
        <v>28.695699999999999</v>
      </c>
      <c r="BC517">
        <v>6.2769000000000004</v>
      </c>
      <c r="BD517" s="19">
        <v>-1.714</v>
      </c>
      <c r="BE517" s="19">
        <v>71.09</v>
      </c>
      <c r="BF517">
        <v>47.063000000000002</v>
      </c>
      <c r="BG517">
        <v>27.2</v>
      </c>
      <c r="BH517" s="20">
        <v>1.4574</v>
      </c>
      <c r="BI517" s="20">
        <v>4166.1489000000001</v>
      </c>
      <c r="BJ517" s="19">
        <v>80.281700000000001</v>
      </c>
      <c r="BK517">
        <v>0.97130000000000005</v>
      </c>
      <c r="BL517">
        <v>0.99470000000000003</v>
      </c>
      <c r="BM517">
        <v>1.0185</v>
      </c>
      <c r="BN517">
        <v>6</v>
      </c>
      <c r="BO517">
        <v>12.552</v>
      </c>
      <c r="BP517">
        <v>12.27</v>
      </c>
      <c r="BQ517" s="19">
        <v>94.679299999999998</v>
      </c>
      <c r="BR517">
        <v>60.631799999999998</v>
      </c>
      <c r="BS517" s="20">
        <v>12.682</v>
      </c>
      <c r="BT517" s="20">
        <v>12.682</v>
      </c>
      <c r="BU517" s="20">
        <v>30.260999999999999</v>
      </c>
      <c r="BV517" s="20">
        <v>30.257000000000001</v>
      </c>
      <c r="BW517" s="19">
        <v>84.507000000000005</v>
      </c>
      <c r="BX517">
        <v>39.28</v>
      </c>
      <c r="BY517" s="5">
        <v>14849806</v>
      </c>
      <c r="BZ517" s="6">
        <v>46857858</v>
      </c>
      <c r="CA517" s="7">
        <f t="shared" si="40"/>
        <v>3.1554525358782466</v>
      </c>
      <c r="CB517">
        <v>10557560</v>
      </c>
      <c r="CC517" s="8">
        <f t="shared" si="41"/>
        <v>4.4383226806193852</v>
      </c>
      <c r="CD517" s="8">
        <f t="shared" si="42"/>
        <v>1.4065566286149451</v>
      </c>
      <c r="CE517">
        <v>89103</v>
      </c>
      <c r="CF517" s="8">
        <f t="shared" si="43"/>
        <v>166.65887792779142</v>
      </c>
      <c r="CG517" s="8">
        <f t="shared" si="44"/>
        <v>525.88417898387263</v>
      </c>
      <c r="CH517">
        <v>100.42092</v>
      </c>
    </row>
    <row r="518" spans="1:86" ht="15.5" x14ac:dyDescent="0.35">
      <c r="A518" s="9" t="s">
        <v>107</v>
      </c>
      <c r="B518" s="9">
        <v>2012</v>
      </c>
      <c r="C518" s="10">
        <v>51.8476</v>
      </c>
      <c r="D518" s="9">
        <v>87598.3</v>
      </c>
      <c r="E518" s="9">
        <v>0.13639999999999999</v>
      </c>
      <c r="F518" s="9">
        <v>4.7484000000000002</v>
      </c>
      <c r="G518" s="9">
        <v>65800</v>
      </c>
      <c r="H518" s="9">
        <v>12</v>
      </c>
      <c r="I518" s="21">
        <v>99.218000000000004</v>
      </c>
      <c r="J518" s="21">
        <v>99.67</v>
      </c>
      <c r="K518" s="21">
        <v>3.8420000000000001</v>
      </c>
      <c r="L518" s="21">
        <v>79.620800000000003</v>
      </c>
      <c r="M518" s="21">
        <v>-3225000000</v>
      </c>
      <c r="N518" s="21">
        <v>105.5284</v>
      </c>
      <c r="O518" s="9">
        <v>27.902000000000001</v>
      </c>
      <c r="P518" s="9">
        <v>22.7408</v>
      </c>
      <c r="Q518" s="21">
        <v>20574.027999999998</v>
      </c>
      <c r="R518" s="21">
        <v>18679.762699999999</v>
      </c>
      <c r="S518" s="21">
        <v>-3.6610999999999998</v>
      </c>
      <c r="T518" s="21">
        <v>34804.633300000001</v>
      </c>
      <c r="U518" s="21">
        <v>26476.2183</v>
      </c>
      <c r="V518" s="9">
        <v>36</v>
      </c>
      <c r="W518" s="21">
        <v>79.146900000000002</v>
      </c>
      <c r="X518" s="9">
        <v>98</v>
      </c>
      <c r="Y518" s="9">
        <v>98</v>
      </c>
      <c r="Z518" s="9">
        <v>97</v>
      </c>
      <c r="AA518" s="9">
        <v>3</v>
      </c>
      <c r="AB518" s="9">
        <v>60.3</v>
      </c>
      <c r="AC518" s="9">
        <v>80.373199999999997</v>
      </c>
      <c r="AD518" s="9"/>
      <c r="AE518" s="9">
        <v>10</v>
      </c>
      <c r="AF518" s="9">
        <v>93.471400000000003</v>
      </c>
      <c r="AG518" s="9">
        <v>8</v>
      </c>
      <c r="AH518" s="9">
        <v>0.11</v>
      </c>
      <c r="AI518" s="9">
        <v>3.7</v>
      </c>
      <c r="AJ518" s="9">
        <v>3.3</v>
      </c>
      <c r="AK518" s="9">
        <v>4</v>
      </c>
      <c r="AL518" s="9">
        <v>60.400500000000001</v>
      </c>
      <c r="AM518" s="9">
        <v>2.1</v>
      </c>
      <c r="AN518" s="9">
        <v>-37083</v>
      </c>
      <c r="AO518" s="9">
        <v>0</v>
      </c>
      <c r="AP518" s="9">
        <v>99.166300000000007</v>
      </c>
      <c r="AQ518" s="9">
        <v>98.986599999999996</v>
      </c>
      <c r="AR518" s="9">
        <v>94.363699999999994</v>
      </c>
      <c r="AS518" s="9">
        <v>67.671199999999999</v>
      </c>
      <c r="AT518" s="9">
        <v>78.855699999999999</v>
      </c>
      <c r="AU518" s="9">
        <v>10.1152</v>
      </c>
      <c r="AV518" s="21">
        <v>70.616100000000003</v>
      </c>
      <c r="AW518" s="9">
        <v>0.7</v>
      </c>
      <c r="AX518" s="9">
        <v>18.7</v>
      </c>
      <c r="AY518" s="9"/>
      <c r="AZ518" s="9">
        <v>6</v>
      </c>
      <c r="BA518" s="9">
        <v>74.579099999999997</v>
      </c>
      <c r="BB518" s="9">
        <v>28.695699999999999</v>
      </c>
      <c r="BC518" s="9">
        <v>5.9158999999999997</v>
      </c>
      <c r="BD518" s="21">
        <v>-4.0510000000000002</v>
      </c>
      <c r="BE518" s="21">
        <v>75.355500000000006</v>
      </c>
      <c r="BF518" s="9">
        <v>43.784300000000002</v>
      </c>
      <c r="BG518" s="9">
        <v>25.5</v>
      </c>
      <c r="BH518" s="22">
        <v>1.3786</v>
      </c>
      <c r="BI518" s="22">
        <v>4032.3357000000001</v>
      </c>
      <c r="BJ518" s="21">
        <v>82.629099999999994</v>
      </c>
      <c r="BK518" s="9">
        <v>0.97130000000000005</v>
      </c>
      <c r="BL518" s="9">
        <v>0.98529999999999995</v>
      </c>
      <c r="BM518" s="9">
        <v>0.99880000000000002</v>
      </c>
      <c r="BN518" s="9">
        <v>6</v>
      </c>
      <c r="BO518" s="9">
        <v>13.909000000000001</v>
      </c>
      <c r="BP518" s="9">
        <v>13.5</v>
      </c>
      <c r="BQ518" s="21">
        <v>94.346299999999999</v>
      </c>
      <c r="BR518" s="9">
        <v>51.020200000000003</v>
      </c>
      <c r="BS518" s="22">
        <v>15.531000000000001</v>
      </c>
      <c r="BT518" s="22">
        <v>15.531000000000001</v>
      </c>
      <c r="BU518" s="22">
        <v>37.917000000000002</v>
      </c>
      <c r="BV518" s="22">
        <v>37.917000000000002</v>
      </c>
      <c r="BW518" s="21">
        <v>81.220699999999994</v>
      </c>
      <c r="BX518" s="9">
        <v>38.380000000000003</v>
      </c>
      <c r="BY518" s="14">
        <v>14645363</v>
      </c>
      <c r="BZ518" s="6">
        <v>46781091</v>
      </c>
      <c r="CA518" s="7">
        <f t="shared" si="40"/>
        <v>3.1942595755393706</v>
      </c>
      <c r="CB518">
        <v>10514844</v>
      </c>
      <c r="CC518" s="8">
        <f t="shared" si="41"/>
        <v>4.4490523111897806</v>
      </c>
      <c r="CD518" s="8">
        <f t="shared" si="42"/>
        <v>1.3928274161746954</v>
      </c>
      <c r="CE518">
        <v>89103</v>
      </c>
      <c r="CF518" s="8">
        <f t="shared" si="43"/>
        <v>164.36442095103419</v>
      </c>
      <c r="CG518" s="8">
        <f t="shared" si="44"/>
        <v>525.02262550082492</v>
      </c>
      <c r="CH518" s="9">
        <v>100.73591</v>
      </c>
    </row>
    <row r="519" spans="1:86" ht="15.5" x14ac:dyDescent="0.35">
      <c r="A519" t="s">
        <v>107</v>
      </c>
      <c r="B519">
        <v>2013</v>
      </c>
      <c r="C519" s="2">
        <v>52.451999999999998</v>
      </c>
      <c r="D519">
        <v>85439.91</v>
      </c>
      <c r="E519">
        <v>0.1333</v>
      </c>
      <c r="F519">
        <v>4.6181999999999999</v>
      </c>
      <c r="G519">
        <v>64000</v>
      </c>
      <c r="H519">
        <v>12</v>
      </c>
      <c r="I519" s="19">
        <v>99.653999999999996</v>
      </c>
      <c r="J519" s="19">
        <v>99.84</v>
      </c>
      <c r="K519" s="19">
        <v>3.1909999999999998</v>
      </c>
      <c r="L519" s="19">
        <v>79.146900000000002</v>
      </c>
      <c r="M519" s="19">
        <v>3477000000</v>
      </c>
      <c r="N519" s="19">
        <v>114.0806</v>
      </c>
      <c r="O519">
        <v>27.605</v>
      </c>
      <c r="P519">
        <v>24.510300000000001</v>
      </c>
      <c r="Q519" s="19">
        <v>21642.243999999999</v>
      </c>
      <c r="R519" s="19">
        <v>18597.721399999999</v>
      </c>
      <c r="S519" s="19">
        <v>-0.43919999999999998</v>
      </c>
      <c r="T519" s="19">
        <v>34651.771800000002</v>
      </c>
      <c r="U519" s="19">
        <v>27966.0874</v>
      </c>
      <c r="V519">
        <v>36.200000000000003</v>
      </c>
      <c r="W519" s="19">
        <v>83.886300000000006</v>
      </c>
      <c r="X519">
        <v>98</v>
      </c>
      <c r="Y519">
        <v>98</v>
      </c>
      <c r="Z519">
        <v>98</v>
      </c>
      <c r="AA519">
        <v>2.9</v>
      </c>
      <c r="AB519">
        <v>62.1</v>
      </c>
      <c r="AC519">
        <v>80.721999999999994</v>
      </c>
      <c r="AE519">
        <v>10</v>
      </c>
      <c r="AF519">
        <v>92.970600000000005</v>
      </c>
      <c r="AG519">
        <v>7.9</v>
      </c>
      <c r="AH519">
        <v>0.24</v>
      </c>
      <c r="AI519">
        <v>3.6</v>
      </c>
      <c r="AJ519">
        <v>3.3</v>
      </c>
      <c r="AK519">
        <v>4</v>
      </c>
      <c r="AL519">
        <v>60.974899999999998</v>
      </c>
      <c r="AM519">
        <v>2.1</v>
      </c>
      <c r="AN519">
        <v>-36342</v>
      </c>
      <c r="AO519">
        <v>0</v>
      </c>
      <c r="AP519">
        <v>99.170100000000005</v>
      </c>
      <c r="AQ519">
        <v>99.096500000000006</v>
      </c>
      <c r="AR519">
        <v>94.452399999999997</v>
      </c>
      <c r="AS519">
        <v>69.984200000000001</v>
      </c>
      <c r="AT519">
        <v>81.532899999999998</v>
      </c>
      <c r="AU519">
        <v>9.7683</v>
      </c>
      <c r="AV519" s="19">
        <v>68.720399999999998</v>
      </c>
      <c r="AW519">
        <v>0.9</v>
      </c>
      <c r="AX519">
        <v>19.5</v>
      </c>
      <c r="AZ519">
        <v>6</v>
      </c>
      <c r="BA519">
        <v>77.185000000000002</v>
      </c>
      <c r="BB519">
        <v>31.304300000000001</v>
      </c>
      <c r="BC519">
        <v>5.8582000000000001</v>
      </c>
      <c r="BD519" s="19">
        <v>-0.98399999999999999</v>
      </c>
      <c r="BE519" s="19">
        <v>75.355500000000006</v>
      </c>
      <c r="BF519">
        <v>59.237400000000001</v>
      </c>
      <c r="BG519">
        <v>30.2</v>
      </c>
      <c r="BH519" s="20">
        <v>1.3247</v>
      </c>
      <c r="BI519" s="20">
        <v>3605.7583</v>
      </c>
      <c r="BJ519" s="19">
        <v>83.098600000000005</v>
      </c>
      <c r="BK519">
        <v>0.96489999999999998</v>
      </c>
      <c r="BL519">
        <v>0.97589999999999999</v>
      </c>
      <c r="BM519">
        <v>0.98480000000000001</v>
      </c>
      <c r="BN519">
        <v>6</v>
      </c>
      <c r="BO519">
        <v>14.071</v>
      </c>
      <c r="BP519">
        <v>12.5</v>
      </c>
      <c r="BQ519" s="19">
        <v>95.850300000000004</v>
      </c>
      <c r="BR519">
        <v>50.026000000000003</v>
      </c>
      <c r="BS519" s="20">
        <v>16.187999999999999</v>
      </c>
      <c r="BT519" s="20">
        <v>16.187999999999999</v>
      </c>
      <c r="BU519" s="20">
        <v>38.085999999999999</v>
      </c>
      <c r="BV519" s="20">
        <v>38.097999999999999</v>
      </c>
      <c r="BW519" s="19">
        <v>82.629099999999994</v>
      </c>
      <c r="BX519">
        <v>38.36</v>
      </c>
      <c r="BY519" s="5">
        <v>15901257</v>
      </c>
      <c r="BZ519" s="6">
        <v>49888259</v>
      </c>
      <c r="CA519" s="7">
        <f t="shared" si="40"/>
        <v>3.1373783217263891</v>
      </c>
      <c r="CB519">
        <v>10457295</v>
      </c>
      <c r="CC519" s="8">
        <f t="shared" si="41"/>
        <v>4.7706657409970745</v>
      </c>
      <c r="CD519" s="8">
        <f t="shared" si="42"/>
        <v>1.5205898848602817</v>
      </c>
      <c r="CE519">
        <v>89103</v>
      </c>
      <c r="CF519" s="8">
        <f t="shared" si="43"/>
        <v>178.45927746540519</v>
      </c>
      <c r="CG519" s="8">
        <f t="shared" si="44"/>
        <v>559.89426843091701</v>
      </c>
      <c r="CH519">
        <v>99.805639999999997</v>
      </c>
    </row>
    <row r="520" spans="1:86" ht="15.5" x14ac:dyDescent="0.35">
      <c r="A520" t="s">
        <v>107</v>
      </c>
      <c r="B520">
        <v>2014</v>
      </c>
      <c r="C520" s="2">
        <v>53.0685</v>
      </c>
      <c r="D520">
        <v>84069.65</v>
      </c>
      <c r="E520">
        <v>0.13100000000000001</v>
      </c>
      <c r="F520">
        <v>4.5978000000000003</v>
      </c>
      <c r="G520">
        <v>63900</v>
      </c>
      <c r="H520">
        <v>12</v>
      </c>
      <c r="I520" s="19">
        <v>99.495000000000005</v>
      </c>
      <c r="J520" s="19">
        <v>99.57</v>
      </c>
      <c r="K520" s="19">
        <v>2.8130000000000002</v>
      </c>
      <c r="L520" s="19">
        <v>79.326899999999995</v>
      </c>
      <c r="M520" s="19">
        <v>789000000</v>
      </c>
      <c r="N520" s="19">
        <v>115.96080000000001</v>
      </c>
      <c r="O520">
        <v>31.838000000000001</v>
      </c>
      <c r="P520">
        <v>27.462199999999999</v>
      </c>
      <c r="Q520" s="19">
        <v>22086.991000000002</v>
      </c>
      <c r="R520" s="19">
        <v>18836.896799999999</v>
      </c>
      <c r="S520" s="19">
        <v>1.286</v>
      </c>
      <c r="T520" s="19">
        <v>35097.409699999997</v>
      </c>
      <c r="U520" s="19">
        <v>28764.5255</v>
      </c>
      <c r="V520">
        <v>35.6</v>
      </c>
      <c r="W520" s="19">
        <v>79.326899999999995</v>
      </c>
      <c r="X520">
        <v>98</v>
      </c>
      <c r="Y520">
        <v>98</v>
      </c>
      <c r="Z520">
        <v>98</v>
      </c>
      <c r="AA520">
        <v>2.9</v>
      </c>
      <c r="AB520">
        <v>64.599999999999994</v>
      </c>
      <c r="AC520">
        <v>81.122</v>
      </c>
      <c r="AE520">
        <v>11</v>
      </c>
      <c r="AF520">
        <v>93.128799999999998</v>
      </c>
      <c r="AG520">
        <v>8.5</v>
      </c>
      <c r="AH520">
        <v>0.28000000000000003</v>
      </c>
      <c r="AI520">
        <v>3.6</v>
      </c>
      <c r="AJ520">
        <v>3.3</v>
      </c>
      <c r="AK520">
        <v>4</v>
      </c>
      <c r="AL520">
        <v>62.243000000000002</v>
      </c>
      <c r="AM520">
        <v>2.1</v>
      </c>
      <c r="AN520">
        <v>-26447</v>
      </c>
      <c r="AO520">
        <v>0</v>
      </c>
      <c r="AP520">
        <v>99.175200000000004</v>
      </c>
      <c r="AQ520">
        <v>99.204899999999995</v>
      </c>
      <c r="AR520">
        <v>94.538899999999998</v>
      </c>
      <c r="AS520">
        <v>72.403000000000006</v>
      </c>
      <c r="AT520">
        <v>84.234499999999997</v>
      </c>
      <c r="AU520">
        <v>9.5058000000000007</v>
      </c>
      <c r="AV520" s="19">
        <v>74.285700000000006</v>
      </c>
      <c r="AW520">
        <v>0.5</v>
      </c>
      <c r="AX520">
        <v>19.5</v>
      </c>
      <c r="AZ520">
        <v>6</v>
      </c>
      <c r="BA520">
        <v>79.849299999999999</v>
      </c>
      <c r="BB520">
        <v>31.304300000000001</v>
      </c>
      <c r="BC520">
        <v>5.7683</v>
      </c>
      <c r="BD520" s="19">
        <v>0.74099999999999999</v>
      </c>
      <c r="BE520" s="19">
        <v>74.038499999999999</v>
      </c>
      <c r="BF520">
        <v>61.369</v>
      </c>
      <c r="BG520">
        <v>30.5</v>
      </c>
      <c r="BH520" s="20">
        <v>1.2899</v>
      </c>
      <c r="BI520" s="20">
        <v>3658.3622999999998</v>
      </c>
      <c r="BJ520" s="19">
        <v>84.134600000000006</v>
      </c>
      <c r="BK520">
        <v>0.95830000000000004</v>
      </c>
      <c r="BL520">
        <v>0.96819999999999995</v>
      </c>
      <c r="BM520">
        <v>0.97619999999999996</v>
      </c>
      <c r="BN520">
        <v>6</v>
      </c>
      <c r="BO520">
        <v>12.282</v>
      </c>
      <c r="BP520">
        <v>14.23</v>
      </c>
      <c r="BQ520" s="19">
        <v>97.097700000000003</v>
      </c>
      <c r="BR520">
        <v>55.561599999999999</v>
      </c>
      <c r="BS520" s="20">
        <v>13.897</v>
      </c>
      <c r="BT520" s="20">
        <v>13.897</v>
      </c>
      <c r="BU520" s="20">
        <v>34.753999999999998</v>
      </c>
      <c r="BV520" s="20">
        <v>34.774000000000001</v>
      </c>
      <c r="BW520" s="19">
        <v>82.758600000000001</v>
      </c>
      <c r="BX520">
        <v>39.520000000000003</v>
      </c>
      <c r="BY520" s="5">
        <v>17902297</v>
      </c>
      <c r="BZ520" s="6">
        <v>54979437</v>
      </c>
      <c r="CA520" s="7">
        <f t="shared" si="40"/>
        <v>3.0710828336721261</v>
      </c>
      <c r="CB520">
        <v>10401062</v>
      </c>
      <c r="CC520" s="8">
        <f t="shared" si="41"/>
        <v>5.2859445506622302</v>
      </c>
      <c r="CD520" s="8">
        <f t="shared" si="42"/>
        <v>1.7211989506456167</v>
      </c>
      <c r="CE520">
        <v>89103</v>
      </c>
      <c r="CF520" s="8">
        <f t="shared" si="43"/>
        <v>200.91688270877523</v>
      </c>
      <c r="CG520" s="8">
        <f t="shared" si="44"/>
        <v>617.03238948183559</v>
      </c>
      <c r="CH520">
        <v>99.510649999999998</v>
      </c>
    </row>
    <row r="521" spans="1:86" ht="15.5" x14ac:dyDescent="0.35">
      <c r="A521" t="s">
        <v>107</v>
      </c>
      <c r="B521">
        <v>2015</v>
      </c>
      <c r="C521" s="2">
        <v>53.546199999999999</v>
      </c>
      <c r="D521">
        <v>87596.19</v>
      </c>
      <c r="E521">
        <v>0.1399</v>
      </c>
      <c r="F521">
        <v>5.0083000000000002</v>
      </c>
      <c r="G521">
        <v>68200</v>
      </c>
      <c r="H521">
        <v>12</v>
      </c>
      <c r="I521" s="19">
        <v>100</v>
      </c>
      <c r="J521" s="19">
        <v>99.86</v>
      </c>
      <c r="K521" s="19">
        <v>2.79</v>
      </c>
      <c r="L521" s="19">
        <v>78.095200000000006</v>
      </c>
      <c r="M521" s="19">
        <v>1004999999.9999999</v>
      </c>
      <c r="N521" s="19">
        <v>100</v>
      </c>
      <c r="O521">
        <v>30.373999999999999</v>
      </c>
      <c r="P521">
        <v>30.3</v>
      </c>
      <c r="Q521" s="19">
        <v>19173.725999999999</v>
      </c>
      <c r="R521" s="19">
        <v>19215.781299999999</v>
      </c>
      <c r="S521" s="19">
        <v>2.0114000000000001</v>
      </c>
      <c r="T521" s="19">
        <v>35803.357499999998</v>
      </c>
      <c r="U521" s="19">
        <v>29615.956099999999</v>
      </c>
      <c r="V521">
        <v>35.5</v>
      </c>
      <c r="W521" s="19">
        <v>85.238100000000003</v>
      </c>
      <c r="X521">
        <v>98</v>
      </c>
      <c r="Y521">
        <v>98</v>
      </c>
      <c r="Z521">
        <v>98</v>
      </c>
      <c r="AA521">
        <v>2.9</v>
      </c>
      <c r="AB521">
        <v>68.599999999999994</v>
      </c>
      <c r="AC521">
        <v>81.124399999999994</v>
      </c>
      <c r="AE521">
        <v>11</v>
      </c>
      <c r="AF521">
        <v>93.365399999999994</v>
      </c>
      <c r="AG521">
        <v>8.3000000000000007</v>
      </c>
      <c r="AH521">
        <v>0.23</v>
      </c>
      <c r="AI521">
        <v>3.6</v>
      </c>
      <c r="AJ521">
        <v>3.3</v>
      </c>
      <c r="AK521">
        <v>4</v>
      </c>
      <c r="AL521">
        <v>62.7196</v>
      </c>
      <c r="AM521">
        <v>2.1</v>
      </c>
      <c r="AN521">
        <v>-3209</v>
      </c>
      <c r="AO521">
        <v>0</v>
      </c>
      <c r="AP521">
        <v>99.181600000000003</v>
      </c>
      <c r="AQ521">
        <v>99.311599999999999</v>
      </c>
      <c r="AR521">
        <v>94.6233</v>
      </c>
      <c r="AS521">
        <v>74.927800000000005</v>
      </c>
      <c r="AT521">
        <v>86.960599999999999</v>
      </c>
      <c r="AU521">
        <v>9.6425000000000001</v>
      </c>
      <c r="AV521" s="19">
        <v>78.095200000000006</v>
      </c>
      <c r="AW521">
        <v>0.5</v>
      </c>
      <c r="AX521">
        <v>19</v>
      </c>
      <c r="AZ521">
        <v>6</v>
      </c>
      <c r="BA521">
        <v>82.570300000000003</v>
      </c>
      <c r="BB521">
        <v>34.782600000000002</v>
      </c>
      <c r="BC521">
        <v>5.7454000000000001</v>
      </c>
      <c r="BD521" s="19">
        <v>1.59</v>
      </c>
      <c r="BE521" s="19">
        <v>79.047600000000003</v>
      </c>
      <c r="BF521">
        <v>48.6663</v>
      </c>
      <c r="BG521">
        <v>27.2</v>
      </c>
      <c r="BH521" s="20">
        <v>1.2433000000000001</v>
      </c>
      <c r="BI521" s="20">
        <v>3724.6001000000001</v>
      </c>
      <c r="BJ521" s="19">
        <v>82.381</v>
      </c>
      <c r="BK521">
        <v>0.96250000000000002</v>
      </c>
      <c r="BL521">
        <v>0.96689999999999998</v>
      </c>
      <c r="BM521">
        <v>0.96950000000000003</v>
      </c>
      <c r="BN521">
        <v>6</v>
      </c>
      <c r="BO521">
        <v>11.269</v>
      </c>
      <c r="BP521">
        <v>13.25</v>
      </c>
      <c r="BQ521" s="19">
        <v>100</v>
      </c>
      <c r="BR521">
        <v>59.615699999999997</v>
      </c>
      <c r="BS521" s="20">
        <v>12.446999999999999</v>
      </c>
      <c r="BT521" s="20">
        <v>12.446999999999999</v>
      </c>
      <c r="BU521" s="20">
        <v>31.946999999999999</v>
      </c>
      <c r="BV521" s="20">
        <v>31.952999999999999</v>
      </c>
      <c r="BW521" s="19">
        <v>84.729100000000003</v>
      </c>
      <c r="BX521">
        <v>37.24</v>
      </c>
      <c r="BY521" s="5">
        <v>19780195</v>
      </c>
      <c r="BZ521" s="6">
        <v>59419938</v>
      </c>
      <c r="CA521" s="7">
        <f t="shared" si="40"/>
        <v>3.0040117400258186</v>
      </c>
      <c r="CB521">
        <v>10358076</v>
      </c>
      <c r="CC521" s="8">
        <f t="shared" si="41"/>
        <v>5.7365806159367825</v>
      </c>
      <c r="CD521" s="8">
        <f t="shared" si="42"/>
        <v>1.909639879066344</v>
      </c>
      <c r="CE521">
        <v>89103</v>
      </c>
      <c r="CF521" s="8">
        <f t="shared" si="43"/>
        <v>221.99246938935838</v>
      </c>
      <c r="CG521" s="8">
        <f t="shared" si="44"/>
        <v>666.86798424295478</v>
      </c>
      <c r="CH521">
        <v>100</v>
      </c>
    </row>
    <row r="522" spans="1:86" ht="15.5" x14ac:dyDescent="0.35">
      <c r="A522" t="s">
        <v>107</v>
      </c>
      <c r="B522">
        <v>2016</v>
      </c>
      <c r="C522" s="2">
        <v>54.106400000000001</v>
      </c>
      <c r="D522">
        <v>95531.19</v>
      </c>
      <c r="E522">
        <v>0.13400000000000001</v>
      </c>
      <c r="F522">
        <v>4.9082999999999997</v>
      </c>
      <c r="G522">
        <v>68200</v>
      </c>
      <c r="H522">
        <v>12</v>
      </c>
      <c r="I522" s="19">
        <v>100.636</v>
      </c>
      <c r="J522" s="19">
        <v>100.74</v>
      </c>
      <c r="K522" s="19">
        <v>2.9319999999999999</v>
      </c>
      <c r="L522" s="19">
        <v>78.571399999999997</v>
      </c>
      <c r="M522" s="19">
        <v>2930000000</v>
      </c>
      <c r="N522" s="19">
        <v>100.5919</v>
      </c>
      <c r="O522">
        <v>32.247999999999998</v>
      </c>
      <c r="P522">
        <v>32.625900000000001</v>
      </c>
      <c r="Q522" s="19">
        <v>19914.851999999999</v>
      </c>
      <c r="R522" s="19">
        <v>19662.823100000001</v>
      </c>
      <c r="S522" s="19">
        <v>2.3264</v>
      </c>
      <c r="T522" s="19">
        <v>36636.297700000003</v>
      </c>
      <c r="U522" s="19">
        <v>31589.2696</v>
      </c>
      <c r="V522">
        <v>35.200000000000003</v>
      </c>
      <c r="W522" s="19">
        <v>84.761899999999997</v>
      </c>
      <c r="X522">
        <v>98</v>
      </c>
      <c r="Y522">
        <v>98</v>
      </c>
      <c r="Z522">
        <v>98</v>
      </c>
      <c r="AA522">
        <v>2.9</v>
      </c>
      <c r="AB522">
        <v>70.400000000000006</v>
      </c>
      <c r="AC522">
        <v>81.124399999999994</v>
      </c>
      <c r="AE522">
        <v>12</v>
      </c>
      <c r="AF522">
        <v>94.132999999999996</v>
      </c>
      <c r="AG522">
        <v>7.4</v>
      </c>
      <c r="AH522">
        <v>0.19</v>
      </c>
      <c r="AI522">
        <v>3.6</v>
      </c>
      <c r="AJ522">
        <v>3.2</v>
      </c>
      <c r="AK522">
        <v>4</v>
      </c>
      <c r="AL522">
        <v>62.086100000000002</v>
      </c>
      <c r="AM522">
        <v>2.1</v>
      </c>
      <c r="AN522">
        <v>-775</v>
      </c>
      <c r="AO522">
        <v>0</v>
      </c>
      <c r="AP522">
        <v>99.189300000000003</v>
      </c>
      <c r="AQ522">
        <v>99.416700000000006</v>
      </c>
      <c r="AR522">
        <v>94.705699999999993</v>
      </c>
      <c r="AS522">
        <v>77.558400000000006</v>
      </c>
      <c r="AT522">
        <v>89.711100000000002</v>
      </c>
      <c r="AU522">
        <v>8.8376999999999999</v>
      </c>
      <c r="AV522" s="19">
        <v>79.523799999999994</v>
      </c>
      <c r="AW522">
        <v>0.4</v>
      </c>
      <c r="AX522">
        <v>18.3</v>
      </c>
      <c r="AZ522">
        <v>6</v>
      </c>
      <c r="BA522">
        <v>85.346599999999995</v>
      </c>
      <c r="BB522">
        <v>34.782600000000002</v>
      </c>
      <c r="BC522">
        <v>5.7845000000000004</v>
      </c>
      <c r="BD522" s="19">
        <v>2.004</v>
      </c>
      <c r="BE522" s="19">
        <v>76.1905</v>
      </c>
      <c r="BF522">
        <v>55.523299999999999</v>
      </c>
      <c r="BG522">
        <v>29</v>
      </c>
      <c r="BH522" s="20">
        <v>1.2807999999999999</v>
      </c>
      <c r="BI522" s="20">
        <v>3992.1095999999998</v>
      </c>
      <c r="BJ522" s="19">
        <v>82.857100000000003</v>
      </c>
      <c r="BK522">
        <v>0.96489999999999998</v>
      </c>
      <c r="BL522">
        <v>0.96989999999999998</v>
      </c>
      <c r="BM522">
        <v>0.97330000000000005</v>
      </c>
      <c r="BN522">
        <v>6</v>
      </c>
      <c r="BO522">
        <v>10.552</v>
      </c>
      <c r="BP522">
        <v>11.38</v>
      </c>
      <c r="BQ522" s="19">
        <v>100.8849</v>
      </c>
      <c r="BR522">
        <v>64.492699999999999</v>
      </c>
      <c r="BS522" s="20">
        <v>11.068</v>
      </c>
      <c r="BT522" s="20">
        <v>11.068</v>
      </c>
      <c r="BU522" s="20">
        <v>27.95</v>
      </c>
      <c r="BV522" s="20">
        <v>27.952999999999999</v>
      </c>
      <c r="BW522" s="19">
        <v>86.206900000000005</v>
      </c>
      <c r="BX522">
        <v>36.64</v>
      </c>
      <c r="BY522" s="5">
        <v>21916899</v>
      </c>
      <c r="BZ522" s="6">
        <v>66014226</v>
      </c>
      <c r="CA522" s="7">
        <f t="shared" si="40"/>
        <v>3.0120240094184858</v>
      </c>
      <c r="CB522">
        <v>10325452</v>
      </c>
      <c r="CC522" s="8">
        <f t="shared" si="41"/>
        <v>6.3933497535991641</v>
      </c>
      <c r="CD522" s="8">
        <f t="shared" si="42"/>
        <v>2.122609160354433</v>
      </c>
      <c r="CE522">
        <v>89103</v>
      </c>
      <c r="CF522" s="8">
        <f t="shared" si="43"/>
        <v>245.9726271842699</v>
      </c>
      <c r="CG522" s="8">
        <f t="shared" si="44"/>
        <v>740.87545873876297</v>
      </c>
      <c r="CH522">
        <v>100.58132999999999</v>
      </c>
    </row>
    <row r="523" spans="1:86" ht="15.5" x14ac:dyDescent="0.35">
      <c r="A523" t="s">
        <v>107</v>
      </c>
      <c r="B523">
        <v>2017</v>
      </c>
      <c r="C523" s="2">
        <v>54.778700000000001</v>
      </c>
      <c r="D523">
        <v>96137.87</v>
      </c>
      <c r="E523">
        <v>0.14149999999999999</v>
      </c>
      <c r="F523">
        <v>5.3691000000000004</v>
      </c>
      <c r="G523">
        <v>68200</v>
      </c>
      <c r="H523">
        <v>12</v>
      </c>
      <c r="I523" s="19">
        <v>102.202</v>
      </c>
      <c r="J523" s="19">
        <v>102.37</v>
      </c>
      <c r="K523" s="19">
        <v>3.3260000000000001</v>
      </c>
      <c r="L523" s="19">
        <v>79.523799999999994</v>
      </c>
      <c r="M523" s="19">
        <v>3276000000</v>
      </c>
      <c r="N523" s="19">
        <v>112.8676</v>
      </c>
      <c r="O523">
        <v>30.434999999999999</v>
      </c>
      <c r="P523">
        <v>34.601599999999998</v>
      </c>
      <c r="Q523" s="19">
        <v>21352.268</v>
      </c>
      <c r="R523" s="19">
        <v>20364.196400000001</v>
      </c>
      <c r="S523" s="19">
        <v>3.5670000000000002</v>
      </c>
      <c r="T523" s="19">
        <v>37943.1152</v>
      </c>
      <c r="U523" s="19">
        <v>32970.839500000002</v>
      </c>
      <c r="V523">
        <v>33.799999999999997</v>
      </c>
      <c r="W523" s="19">
        <v>86.666700000000006</v>
      </c>
      <c r="X523">
        <v>98</v>
      </c>
      <c r="Y523">
        <v>98</v>
      </c>
      <c r="Z523">
        <v>98</v>
      </c>
      <c r="AA523">
        <v>2.9</v>
      </c>
      <c r="AB523">
        <v>73.8</v>
      </c>
      <c r="AC523">
        <v>81.424400000000006</v>
      </c>
      <c r="AE523">
        <v>13</v>
      </c>
      <c r="AF523">
        <v>94.235799999999998</v>
      </c>
      <c r="AG523">
        <v>8</v>
      </c>
      <c r="AH523">
        <v>0.31</v>
      </c>
      <c r="AI523">
        <v>3.6</v>
      </c>
      <c r="AJ523">
        <v>3.2</v>
      </c>
      <c r="AK523">
        <v>3.9</v>
      </c>
      <c r="AL523">
        <v>62.763399999999997</v>
      </c>
      <c r="AM523">
        <v>2</v>
      </c>
      <c r="AN523">
        <v>13979</v>
      </c>
      <c r="AO523">
        <v>0</v>
      </c>
      <c r="AP523">
        <v>99.1982</v>
      </c>
      <c r="AQ523">
        <v>99.520300000000006</v>
      </c>
      <c r="AR523">
        <v>94.786000000000001</v>
      </c>
      <c r="AS523">
        <v>80.294799999999995</v>
      </c>
      <c r="AT523">
        <v>92.486099999999993</v>
      </c>
      <c r="AU523">
        <v>9.2552000000000003</v>
      </c>
      <c r="AV523" s="19">
        <v>88.571399999999997</v>
      </c>
      <c r="AW523">
        <v>0.4</v>
      </c>
      <c r="AX523">
        <v>17.3</v>
      </c>
      <c r="AZ523">
        <v>6</v>
      </c>
      <c r="BA523">
        <v>88.176699999999997</v>
      </c>
      <c r="BB523">
        <v>34.782600000000002</v>
      </c>
      <c r="BC523">
        <v>5.6894</v>
      </c>
      <c r="BD523" s="19">
        <v>3.3149999999999999</v>
      </c>
      <c r="BE523" s="19">
        <v>79.047600000000003</v>
      </c>
      <c r="BF523">
        <v>40.901000000000003</v>
      </c>
      <c r="BG523">
        <v>24.4</v>
      </c>
      <c r="BH523" s="20">
        <v>1.3192999999999999</v>
      </c>
      <c r="BI523" s="20">
        <v>4348.1089000000002</v>
      </c>
      <c r="BJ523" s="19">
        <v>83.333299999999994</v>
      </c>
      <c r="BK523">
        <v>0.96679999999999999</v>
      </c>
      <c r="BL523">
        <v>0.97440000000000004</v>
      </c>
      <c r="BM523">
        <v>0.98029999999999995</v>
      </c>
      <c r="BN523">
        <v>6</v>
      </c>
      <c r="BO523">
        <v>9.3369999999999997</v>
      </c>
      <c r="BP523">
        <v>12.1</v>
      </c>
      <c r="BQ523" s="19">
        <v>99.543000000000006</v>
      </c>
      <c r="BR523">
        <v>70.5</v>
      </c>
      <c r="BS523" s="20">
        <v>8.8689999999999998</v>
      </c>
      <c r="BT523" s="20">
        <v>8.8689999999999998</v>
      </c>
      <c r="BU523" s="20">
        <v>23.869</v>
      </c>
      <c r="BV523" s="20">
        <v>23.87</v>
      </c>
      <c r="BW523" s="19">
        <v>88.67</v>
      </c>
      <c r="BX523">
        <v>35.26</v>
      </c>
      <c r="BY523" s="5">
        <v>24557197</v>
      </c>
      <c r="BZ523" s="6">
        <v>72035786</v>
      </c>
      <c r="CA523" s="7">
        <f t="shared" si="40"/>
        <v>2.9333879595460344</v>
      </c>
      <c r="CB523">
        <v>10300300</v>
      </c>
      <c r="CC523" s="8">
        <f t="shared" si="41"/>
        <v>6.9935619350892688</v>
      </c>
      <c r="CD523" s="8">
        <f t="shared" si="42"/>
        <v>2.3841244429773889</v>
      </c>
      <c r="CE523">
        <v>89103</v>
      </c>
      <c r="CF523" s="8">
        <f t="shared" si="43"/>
        <v>275.60460366093173</v>
      </c>
      <c r="CG523" s="8">
        <f t="shared" si="44"/>
        <v>808.45522597443403</v>
      </c>
      <c r="CH523">
        <v>100.45834000000001</v>
      </c>
    </row>
    <row r="524" spans="1:86" ht="15.5" x14ac:dyDescent="0.35">
      <c r="A524" t="s">
        <v>107</v>
      </c>
      <c r="B524">
        <v>2018</v>
      </c>
      <c r="C524" s="2">
        <v>55.400100000000002</v>
      </c>
      <c r="D524">
        <v>89020.75</v>
      </c>
      <c r="E524">
        <v>0.12740000000000001</v>
      </c>
      <c r="F524">
        <v>4.9855999999999998</v>
      </c>
      <c r="G524">
        <v>68200</v>
      </c>
      <c r="H524">
        <v>12</v>
      </c>
      <c r="I524" s="19">
        <v>103.395</v>
      </c>
      <c r="J524" s="19">
        <v>103.02</v>
      </c>
      <c r="K524" s="19">
        <v>3.5790000000000002</v>
      </c>
      <c r="L524" s="19">
        <v>79.047600000000003</v>
      </c>
      <c r="M524" s="19">
        <v>1822000000</v>
      </c>
      <c r="N524" s="19">
        <v>124.188</v>
      </c>
      <c r="O524">
        <v>32.162999999999997</v>
      </c>
      <c r="P524">
        <v>36.654299999999999</v>
      </c>
      <c r="Q524" s="19">
        <v>23436.023000000001</v>
      </c>
      <c r="R524" s="19">
        <v>20997.7745</v>
      </c>
      <c r="S524" s="19">
        <v>3.1112000000000002</v>
      </c>
      <c r="T524" s="19">
        <v>39123.6149</v>
      </c>
      <c r="U524" s="19">
        <v>34896.799299999999</v>
      </c>
      <c r="V524">
        <v>33.5</v>
      </c>
      <c r="W524" s="19">
        <v>85.238100000000003</v>
      </c>
      <c r="X524">
        <v>99</v>
      </c>
      <c r="Y524">
        <v>98</v>
      </c>
      <c r="Z524">
        <v>99</v>
      </c>
      <c r="AA524">
        <v>2.9</v>
      </c>
      <c r="AB524">
        <v>74.7</v>
      </c>
      <c r="AC524">
        <v>81.324399999999997</v>
      </c>
      <c r="AD524">
        <v>93.800200000000004</v>
      </c>
      <c r="AE524">
        <v>14</v>
      </c>
      <c r="AF524">
        <v>94.225800000000007</v>
      </c>
      <c r="AG524">
        <v>9</v>
      </c>
      <c r="AH524">
        <v>0.35</v>
      </c>
      <c r="AI524">
        <v>3.5</v>
      </c>
      <c r="AJ524">
        <v>3.2</v>
      </c>
      <c r="AK524">
        <v>3.9</v>
      </c>
      <c r="AL524">
        <v>62.793199999999999</v>
      </c>
      <c r="AM524">
        <v>2</v>
      </c>
      <c r="AN524">
        <v>22495</v>
      </c>
      <c r="AO524">
        <v>0</v>
      </c>
      <c r="AP524">
        <v>99.208299999999994</v>
      </c>
      <c r="AQ524">
        <v>99.610100000000003</v>
      </c>
      <c r="AR524">
        <v>94.864099999999993</v>
      </c>
      <c r="AS524">
        <v>82.932000000000002</v>
      </c>
      <c r="AT524">
        <v>95.056100000000001</v>
      </c>
      <c r="AU524">
        <v>9.0259999999999998</v>
      </c>
      <c r="AV524" s="19">
        <v>89.150899999999993</v>
      </c>
      <c r="AW524">
        <v>0.3</v>
      </c>
      <c r="AX524">
        <v>17.2</v>
      </c>
      <c r="AZ524">
        <v>6</v>
      </c>
      <c r="BA524">
        <v>90.838300000000004</v>
      </c>
      <c r="BB524">
        <v>34.782600000000002</v>
      </c>
      <c r="BC524">
        <v>5.7565999999999997</v>
      </c>
      <c r="BD524" s="19">
        <v>2.9460000000000002</v>
      </c>
      <c r="BE524" s="19">
        <v>79.047600000000003</v>
      </c>
      <c r="BF524">
        <v>51.3733</v>
      </c>
      <c r="BG524">
        <v>27.5</v>
      </c>
      <c r="BH524" s="20">
        <v>1.3495999999999999</v>
      </c>
      <c r="BI524" s="20">
        <v>4614.4004000000004</v>
      </c>
      <c r="BJ524" s="19">
        <v>84.285700000000006</v>
      </c>
      <c r="BK524">
        <v>0.97409999999999997</v>
      </c>
      <c r="BL524">
        <v>0.98609999999999998</v>
      </c>
      <c r="BM524">
        <v>0.99580000000000002</v>
      </c>
      <c r="BN524">
        <v>6</v>
      </c>
      <c r="BO524">
        <v>8.3729999999999993</v>
      </c>
      <c r="BP524">
        <v>11.83</v>
      </c>
      <c r="BQ524" s="19">
        <v>98.835599999999999</v>
      </c>
      <c r="BR524">
        <v>75.683000000000007</v>
      </c>
      <c r="BS524" s="20">
        <v>6.9939999999999998</v>
      </c>
      <c r="BT524" s="20">
        <v>6.9939999999999998</v>
      </c>
      <c r="BU524" s="20">
        <v>20.305</v>
      </c>
      <c r="BV524" s="20">
        <v>20.305</v>
      </c>
      <c r="BW524" s="19">
        <v>87.864099999999993</v>
      </c>
      <c r="BX524">
        <v>30.85</v>
      </c>
      <c r="BY524" s="5">
        <v>25866422</v>
      </c>
      <c r="BZ524" s="6">
        <v>74407596</v>
      </c>
      <c r="CA524" s="7">
        <f t="shared" si="40"/>
        <v>2.8766095287550786</v>
      </c>
      <c r="CB524">
        <v>10283822</v>
      </c>
      <c r="CC524" s="8">
        <f t="shared" si="41"/>
        <v>7.2354029464920728</v>
      </c>
      <c r="CD524" s="8">
        <f t="shared" si="42"/>
        <v>2.5152537646023045</v>
      </c>
      <c r="CE524">
        <v>89103</v>
      </c>
      <c r="CF524" s="8">
        <f t="shared" si="43"/>
        <v>290.29799221126115</v>
      </c>
      <c r="CG524" s="8">
        <f t="shared" si="44"/>
        <v>835.07397057338142</v>
      </c>
      <c r="CH524">
        <v>99.956559999999996</v>
      </c>
    </row>
    <row r="525" spans="1:86" ht="15.5" x14ac:dyDescent="0.35">
      <c r="A525" t="s">
        <v>107</v>
      </c>
      <c r="B525">
        <v>2019</v>
      </c>
      <c r="C525" s="2">
        <v>56.059800000000003</v>
      </c>
      <c r="D525">
        <v>88618.36</v>
      </c>
      <c r="E525">
        <v>0.1129</v>
      </c>
      <c r="F525">
        <v>4.5378999999999996</v>
      </c>
      <c r="G525">
        <v>68200</v>
      </c>
      <c r="H525">
        <v>12</v>
      </c>
      <c r="I525" s="19">
        <v>103.705</v>
      </c>
      <c r="J525" s="19">
        <v>103.4</v>
      </c>
      <c r="K525" s="19">
        <v>3.831</v>
      </c>
      <c r="L525" s="19">
        <v>76.666700000000006</v>
      </c>
      <c r="M525" s="19">
        <v>1874000000</v>
      </c>
      <c r="N525" s="19">
        <v>121.8291</v>
      </c>
      <c r="O525">
        <v>36.966999999999999</v>
      </c>
      <c r="P525">
        <v>38.360599999999998</v>
      </c>
      <c r="Q525" s="19">
        <v>23192.2</v>
      </c>
      <c r="R525" s="19">
        <v>21569.187399999999</v>
      </c>
      <c r="S525" s="19">
        <v>2.7212999999999998</v>
      </c>
      <c r="T525" s="19">
        <v>40188.286800000002</v>
      </c>
      <c r="U525" s="19">
        <v>37865.560400000002</v>
      </c>
      <c r="V525">
        <v>32.799999999999997</v>
      </c>
      <c r="W525" s="19">
        <v>84.285700000000006</v>
      </c>
      <c r="X525">
        <v>99</v>
      </c>
      <c r="Y525">
        <v>98</v>
      </c>
      <c r="Z525">
        <v>99</v>
      </c>
      <c r="AA525">
        <v>2.8</v>
      </c>
      <c r="AB525">
        <v>75.3</v>
      </c>
      <c r="AC525">
        <v>81.675600000000003</v>
      </c>
      <c r="AD525">
        <v>93.699299999999994</v>
      </c>
      <c r="AE525">
        <v>15</v>
      </c>
      <c r="AF525">
        <v>94.225800000000007</v>
      </c>
      <c r="AG525">
        <v>8.1999999999999993</v>
      </c>
      <c r="AH525">
        <v>0.32</v>
      </c>
      <c r="AI525">
        <v>3.5</v>
      </c>
      <c r="AJ525">
        <v>3.1</v>
      </c>
      <c r="AK525">
        <v>3.8</v>
      </c>
      <c r="AL525">
        <v>62.840499999999999</v>
      </c>
      <c r="AM525">
        <v>1.9</v>
      </c>
      <c r="AN525">
        <v>63031</v>
      </c>
      <c r="AO525">
        <v>0</v>
      </c>
      <c r="AP525">
        <v>99.2196</v>
      </c>
      <c r="AQ525">
        <v>99.645099999999999</v>
      </c>
      <c r="AR525">
        <v>94.940299999999993</v>
      </c>
      <c r="AS525">
        <v>83.712599999999995</v>
      </c>
      <c r="AT525">
        <v>95.273399999999995</v>
      </c>
      <c r="AU525">
        <v>7.9825999999999997</v>
      </c>
      <c r="AV525" s="19">
        <v>87.264200000000002</v>
      </c>
      <c r="AW525">
        <v>0.1</v>
      </c>
      <c r="AX525">
        <v>16.2</v>
      </c>
      <c r="AZ525">
        <v>6</v>
      </c>
      <c r="BA525">
        <v>91.3155</v>
      </c>
      <c r="BB525">
        <v>38.695700000000002</v>
      </c>
      <c r="BC525">
        <v>5.782</v>
      </c>
      <c r="BD525" s="19">
        <v>2.746</v>
      </c>
      <c r="BE525" s="19">
        <v>77.619</v>
      </c>
      <c r="BF525">
        <v>54.239199999999997</v>
      </c>
      <c r="BG525">
        <v>28.2</v>
      </c>
      <c r="BH525" s="20">
        <v>1.3956</v>
      </c>
      <c r="BI525" s="20">
        <v>4859.2173000000003</v>
      </c>
      <c r="BJ525" s="19">
        <v>83.8095</v>
      </c>
      <c r="BK525">
        <v>0.97909999999999997</v>
      </c>
      <c r="BL525">
        <v>0.99309999999999998</v>
      </c>
      <c r="BM525">
        <v>1.0045999999999999</v>
      </c>
      <c r="BN525">
        <v>6</v>
      </c>
      <c r="BO525">
        <v>8.02</v>
      </c>
      <c r="BP525">
        <v>12.66</v>
      </c>
      <c r="BQ525" s="19">
        <v>99.204800000000006</v>
      </c>
      <c r="BR525">
        <v>77.956100000000006</v>
      </c>
      <c r="BS525" s="20">
        <v>6.4640000000000004</v>
      </c>
      <c r="BT525" s="20">
        <v>6.4640000000000004</v>
      </c>
      <c r="BU525" s="20">
        <v>18.279</v>
      </c>
      <c r="BV525" s="20">
        <v>18.268999999999998</v>
      </c>
      <c r="BW525" s="19">
        <v>88.405799999999999</v>
      </c>
      <c r="BX525">
        <v>28.59</v>
      </c>
      <c r="BY525" s="5">
        <v>27895078</v>
      </c>
      <c r="BZ525" s="6">
        <v>77594254</v>
      </c>
      <c r="CA525" s="7">
        <f t="shared" si="40"/>
        <v>2.781646783708581</v>
      </c>
      <c r="CB525">
        <v>10286263</v>
      </c>
      <c r="CC525" s="8">
        <f t="shared" si="41"/>
        <v>7.5434833816712636</v>
      </c>
      <c r="CD525" s="8">
        <f t="shared" si="42"/>
        <v>2.7118768011278731</v>
      </c>
      <c r="CE525">
        <v>89103</v>
      </c>
      <c r="CF525" s="8">
        <f t="shared" si="43"/>
        <v>313.06553090243875</v>
      </c>
      <c r="CG525" s="8">
        <f t="shared" si="44"/>
        <v>870.83772712478822</v>
      </c>
      <c r="CH525">
        <v>99.077029999999993</v>
      </c>
    </row>
    <row r="526" spans="1:86" ht="15.5" x14ac:dyDescent="0.35">
      <c r="A526" t="s">
        <v>107</v>
      </c>
      <c r="B526">
        <v>2020</v>
      </c>
      <c r="C526" s="2">
        <v>56.7408</v>
      </c>
      <c r="D526">
        <v>88707.31</v>
      </c>
      <c r="E526">
        <v>0.1079</v>
      </c>
      <c r="F526">
        <v>3.9746000000000001</v>
      </c>
      <c r="G526">
        <v>68200</v>
      </c>
      <c r="H526">
        <v>12</v>
      </c>
      <c r="I526" s="19">
        <v>103.57899999999999</v>
      </c>
      <c r="J526" s="19">
        <v>103.1</v>
      </c>
      <c r="K526" s="19">
        <v>2.9140000000000001</v>
      </c>
      <c r="L526" s="19">
        <v>76.666700000000006</v>
      </c>
      <c r="M526" s="19">
        <v>-1580000000</v>
      </c>
      <c r="N526" s="19">
        <v>111.7163</v>
      </c>
      <c r="O526">
        <v>35.85</v>
      </c>
      <c r="P526">
        <v>40.121499999999997</v>
      </c>
      <c r="Q526" s="19">
        <v>22093.25</v>
      </c>
      <c r="R526" s="19">
        <v>19778.713800000001</v>
      </c>
      <c r="S526" s="19">
        <v>-8.3010999999999999</v>
      </c>
      <c r="T526" s="19">
        <v>36852.228499999997</v>
      </c>
      <c r="U526" s="19">
        <v>35966.712800000001</v>
      </c>
      <c r="V526">
        <v>34.700000000000003</v>
      </c>
      <c r="W526" s="19">
        <v>80.476200000000006</v>
      </c>
      <c r="X526">
        <v>99</v>
      </c>
      <c r="Y526">
        <v>99</v>
      </c>
      <c r="Z526">
        <v>99</v>
      </c>
      <c r="AA526">
        <v>2.7</v>
      </c>
      <c r="AB526">
        <v>78.3</v>
      </c>
      <c r="AC526">
        <v>81.329300000000003</v>
      </c>
      <c r="AD526">
        <v>96.338300000000004</v>
      </c>
      <c r="AE526">
        <v>14</v>
      </c>
      <c r="AF526">
        <v>94.225800000000007</v>
      </c>
      <c r="AH526">
        <v>0.34</v>
      </c>
      <c r="AI526">
        <v>3.4</v>
      </c>
      <c r="AJ526">
        <v>3</v>
      </c>
      <c r="AK526">
        <v>3.7</v>
      </c>
      <c r="AL526">
        <v>62.8429</v>
      </c>
      <c r="AM526">
        <v>1.8</v>
      </c>
      <c r="AN526">
        <v>54076</v>
      </c>
      <c r="AO526">
        <v>0</v>
      </c>
      <c r="AP526">
        <v>99.232100000000003</v>
      </c>
      <c r="AQ526">
        <v>99.663399999999996</v>
      </c>
      <c r="AR526">
        <v>95.014399999999995</v>
      </c>
      <c r="AS526">
        <v>84.493300000000005</v>
      </c>
      <c r="AT526">
        <v>95.464500000000001</v>
      </c>
      <c r="AU526">
        <v>8.4524000000000008</v>
      </c>
      <c r="AV526" s="19">
        <v>83.490600000000001</v>
      </c>
      <c r="AW526">
        <v>0.5</v>
      </c>
      <c r="AX526">
        <v>18.399999999999999</v>
      </c>
      <c r="AZ526">
        <v>6</v>
      </c>
      <c r="BA526">
        <v>91.768299999999996</v>
      </c>
      <c r="BB526">
        <v>40</v>
      </c>
      <c r="BC526">
        <v>6.7742000000000004</v>
      </c>
      <c r="BD526" s="19">
        <v>-8.2050000000000001</v>
      </c>
      <c r="BE526" s="19">
        <v>75.238100000000003</v>
      </c>
      <c r="BF526">
        <v>59.628700000000002</v>
      </c>
      <c r="BG526">
        <v>31.3</v>
      </c>
      <c r="BH526" s="20">
        <v>1.6138999999999999</v>
      </c>
      <c r="BI526" s="20">
        <v>5131.4399000000003</v>
      </c>
      <c r="BJ526" s="19">
        <v>85.238100000000003</v>
      </c>
      <c r="BK526">
        <v>0.98829999999999996</v>
      </c>
      <c r="BL526">
        <v>0.99729999999999996</v>
      </c>
      <c r="BM526">
        <v>1.0045999999999999</v>
      </c>
      <c r="BN526">
        <v>6</v>
      </c>
      <c r="BO526">
        <v>9.1430000000000007</v>
      </c>
      <c r="BP526">
        <v>12.08</v>
      </c>
      <c r="BQ526" s="19">
        <v>98.726699999999994</v>
      </c>
      <c r="BR526">
        <v>77.956100000000006</v>
      </c>
      <c r="BS526" s="20">
        <v>6.8010000000000002</v>
      </c>
      <c r="BT526" s="20">
        <v>6.8010000000000002</v>
      </c>
      <c r="BU526" s="20">
        <v>22.494</v>
      </c>
      <c r="BV526" s="20">
        <v>22.466000000000001</v>
      </c>
      <c r="BW526" s="19">
        <v>89.372</v>
      </c>
      <c r="BX526">
        <v>31.39</v>
      </c>
      <c r="BY526" s="5">
        <v>10995396</v>
      </c>
      <c r="BZ526" s="6">
        <v>30157800</v>
      </c>
      <c r="CA526" s="7">
        <f t="shared" si="40"/>
        <v>2.742766154124872</v>
      </c>
      <c r="CB526">
        <v>10297081</v>
      </c>
      <c r="CC526" s="8">
        <f t="shared" si="41"/>
        <v>2.9287717558014741</v>
      </c>
      <c r="CD526" s="8">
        <f t="shared" si="42"/>
        <v>1.0678167919626931</v>
      </c>
      <c r="CE526">
        <v>89103</v>
      </c>
      <c r="CF526" s="8">
        <f t="shared" si="43"/>
        <v>123.40096293054106</v>
      </c>
      <c r="CG526" s="8">
        <f t="shared" si="44"/>
        <v>338.45998451230599</v>
      </c>
      <c r="CH526">
        <v>98.747190000000003</v>
      </c>
    </row>
    <row r="527" spans="1:86" ht="15.5" x14ac:dyDescent="0.35">
      <c r="A527" t="s">
        <v>107</v>
      </c>
      <c r="B527">
        <v>2021</v>
      </c>
      <c r="C527" s="2">
        <v>57.322600000000001</v>
      </c>
      <c r="D527">
        <v>88781.27</v>
      </c>
      <c r="E527">
        <v>9.7799999999999998E-2</v>
      </c>
      <c r="F527">
        <v>3.7795000000000001</v>
      </c>
      <c r="G527">
        <v>68200</v>
      </c>
      <c r="H527">
        <v>12</v>
      </c>
      <c r="I527" s="19">
        <v>104.554</v>
      </c>
      <c r="J527" s="19">
        <v>105.97</v>
      </c>
      <c r="K527" s="19">
        <v>6.2510000000000003</v>
      </c>
      <c r="L527" s="19">
        <v>77.142899999999997</v>
      </c>
      <c r="M527" s="19">
        <v>-1699000000</v>
      </c>
      <c r="N527" s="19">
        <v>136.5771</v>
      </c>
      <c r="O527">
        <v>33.238</v>
      </c>
      <c r="P527">
        <v>41.514600000000002</v>
      </c>
      <c r="Q527" s="19">
        <v>24618.868999999999</v>
      </c>
      <c r="R527" s="19">
        <v>20747.699100000002</v>
      </c>
      <c r="S527" s="19">
        <v>4.8990999999999998</v>
      </c>
      <c r="T527" s="19">
        <v>38657.667699999998</v>
      </c>
      <c r="U527" s="19">
        <v>38657.667699999998</v>
      </c>
      <c r="V527">
        <v>34.6</v>
      </c>
      <c r="W527" s="19">
        <v>80</v>
      </c>
      <c r="X527">
        <v>99</v>
      </c>
      <c r="Y527">
        <v>99</v>
      </c>
      <c r="Z527">
        <v>98</v>
      </c>
      <c r="AA527">
        <v>2.7</v>
      </c>
      <c r="AB527">
        <v>82.3</v>
      </c>
      <c r="AC527">
        <v>81.378</v>
      </c>
      <c r="AD527">
        <v>100.60380000000001</v>
      </c>
      <c r="AE527">
        <v>19</v>
      </c>
      <c r="AH527">
        <v>0.33</v>
      </c>
      <c r="AI527">
        <v>3.3</v>
      </c>
      <c r="AJ527">
        <v>3</v>
      </c>
      <c r="AK527">
        <v>3.6</v>
      </c>
      <c r="AL527">
        <v>62.962699999999998</v>
      </c>
      <c r="AM527">
        <v>1.7</v>
      </c>
      <c r="AN527">
        <v>69606</v>
      </c>
      <c r="AO527">
        <v>0</v>
      </c>
      <c r="AP527">
        <v>99.245699999999999</v>
      </c>
      <c r="AQ527">
        <v>99.662300000000002</v>
      </c>
      <c r="AR527">
        <v>95.086600000000004</v>
      </c>
      <c r="AS527">
        <v>85.273899999999998</v>
      </c>
      <c r="AT527">
        <v>95.626099999999994</v>
      </c>
      <c r="AV527" s="19">
        <v>81.132099999999994</v>
      </c>
      <c r="AW527">
        <v>0.2</v>
      </c>
      <c r="AX527">
        <v>16.399999999999999</v>
      </c>
      <c r="AZ527">
        <v>6</v>
      </c>
      <c r="BA527">
        <v>92.194199999999995</v>
      </c>
      <c r="BB527">
        <v>40</v>
      </c>
      <c r="BC527">
        <v>6.9790999999999999</v>
      </c>
      <c r="BD527" s="19">
        <v>5.5590000000000002</v>
      </c>
      <c r="BE527" s="19">
        <v>73.333299999999994</v>
      </c>
      <c r="BF527">
        <v>64.906199999999998</v>
      </c>
      <c r="BG527">
        <v>32.299999999999997</v>
      </c>
      <c r="BH527" s="20">
        <v>1.6705000000000001</v>
      </c>
      <c r="BI527" s="20">
        <v>5430.9364999999998</v>
      </c>
      <c r="BJ527" s="19">
        <v>84.285700000000006</v>
      </c>
      <c r="BN527">
        <v>6</v>
      </c>
      <c r="BO527">
        <v>7.74</v>
      </c>
      <c r="BP527">
        <v>11.52</v>
      </c>
      <c r="BQ527" s="19">
        <v>97.601200000000006</v>
      </c>
      <c r="BS527" s="20">
        <v>6.577</v>
      </c>
      <c r="BT527" s="20">
        <v>6.577</v>
      </c>
      <c r="BU527" s="20">
        <v>23.474</v>
      </c>
      <c r="BV527" s="20">
        <v>23.431999999999999</v>
      </c>
      <c r="BW527" s="19">
        <v>89.372</v>
      </c>
      <c r="BX527">
        <v>30.46</v>
      </c>
      <c r="BY527" s="5">
        <v>15132460</v>
      </c>
      <c r="BZ527" s="6">
        <v>42444419</v>
      </c>
      <c r="CA527" s="7">
        <f t="shared" si="40"/>
        <v>2.8048591570702981</v>
      </c>
      <c r="CB527">
        <v>10361831</v>
      </c>
      <c r="CC527" s="8">
        <f t="shared" si="41"/>
        <v>4.0962276840840195</v>
      </c>
      <c r="CD527" s="8">
        <f t="shared" si="42"/>
        <v>1.4604040540711385</v>
      </c>
      <c r="CE527">
        <v>89103</v>
      </c>
      <c r="CF527" s="8">
        <f t="shared" si="43"/>
        <v>169.83109435148086</v>
      </c>
      <c r="CG527" s="8">
        <f t="shared" si="44"/>
        <v>476.35230014702086</v>
      </c>
      <c r="CH527">
        <v>96.921379999999999</v>
      </c>
    </row>
    <row r="528" spans="1:86" ht="15.5" x14ac:dyDescent="0.35">
      <c r="A528" t="s">
        <v>107</v>
      </c>
      <c r="B528">
        <v>2022</v>
      </c>
      <c r="C528" s="2">
        <v>57.953499999999998</v>
      </c>
      <c r="E528">
        <v>9.2200000000000004E-2</v>
      </c>
      <c r="F528">
        <v>3.7854999999999999</v>
      </c>
      <c r="H528">
        <v>12</v>
      </c>
      <c r="I528" s="19">
        <v>113.026</v>
      </c>
      <c r="J528" s="19">
        <v>116.36</v>
      </c>
      <c r="K528" s="19">
        <v>8.7970000000000006</v>
      </c>
      <c r="L528" s="19">
        <v>75.943399999999997</v>
      </c>
      <c r="M528" s="19">
        <v>-5203000000</v>
      </c>
      <c r="N528" s="19"/>
      <c r="O528">
        <v>38.247</v>
      </c>
      <c r="P528">
        <v>42.936999999999998</v>
      </c>
      <c r="Q528" s="19">
        <v>24558.6</v>
      </c>
      <c r="R528" s="19">
        <v>22042.868200000001</v>
      </c>
      <c r="S528" s="19">
        <v>6.2424999999999997</v>
      </c>
      <c r="T528" s="19">
        <v>41070.861400000002</v>
      </c>
      <c r="U528" s="19">
        <v>44557.2811</v>
      </c>
      <c r="W528" s="19">
        <v>80.188699999999997</v>
      </c>
      <c r="X528">
        <v>99</v>
      </c>
      <c r="Y528">
        <v>99</v>
      </c>
      <c r="Z528">
        <v>98</v>
      </c>
      <c r="AA528">
        <v>2.6</v>
      </c>
      <c r="AB528">
        <v>84.5</v>
      </c>
      <c r="AC528">
        <v>81.631699999999995</v>
      </c>
      <c r="AD528">
        <v>103.0689</v>
      </c>
      <c r="AE528">
        <v>16</v>
      </c>
      <c r="AI528">
        <v>3.2</v>
      </c>
      <c r="AJ528">
        <v>2.9</v>
      </c>
      <c r="AK528">
        <v>3.5</v>
      </c>
      <c r="AL528">
        <v>63.017099999999999</v>
      </c>
      <c r="AM528">
        <v>1.7</v>
      </c>
      <c r="AN528">
        <v>68696</v>
      </c>
      <c r="AO528">
        <v>0</v>
      </c>
      <c r="AP528">
        <v>99.260400000000004</v>
      </c>
      <c r="AQ528">
        <v>99.661299999999997</v>
      </c>
      <c r="AR528">
        <v>95.156700000000001</v>
      </c>
      <c r="AS528">
        <v>86.290400000000005</v>
      </c>
      <c r="AT528">
        <v>95.886099999999999</v>
      </c>
      <c r="AV528" s="19">
        <v>74.528300000000002</v>
      </c>
      <c r="AZ528">
        <v>6</v>
      </c>
      <c r="BA528">
        <v>92.756100000000004</v>
      </c>
      <c r="BB528">
        <v>36.956499999999998</v>
      </c>
      <c r="BC528">
        <v>6.5305</v>
      </c>
      <c r="BD528" s="19">
        <v>6.9859999999999998</v>
      </c>
      <c r="BE528" s="19">
        <v>75</v>
      </c>
      <c r="BH528" s="20">
        <v>1.7018</v>
      </c>
      <c r="BI528" s="20">
        <v>5686.6543000000001</v>
      </c>
      <c r="BJ528" s="19">
        <v>83.962299999999999</v>
      </c>
      <c r="BN528">
        <v>6</v>
      </c>
      <c r="BO528">
        <v>7.8319999999999999</v>
      </c>
      <c r="BQ528" s="19"/>
      <c r="BS528" s="20">
        <v>6.0110000000000001</v>
      </c>
      <c r="BT528" s="20">
        <v>6.0110000000000001</v>
      </c>
      <c r="BU528" s="20">
        <v>19.053999999999998</v>
      </c>
      <c r="BV528" s="20">
        <v>19.035</v>
      </c>
      <c r="BW528" s="19">
        <v>89.372</v>
      </c>
      <c r="BX528">
        <v>29.3</v>
      </c>
      <c r="BY528" s="5">
        <v>27337455</v>
      </c>
      <c r="BZ528" s="6">
        <v>76947985</v>
      </c>
      <c r="CA528" s="7">
        <f t="shared" si="40"/>
        <v>2.814745739864958</v>
      </c>
      <c r="CB528">
        <v>10434332</v>
      </c>
      <c r="CC528" s="8">
        <f t="shared" si="41"/>
        <v>7.3745003513401723</v>
      </c>
      <c r="CD528" s="8">
        <f t="shared" si="42"/>
        <v>2.6199525757853976</v>
      </c>
      <c r="CE528">
        <v>89103</v>
      </c>
      <c r="CF528" s="8">
        <f t="shared" si="43"/>
        <v>306.80734655398805</v>
      </c>
      <c r="CG528" s="8">
        <f t="shared" si="44"/>
        <v>863.58467167210983</v>
      </c>
      <c r="CH528">
        <v>96.475809999999996</v>
      </c>
    </row>
    <row r="529" spans="1:86" ht="15.5" x14ac:dyDescent="0.35">
      <c r="A529" t="s">
        <v>107</v>
      </c>
      <c r="B529">
        <v>2023</v>
      </c>
      <c r="C529" s="26">
        <v>58.743200000000002</v>
      </c>
      <c r="E529">
        <v>8.2299999999999998E-2</v>
      </c>
      <c r="F529">
        <v>3.4194</v>
      </c>
      <c r="H529">
        <v>12</v>
      </c>
      <c r="I529" s="19">
        <v>118.976</v>
      </c>
      <c r="J529" s="19">
        <v>118.56</v>
      </c>
      <c r="K529" s="19">
        <v>6.0270000000000001</v>
      </c>
      <c r="L529" s="19">
        <v>74.056600000000003</v>
      </c>
      <c r="M529" s="19">
        <v>1603000000</v>
      </c>
      <c r="N529" s="19"/>
      <c r="O529">
        <v>37.750999999999998</v>
      </c>
      <c r="P529">
        <v>44.111600000000003</v>
      </c>
      <c r="Q529" s="19">
        <v>27394.2</v>
      </c>
      <c r="R529" s="19">
        <v>22292.4218</v>
      </c>
      <c r="S529" s="19">
        <v>1.1321000000000001</v>
      </c>
      <c r="T529" s="19">
        <v>41535.8364</v>
      </c>
      <c r="U529" s="19">
        <v>47331.098299999998</v>
      </c>
      <c r="W529" s="19">
        <v>80.188699999999997</v>
      </c>
      <c r="X529">
        <v>99</v>
      </c>
      <c r="Y529">
        <v>99</v>
      </c>
      <c r="Z529">
        <v>98</v>
      </c>
      <c r="AA529">
        <v>2.6</v>
      </c>
      <c r="AB529">
        <v>85.8</v>
      </c>
      <c r="AC529">
        <v>82.280500000000004</v>
      </c>
      <c r="AE529">
        <v>15</v>
      </c>
      <c r="AI529">
        <v>3.2</v>
      </c>
      <c r="AJ529">
        <v>2.9</v>
      </c>
      <c r="AK529">
        <v>3.5</v>
      </c>
      <c r="AL529" s="24">
        <v>63.017099999999999</v>
      </c>
      <c r="AM529">
        <v>1.6</v>
      </c>
      <c r="AN529">
        <v>29102</v>
      </c>
      <c r="AV529" s="19">
        <v>70.616100000000003</v>
      </c>
      <c r="AY529" s="25"/>
      <c r="AZ529">
        <v>6</v>
      </c>
      <c r="BB529">
        <v>36.087000000000003</v>
      </c>
      <c r="BD529" s="19">
        <v>2.613</v>
      </c>
      <c r="BE529" s="19">
        <v>75.471699999999998</v>
      </c>
      <c r="BH529" s="20"/>
      <c r="BI529" s="20"/>
      <c r="BJ529" s="19">
        <v>83.490600000000001</v>
      </c>
      <c r="BN529">
        <v>6</v>
      </c>
      <c r="BO529">
        <v>7.8550000000000004</v>
      </c>
      <c r="BQ529" s="19"/>
      <c r="BS529" s="20">
        <v>6.5090000000000003</v>
      </c>
      <c r="BT529" s="20">
        <v>6.5090000000000003</v>
      </c>
      <c r="BU529" s="20">
        <v>20.3</v>
      </c>
      <c r="BV529" s="20">
        <v>20.268000000000001</v>
      </c>
      <c r="BW529" s="19">
        <v>88.235299999999995</v>
      </c>
      <c r="BX529">
        <v>27.18</v>
      </c>
      <c r="BY529" s="5">
        <v>30813122</v>
      </c>
      <c r="BZ529" s="6">
        <v>84886830</v>
      </c>
      <c r="CA529" s="7">
        <f t="shared" si="40"/>
        <v>2.7548922176727175</v>
      </c>
      <c r="CB529">
        <v>10578174</v>
      </c>
      <c r="CC529" s="8">
        <f t="shared" si="41"/>
        <v>8.0247148515424307</v>
      </c>
      <c r="CD529" s="8">
        <f t="shared" si="42"/>
        <v>2.9128961198785346</v>
      </c>
      <c r="CE529">
        <v>89103</v>
      </c>
      <c r="CF529" s="8">
        <f t="shared" si="43"/>
        <v>345.81464148232942</v>
      </c>
      <c r="CG529" s="8">
        <f t="shared" si="44"/>
        <v>952.68206457695032</v>
      </c>
      <c r="CH529">
        <v>96.424369999999996</v>
      </c>
    </row>
    <row r="530" spans="1:86" ht="15.5" x14ac:dyDescent="0.35">
      <c r="A530" t="s">
        <v>108</v>
      </c>
      <c r="B530">
        <v>2000</v>
      </c>
      <c r="C530" s="2">
        <v>47.302900000000001</v>
      </c>
      <c r="D530">
        <v>124929.1</v>
      </c>
      <c r="E530">
        <v>0.29220000000000002</v>
      </c>
      <c r="F530">
        <v>4.3407</v>
      </c>
      <c r="G530">
        <v>137000</v>
      </c>
      <c r="H530">
        <v>8</v>
      </c>
      <c r="I530" s="19">
        <v>31.97</v>
      </c>
      <c r="J530" s="19">
        <v>36.978999999999999</v>
      </c>
      <c r="K530" s="19">
        <v>4.9669999999999996</v>
      </c>
      <c r="L530" s="19">
        <v>38.297899999999998</v>
      </c>
      <c r="M530" s="19">
        <v>-972000000</v>
      </c>
      <c r="N530" s="19">
        <v>17.1829</v>
      </c>
      <c r="O530">
        <v>26.797000000000001</v>
      </c>
      <c r="Q530" s="19">
        <v>1667.6130000000001</v>
      </c>
      <c r="R530" s="19">
        <v>4569.3091000000004</v>
      </c>
      <c r="S530" s="19">
        <v>2.5939000000000001</v>
      </c>
      <c r="T530" s="19">
        <v>14852.8645</v>
      </c>
      <c r="U530" s="19">
        <v>5848.8284999999996</v>
      </c>
      <c r="W530" s="19">
        <v>46.994500000000002</v>
      </c>
      <c r="X530">
        <v>99</v>
      </c>
      <c r="Y530">
        <v>98</v>
      </c>
      <c r="Z530">
        <v>98</v>
      </c>
      <c r="AA530">
        <v>18.100000000000001</v>
      </c>
      <c r="AB530">
        <v>3.61</v>
      </c>
      <c r="AC530">
        <v>71.163399999999996</v>
      </c>
      <c r="AE530">
        <v>45</v>
      </c>
      <c r="AF530">
        <v>73.560299999999998</v>
      </c>
      <c r="AG530">
        <v>12.4</v>
      </c>
      <c r="AH530">
        <v>4.2699999999999996</v>
      </c>
      <c r="AI530">
        <v>21.6</v>
      </c>
      <c r="AJ530">
        <v>19.2</v>
      </c>
      <c r="AK530">
        <v>23.8</v>
      </c>
      <c r="AL530">
        <v>46.760899999999999</v>
      </c>
      <c r="AM530">
        <v>10.4</v>
      </c>
      <c r="AN530">
        <v>-92451</v>
      </c>
      <c r="AP530">
        <v>100</v>
      </c>
      <c r="AR530">
        <v>81.652000000000001</v>
      </c>
      <c r="AU530">
        <v>20.402200000000001</v>
      </c>
      <c r="AV530" s="19">
        <v>32.804200000000002</v>
      </c>
      <c r="AZ530">
        <v>4</v>
      </c>
      <c r="BC530">
        <v>3.3359000000000001</v>
      </c>
      <c r="BD530" s="19">
        <v>2.9209999999999998</v>
      </c>
      <c r="BE530" s="19">
        <v>51.087000000000003</v>
      </c>
      <c r="BF530">
        <v>28.455300000000001</v>
      </c>
      <c r="BG530">
        <v>16.399999999999999</v>
      </c>
      <c r="BH530" s="20">
        <v>0.36630000000000001</v>
      </c>
      <c r="BI530" s="20">
        <v>926.23749999999995</v>
      </c>
      <c r="BJ530" s="19">
        <v>45.771099999999997</v>
      </c>
      <c r="BK530">
        <v>0.98760000000000003</v>
      </c>
      <c r="BL530">
        <v>1.0113000000000001</v>
      </c>
      <c r="BM530">
        <v>1.0242</v>
      </c>
      <c r="BN530">
        <v>8</v>
      </c>
      <c r="BO530">
        <v>17.469000000000001</v>
      </c>
      <c r="BP530">
        <v>12.81</v>
      </c>
      <c r="BQ530" s="19">
        <v>91.341300000000004</v>
      </c>
      <c r="BR530">
        <v>77.723200000000006</v>
      </c>
      <c r="BS530" s="20">
        <v>6.9690000000000003</v>
      </c>
      <c r="BT530" s="20">
        <v>6.9690000000000003</v>
      </c>
      <c r="BU530" s="20">
        <v>17.992999999999999</v>
      </c>
      <c r="BV530" s="20">
        <v>17.806000000000001</v>
      </c>
      <c r="BW530" s="19">
        <v>63.681600000000003</v>
      </c>
      <c r="BX530">
        <v>44.61</v>
      </c>
      <c r="BY530" s="6">
        <v>4920128</v>
      </c>
      <c r="BZ530" s="5">
        <v>17646675</v>
      </c>
      <c r="CA530" s="7">
        <f t="shared" si="40"/>
        <v>3.5866292502959274</v>
      </c>
      <c r="CB530">
        <v>22442971</v>
      </c>
      <c r="CC530" s="8">
        <f t="shared" si="41"/>
        <v>0.7862896137948937</v>
      </c>
      <c r="CD530" s="8">
        <f t="shared" si="42"/>
        <v>0.21922801575602446</v>
      </c>
      <c r="CE530">
        <v>238398</v>
      </c>
      <c r="CF530" s="8">
        <f t="shared" si="43"/>
        <v>20.638293945419004</v>
      </c>
      <c r="CG530" s="8">
        <f t="shared" si="44"/>
        <v>74.021908740845134</v>
      </c>
      <c r="CH530">
        <v>83.419110000000003</v>
      </c>
    </row>
    <row r="531" spans="1:86" ht="15.5" x14ac:dyDescent="0.35">
      <c r="A531" t="s">
        <v>108</v>
      </c>
      <c r="B531">
        <v>2001</v>
      </c>
      <c r="C531" s="2">
        <v>46.813699999999997</v>
      </c>
      <c r="D531">
        <v>135254.39999999999</v>
      </c>
      <c r="E531">
        <v>0.29770000000000002</v>
      </c>
      <c r="F531">
        <v>4.7172999999999998</v>
      </c>
      <c r="G531">
        <v>145000</v>
      </c>
      <c r="H531">
        <v>8</v>
      </c>
      <c r="I531" s="19">
        <v>42.984999999999999</v>
      </c>
      <c r="J531" s="19">
        <v>48.143999999999998</v>
      </c>
      <c r="K531" s="19">
        <v>3.9790000000000001</v>
      </c>
      <c r="L531" s="19"/>
      <c r="M531" s="19">
        <v>-1285000000</v>
      </c>
      <c r="N531" s="19">
        <v>18.8033</v>
      </c>
      <c r="O531">
        <v>28.456</v>
      </c>
      <c r="P531">
        <v>2.7400000000000001E-2</v>
      </c>
      <c r="Q531" s="19">
        <v>1800.9659999999999</v>
      </c>
      <c r="R531" s="19">
        <v>4875.3031000000001</v>
      </c>
      <c r="S531" s="19">
        <v>6.6966999999999999</v>
      </c>
      <c r="T531" s="19">
        <v>15847.5196</v>
      </c>
      <c r="U531" s="19">
        <v>6520.6265000000003</v>
      </c>
      <c r="W531" s="19"/>
      <c r="X531">
        <v>99</v>
      </c>
      <c r="Y531">
        <v>98</v>
      </c>
      <c r="Z531">
        <v>98</v>
      </c>
      <c r="AA531">
        <v>17.399999999999999</v>
      </c>
      <c r="AB531">
        <v>4.54</v>
      </c>
      <c r="AC531">
        <v>71.161000000000001</v>
      </c>
      <c r="AD531">
        <v>86.630099999999999</v>
      </c>
      <c r="AE531">
        <v>41</v>
      </c>
      <c r="AF531">
        <v>74.102400000000003</v>
      </c>
      <c r="AG531">
        <v>13</v>
      </c>
      <c r="AH531">
        <v>4.4400000000000004</v>
      </c>
      <c r="AI531">
        <v>20.6</v>
      </c>
      <c r="AJ531">
        <v>18.3</v>
      </c>
      <c r="AK531">
        <v>22.8</v>
      </c>
      <c r="AL531">
        <v>47.159700000000001</v>
      </c>
      <c r="AM531">
        <v>9.9</v>
      </c>
      <c r="AN531">
        <v>-91154</v>
      </c>
      <c r="AO531">
        <v>0</v>
      </c>
      <c r="AP531">
        <v>100</v>
      </c>
      <c r="AQ531">
        <v>74.440299999999993</v>
      </c>
      <c r="AR531">
        <v>81.608999999999995</v>
      </c>
      <c r="AU531">
        <v>20.572700000000001</v>
      </c>
      <c r="AV531" s="19"/>
      <c r="AZ531">
        <v>4</v>
      </c>
      <c r="BA531">
        <v>46.916800000000002</v>
      </c>
      <c r="BB531">
        <v>10.724600000000001</v>
      </c>
      <c r="BC531">
        <v>3.4899</v>
      </c>
      <c r="BD531" s="19">
        <v>5.218</v>
      </c>
      <c r="BE531" s="19"/>
      <c r="BF531">
        <v>27.703900000000001</v>
      </c>
      <c r="BG531">
        <v>13.4</v>
      </c>
      <c r="BH531" s="20">
        <v>0.39129999999999998</v>
      </c>
      <c r="BI531" s="20">
        <v>897.21220000000005</v>
      </c>
      <c r="BJ531" s="19"/>
      <c r="BK531">
        <v>0.98380000000000001</v>
      </c>
      <c r="BL531">
        <v>1.01</v>
      </c>
      <c r="BM531">
        <v>1.0230999999999999</v>
      </c>
      <c r="BN531">
        <v>8</v>
      </c>
      <c r="BO531">
        <v>16.600000000000001</v>
      </c>
      <c r="BP531">
        <v>12.15</v>
      </c>
      <c r="BQ531" s="19">
        <v>91.273899999999998</v>
      </c>
      <c r="BR531">
        <v>78.379300000000001</v>
      </c>
      <c r="BS531" s="20">
        <v>6.5609999999999999</v>
      </c>
      <c r="BT531" s="20">
        <v>6.5620000000000003</v>
      </c>
      <c r="BU531" s="20">
        <v>17.802</v>
      </c>
      <c r="BV531" s="20">
        <v>17.635000000000002</v>
      </c>
      <c r="BW531" s="19"/>
      <c r="BX531">
        <v>45.29</v>
      </c>
      <c r="BY531" s="6">
        <v>4874777</v>
      </c>
      <c r="BZ531" s="5">
        <v>18121688</v>
      </c>
      <c r="CA531" s="7">
        <f t="shared" si="40"/>
        <v>3.7174393823553364</v>
      </c>
      <c r="CB531">
        <v>22131970</v>
      </c>
      <c r="CC531" s="8">
        <f t="shared" si="41"/>
        <v>0.81880139906208083</v>
      </c>
      <c r="CD531" s="8">
        <f t="shared" si="42"/>
        <v>0.22025951598524668</v>
      </c>
      <c r="CE531">
        <v>238398</v>
      </c>
      <c r="CF531" s="8">
        <f t="shared" si="43"/>
        <v>20.448061644812455</v>
      </c>
      <c r="CG531" s="8">
        <f t="shared" si="44"/>
        <v>76.014429651255469</v>
      </c>
      <c r="CH531">
        <v>83.739530000000002</v>
      </c>
    </row>
    <row r="532" spans="1:86" ht="15.5" x14ac:dyDescent="0.35">
      <c r="A532" t="s">
        <v>108</v>
      </c>
      <c r="B532">
        <v>2002</v>
      </c>
      <c r="C532" s="2">
        <v>46.202399999999997</v>
      </c>
      <c r="D532">
        <v>135901.1</v>
      </c>
      <c r="E532">
        <v>0.27889999999999998</v>
      </c>
      <c r="F532">
        <v>4.7583000000000002</v>
      </c>
      <c r="G532">
        <v>144000</v>
      </c>
      <c r="H532">
        <v>8</v>
      </c>
      <c r="I532" s="19">
        <v>52.655999999999999</v>
      </c>
      <c r="J532" s="19">
        <v>56.756999999999998</v>
      </c>
      <c r="K532" s="19">
        <v>4.1139999999999999</v>
      </c>
      <c r="L532" s="19">
        <v>40.740699999999997</v>
      </c>
      <c r="M532" s="19">
        <v>-1231000000</v>
      </c>
      <c r="N532" s="19">
        <v>22.900500000000001</v>
      </c>
      <c r="O532">
        <v>33.246000000000002</v>
      </c>
      <c r="P532">
        <v>7.2599999999999998E-2</v>
      </c>
      <c r="Q532" s="19">
        <v>2108.4450000000002</v>
      </c>
      <c r="R532" s="19">
        <v>5248.5499</v>
      </c>
      <c r="S532" s="19">
        <v>7.6558999999999999</v>
      </c>
      <c r="T532" s="19">
        <v>17060.785</v>
      </c>
      <c r="U532" s="19">
        <v>7162.3076000000001</v>
      </c>
      <c r="W532" s="19">
        <v>49.729700000000001</v>
      </c>
      <c r="X532">
        <v>98</v>
      </c>
      <c r="Y532">
        <v>99</v>
      </c>
      <c r="Z532">
        <v>98</v>
      </c>
      <c r="AA532">
        <v>17</v>
      </c>
      <c r="AB532">
        <v>6.58</v>
      </c>
      <c r="AC532">
        <v>71.009799999999998</v>
      </c>
      <c r="AD532">
        <v>89.8249</v>
      </c>
      <c r="AE532">
        <v>38</v>
      </c>
      <c r="AF532">
        <v>74.360100000000003</v>
      </c>
      <c r="AG532">
        <v>11.6</v>
      </c>
      <c r="AH532">
        <v>4.2</v>
      </c>
      <c r="AI532">
        <v>20.100000000000001</v>
      </c>
      <c r="AJ532">
        <v>17.899999999999999</v>
      </c>
      <c r="AK532">
        <v>22.2</v>
      </c>
      <c r="AL532">
        <v>48.005400000000002</v>
      </c>
      <c r="AM532">
        <v>9.6</v>
      </c>
      <c r="AN532">
        <v>-106585</v>
      </c>
      <c r="AO532">
        <v>0</v>
      </c>
      <c r="AP532">
        <v>100</v>
      </c>
      <c r="AQ532">
        <v>74.412899999999993</v>
      </c>
      <c r="AR532">
        <v>81.5886</v>
      </c>
      <c r="AU532">
        <v>20.8398</v>
      </c>
      <c r="AV532" s="19">
        <v>63.492100000000001</v>
      </c>
      <c r="AZ532">
        <v>4</v>
      </c>
      <c r="BA532">
        <v>46.895000000000003</v>
      </c>
      <c r="BB532">
        <v>10.724600000000001</v>
      </c>
      <c r="BC532">
        <v>3.6798000000000002</v>
      </c>
      <c r="BD532" s="19">
        <v>5.7030000000000003</v>
      </c>
      <c r="BE532" s="19">
        <v>56.216200000000001</v>
      </c>
      <c r="BF532">
        <v>29.321300000000001</v>
      </c>
      <c r="BG532">
        <v>14.4</v>
      </c>
      <c r="BH532" s="20">
        <v>0.37719999999999998</v>
      </c>
      <c r="BI532" s="20">
        <v>928.25310000000002</v>
      </c>
      <c r="BJ532" s="19">
        <v>44.278599999999997</v>
      </c>
      <c r="BK532">
        <v>0.98180000000000001</v>
      </c>
      <c r="BL532">
        <v>1.0108999999999999</v>
      </c>
      <c r="BM532">
        <v>1.0246</v>
      </c>
      <c r="BN532">
        <v>8</v>
      </c>
      <c r="BO532">
        <v>21.274000000000001</v>
      </c>
      <c r="BP532">
        <v>14.1</v>
      </c>
      <c r="BQ532" s="19">
        <v>93.198400000000007</v>
      </c>
      <c r="BR532">
        <v>72.820999999999998</v>
      </c>
      <c r="BS532" s="20">
        <v>8.1120000000000001</v>
      </c>
      <c r="BT532" s="20">
        <v>8.1120000000000001</v>
      </c>
      <c r="BU532" s="20">
        <v>22.704000000000001</v>
      </c>
      <c r="BV532" s="20">
        <v>22.222999999999999</v>
      </c>
      <c r="BW532" s="19">
        <v>60.6965</v>
      </c>
      <c r="BX532">
        <v>41.39</v>
      </c>
      <c r="BY532" s="6">
        <v>4847476</v>
      </c>
      <c r="BZ532" s="5">
        <v>17276804</v>
      </c>
      <c r="CA532" s="7">
        <f t="shared" si="40"/>
        <v>3.564082421449843</v>
      </c>
      <c r="CB532">
        <v>21730496</v>
      </c>
      <c r="CC532" s="8">
        <f t="shared" si="41"/>
        <v>0.79504876464853813</v>
      </c>
      <c r="CD532" s="8">
        <f t="shared" si="42"/>
        <v>0.22307249682657956</v>
      </c>
      <c r="CE532">
        <v>238398</v>
      </c>
      <c r="CF532" s="8">
        <f t="shared" si="43"/>
        <v>20.333543066636466</v>
      </c>
      <c r="CG532" s="8">
        <f t="shared" si="44"/>
        <v>72.470423409592357</v>
      </c>
      <c r="CH532">
        <v>83.216059999999999</v>
      </c>
    </row>
    <row r="533" spans="1:86" ht="15.5" x14ac:dyDescent="0.35">
      <c r="A533" t="s">
        <v>108</v>
      </c>
      <c r="B533">
        <v>2003</v>
      </c>
      <c r="C533" s="2">
        <v>45.5991</v>
      </c>
      <c r="D533">
        <v>142988.70000000001</v>
      </c>
      <c r="E533">
        <v>0.28399999999999997</v>
      </c>
      <c r="F533">
        <v>4.9947999999999997</v>
      </c>
      <c r="G533">
        <v>147000</v>
      </c>
      <c r="H533">
        <v>10</v>
      </c>
      <c r="I533" s="19">
        <v>60.75</v>
      </c>
      <c r="J533" s="19">
        <v>64.84</v>
      </c>
      <c r="K533" s="19">
        <v>3.5779999999999998</v>
      </c>
      <c r="L533" s="19">
        <v>42.857100000000003</v>
      </c>
      <c r="M533" s="19">
        <v>-2703000000</v>
      </c>
      <c r="N533" s="19">
        <v>29.148099999999999</v>
      </c>
      <c r="O533">
        <v>33.216999999999999</v>
      </c>
      <c r="P533">
        <v>0.90820000000000001</v>
      </c>
      <c r="Q533" s="19">
        <v>2672.0610000000001</v>
      </c>
      <c r="R533" s="19">
        <v>5410.3083999999999</v>
      </c>
      <c r="S533" s="19">
        <v>3.0819999999999999</v>
      </c>
      <c r="T533" s="19">
        <v>17586.592199999999</v>
      </c>
      <c r="U533" s="19">
        <v>7560.3513000000003</v>
      </c>
      <c r="W533" s="19">
        <v>47.027000000000001</v>
      </c>
      <c r="X533">
        <v>97</v>
      </c>
      <c r="Y533">
        <v>98</v>
      </c>
      <c r="Z533">
        <v>97</v>
      </c>
      <c r="AA533">
        <v>16.899999999999999</v>
      </c>
      <c r="AB533">
        <v>8.9</v>
      </c>
      <c r="AC533">
        <v>71.309799999999996</v>
      </c>
      <c r="AD533">
        <v>88.765199999999993</v>
      </c>
      <c r="AE533">
        <v>35</v>
      </c>
      <c r="AF533">
        <v>74.847800000000007</v>
      </c>
      <c r="AG533">
        <v>11.8</v>
      </c>
      <c r="AH533">
        <v>4.08</v>
      </c>
      <c r="AI533">
        <v>19.899999999999999</v>
      </c>
      <c r="AJ533">
        <v>17.600000000000001</v>
      </c>
      <c r="AK533">
        <v>22</v>
      </c>
      <c r="AL533">
        <v>47.6252</v>
      </c>
      <c r="AM533">
        <v>9.4</v>
      </c>
      <c r="AN533">
        <v>-107139</v>
      </c>
      <c r="AO533">
        <v>0</v>
      </c>
      <c r="AP533">
        <v>100</v>
      </c>
      <c r="AQ533">
        <v>74.463099999999997</v>
      </c>
      <c r="AR533">
        <v>81.626000000000005</v>
      </c>
      <c r="AU533">
        <v>21.126000000000001</v>
      </c>
      <c r="AV533" s="19">
        <v>57.788899999999998</v>
      </c>
      <c r="AZ533">
        <v>4</v>
      </c>
      <c r="BA533">
        <v>46.934899999999999</v>
      </c>
      <c r="BB533">
        <v>10.724600000000001</v>
      </c>
      <c r="BC533">
        <v>4.4619</v>
      </c>
      <c r="BD533" s="19">
        <v>2.3410000000000002</v>
      </c>
      <c r="BE533" s="19">
        <v>54.054099999999998</v>
      </c>
      <c r="BF533">
        <v>24.051500000000001</v>
      </c>
      <c r="BG533">
        <v>15.7</v>
      </c>
      <c r="BH533" s="20">
        <v>0.39710000000000001</v>
      </c>
      <c r="BI533" s="20">
        <v>966.74919999999997</v>
      </c>
      <c r="BJ533" s="19">
        <v>45.771099999999997</v>
      </c>
      <c r="BK533">
        <v>0.98150000000000004</v>
      </c>
      <c r="BL533">
        <v>1.0109999999999999</v>
      </c>
      <c r="BM533">
        <v>1.0246</v>
      </c>
      <c r="BN533">
        <v>8</v>
      </c>
      <c r="BO533">
        <v>19.332000000000001</v>
      </c>
      <c r="BP533">
        <v>13.44</v>
      </c>
      <c r="BQ533" s="19">
        <v>94.349100000000007</v>
      </c>
      <c r="BR533">
        <v>76.394599999999997</v>
      </c>
      <c r="BS533" s="20">
        <v>6.95</v>
      </c>
      <c r="BT533" s="20">
        <v>6.95</v>
      </c>
      <c r="BU533" s="20">
        <v>19.686</v>
      </c>
      <c r="BV533" s="20">
        <v>19.524000000000001</v>
      </c>
      <c r="BW533" s="19">
        <v>57.711399999999998</v>
      </c>
      <c r="BX533">
        <v>41.5</v>
      </c>
      <c r="BY533" s="6">
        <v>5056693</v>
      </c>
      <c r="BZ533" s="5">
        <v>17844583</v>
      </c>
      <c r="CA533" s="7">
        <f t="shared" si="40"/>
        <v>3.5289037716942673</v>
      </c>
      <c r="CB533">
        <v>21574326</v>
      </c>
      <c r="CC533" s="8">
        <f t="shared" si="41"/>
        <v>0.82712122733289561</v>
      </c>
      <c r="CD533" s="8">
        <f t="shared" si="42"/>
        <v>0.23438474972520579</v>
      </c>
      <c r="CE533">
        <v>238398</v>
      </c>
      <c r="CF533" s="8">
        <f t="shared" si="43"/>
        <v>21.211138516262722</v>
      </c>
      <c r="CG533" s="8">
        <f t="shared" si="44"/>
        <v>74.852066711969059</v>
      </c>
      <c r="CH533">
        <v>78.425629999999998</v>
      </c>
    </row>
    <row r="534" spans="1:86" ht="15.5" x14ac:dyDescent="0.35">
      <c r="A534" t="s">
        <v>108</v>
      </c>
      <c r="B534">
        <v>2004</v>
      </c>
      <c r="C534" s="2">
        <v>45.071300000000001</v>
      </c>
      <c r="D534">
        <v>147526.70000000001</v>
      </c>
      <c r="E534">
        <v>0.252</v>
      </c>
      <c r="F534">
        <v>4.9214000000000002</v>
      </c>
      <c r="G534">
        <v>147000</v>
      </c>
      <c r="H534">
        <v>10</v>
      </c>
      <c r="I534" s="19">
        <v>67.950999999999993</v>
      </c>
      <c r="J534" s="19">
        <v>70.778000000000006</v>
      </c>
      <c r="K534" s="19">
        <v>4.0730000000000004</v>
      </c>
      <c r="L534" s="19">
        <v>44.827599999999997</v>
      </c>
      <c r="M534" s="19">
        <v>-5690000000</v>
      </c>
      <c r="N534" s="19">
        <v>38.869900000000001</v>
      </c>
      <c r="O534">
        <v>28.882000000000001</v>
      </c>
      <c r="P534">
        <v>0.48709999999999998</v>
      </c>
      <c r="Q534" s="19">
        <v>3487.6990000000001</v>
      </c>
      <c r="R534" s="19">
        <v>6008.6405000000004</v>
      </c>
      <c r="S534" s="19">
        <v>11.059100000000001</v>
      </c>
      <c r="T534" s="19">
        <v>19531.5134</v>
      </c>
      <c r="U534" s="19">
        <v>8990.5473999999995</v>
      </c>
      <c r="W534" s="19">
        <v>51.2438</v>
      </c>
      <c r="X534">
        <v>97</v>
      </c>
      <c r="Y534">
        <v>99</v>
      </c>
      <c r="Z534">
        <v>97</v>
      </c>
      <c r="AA534">
        <v>16.5</v>
      </c>
      <c r="AB534">
        <v>15</v>
      </c>
      <c r="AC534">
        <v>71.561000000000007</v>
      </c>
      <c r="AD534">
        <v>86.522300000000001</v>
      </c>
      <c r="AE534">
        <v>32</v>
      </c>
      <c r="AF534">
        <v>75.388499999999993</v>
      </c>
      <c r="AG534">
        <v>12.3</v>
      </c>
      <c r="AH534">
        <v>3.82</v>
      </c>
      <c r="AI534">
        <v>19.399999999999999</v>
      </c>
      <c r="AJ534">
        <v>17.2</v>
      </c>
      <c r="AK534">
        <v>21.5</v>
      </c>
      <c r="AL534">
        <v>48.009</v>
      </c>
      <c r="AM534">
        <v>9.1</v>
      </c>
      <c r="AN534">
        <v>-117432</v>
      </c>
      <c r="AO534">
        <v>0</v>
      </c>
      <c r="AP534">
        <v>100</v>
      </c>
      <c r="AQ534">
        <v>74.513000000000005</v>
      </c>
      <c r="AR534">
        <v>81.6631</v>
      </c>
      <c r="AU534">
        <v>21.354399999999998</v>
      </c>
      <c r="AV534" s="19">
        <v>47.572800000000001</v>
      </c>
      <c r="AZ534">
        <v>4</v>
      </c>
      <c r="BA534">
        <v>48.065199999999997</v>
      </c>
      <c r="BB534">
        <v>11.4458</v>
      </c>
      <c r="BC534">
        <v>4.0427999999999997</v>
      </c>
      <c r="BD534" s="19">
        <v>10.428000000000001</v>
      </c>
      <c r="BE534" s="19">
        <v>60.198999999999998</v>
      </c>
      <c r="BF534">
        <v>29.234200000000001</v>
      </c>
      <c r="BG534">
        <v>17.3</v>
      </c>
      <c r="BH534" s="20">
        <v>0.38940000000000002</v>
      </c>
      <c r="BI534" s="20">
        <v>988.65989999999999</v>
      </c>
      <c r="BJ534" s="19">
        <v>47.115400000000001</v>
      </c>
      <c r="BK534">
        <v>0.98550000000000004</v>
      </c>
      <c r="BL534">
        <v>1.0091000000000001</v>
      </c>
      <c r="BM534">
        <v>1.0205</v>
      </c>
      <c r="BN534">
        <v>8</v>
      </c>
      <c r="BO534">
        <v>21.364999999999998</v>
      </c>
      <c r="BP534">
        <v>12.66</v>
      </c>
      <c r="BQ534" s="19">
        <v>97.506699999999995</v>
      </c>
      <c r="BR534">
        <v>73.212000000000003</v>
      </c>
      <c r="BS534" s="20">
        <v>7.7190000000000003</v>
      </c>
      <c r="BT534" s="20">
        <v>7.7190000000000003</v>
      </c>
      <c r="BU534" s="20">
        <v>23.161000000000001</v>
      </c>
      <c r="BV534" s="20">
        <v>22.324999999999999</v>
      </c>
      <c r="BW534" s="19">
        <v>60.096200000000003</v>
      </c>
      <c r="BX534">
        <v>41.65</v>
      </c>
      <c r="BY534" s="6">
        <v>5638517</v>
      </c>
      <c r="BZ534" s="5">
        <v>18500550</v>
      </c>
      <c r="CA534" s="7">
        <f t="shared" si="40"/>
        <v>3.2811021053940248</v>
      </c>
      <c r="CB534">
        <v>21451748</v>
      </c>
      <c r="CC534" s="8">
        <f t="shared" si="41"/>
        <v>0.862426222795457</v>
      </c>
      <c r="CD534" s="8">
        <f t="shared" si="42"/>
        <v>0.26284650556215744</v>
      </c>
      <c r="CE534">
        <v>238398</v>
      </c>
      <c r="CF534" s="8">
        <f t="shared" si="43"/>
        <v>23.651695903489124</v>
      </c>
      <c r="CG534" s="8">
        <f t="shared" si="44"/>
        <v>77.603629225077398</v>
      </c>
      <c r="CH534">
        <v>79.562219999999996</v>
      </c>
    </row>
    <row r="535" spans="1:86" ht="15.5" x14ac:dyDescent="0.35">
      <c r="A535" t="s">
        <v>108</v>
      </c>
      <c r="B535">
        <v>2005</v>
      </c>
      <c r="C535" s="2">
        <v>44.723500000000001</v>
      </c>
      <c r="D535">
        <v>149071.6</v>
      </c>
      <c r="E535">
        <v>0.2382</v>
      </c>
      <c r="F535">
        <v>4.9008000000000003</v>
      </c>
      <c r="G535">
        <v>144000</v>
      </c>
      <c r="H535">
        <v>10</v>
      </c>
      <c r="I535" s="19">
        <v>74.063999999999993</v>
      </c>
      <c r="J535" s="19">
        <v>76.947999999999993</v>
      </c>
      <c r="K535" s="19">
        <v>3.875</v>
      </c>
      <c r="L535" s="19">
        <v>48.780500000000004</v>
      </c>
      <c r="M535" s="19">
        <v>-8624000000</v>
      </c>
      <c r="N535" s="19">
        <v>45.692799999999998</v>
      </c>
      <c r="O535">
        <v>31.687000000000001</v>
      </c>
      <c r="P535">
        <v>1.7776000000000001</v>
      </c>
      <c r="Q535" s="19">
        <v>4608.8010000000004</v>
      </c>
      <c r="R535" s="19">
        <v>6328.0901999999996</v>
      </c>
      <c r="S535" s="19">
        <v>5.3164999999999996</v>
      </c>
      <c r="T535" s="19">
        <v>20569.907500000001</v>
      </c>
      <c r="U535" s="19">
        <v>9602.1663000000008</v>
      </c>
      <c r="W535" s="19">
        <v>46.078400000000002</v>
      </c>
      <c r="X535">
        <v>97</v>
      </c>
      <c r="Y535">
        <v>98</v>
      </c>
      <c r="Z535">
        <v>97</v>
      </c>
      <c r="AA535">
        <v>15.5</v>
      </c>
      <c r="AB535">
        <v>21.5</v>
      </c>
      <c r="AC535">
        <v>71.912199999999999</v>
      </c>
      <c r="AD535">
        <v>79.6935</v>
      </c>
      <c r="AE535">
        <v>30</v>
      </c>
      <c r="AF535">
        <v>77.063100000000006</v>
      </c>
      <c r="AG535">
        <v>13.3</v>
      </c>
      <c r="AH535">
        <v>3.51</v>
      </c>
      <c r="AI535">
        <v>18.2</v>
      </c>
      <c r="AJ535">
        <v>16.100000000000001</v>
      </c>
      <c r="AK535">
        <v>20.2</v>
      </c>
      <c r="AL535">
        <v>48.591999999999999</v>
      </c>
      <c r="AM535">
        <v>8.5</v>
      </c>
      <c r="AN535">
        <v>-131176</v>
      </c>
      <c r="AO535">
        <v>0</v>
      </c>
      <c r="AP535">
        <v>100</v>
      </c>
      <c r="AQ535">
        <v>74.562899999999999</v>
      </c>
      <c r="AR535">
        <v>81.700100000000006</v>
      </c>
      <c r="AU535">
        <v>21.447700000000001</v>
      </c>
      <c r="AV535" s="19">
        <v>48.543700000000001</v>
      </c>
      <c r="AZ535">
        <v>4</v>
      </c>
      <c r="BA535">
        <v>49.243899999999996</v>
      </c>
      <c r="BB535">
        <v>11.1782</v>
      </c>
      <c r="BC535">
        <v>4.4097999999999997</v>
      </c>
      <c r="BD535" s="19">
        <v>4.6680000000000001</v>
      </c>
      <c r="BE535" s="19">
        <v>58.823500000000003</v>
      </c>
      <c r="BF535">
        <v>34.021299999999997</v>
      </c>
      <c r="BG535">
        <v>18.5</v>
      </c>
      <c r="BH535" s="20">
        <v>0.41260000000000002</v>
      </c>
      <c r="BI535" s="20">
        <v>1077.5563999999999</v>
      </c>
      <c r="BJ535" s="19">
        <v>46.89</v>
      </c>
      <c r="BK535">
        <v>0.98660000000000003</v>
      </c>
      <c r="BL535">
        <v>1.0085</v>
      </c>
      <c r="BM535">
        <v>1.0189999999999999</v>
      </c>
      <c r="BN535">
        <v>8</v>
      </c>
      <c r="BO535">
        <v>20.809000000000001</v>
      </c>
      <c r="BP535">
        <v>12.19</v>
      </c>
      <c r="BQ535" s="19">
        <v>97.443399999999997</v>
      </c>
      <c r="BR535">
        <v>75.506299999999996</v>
      </c>
      <c r="BS535" s="20">
        <v>7.1740000000000004</v>
      </c>
      <c r="BT535" s="20">
        <v>7.1740000000000004</v>
      </c>
      <c r="BU535" s="20">
        <v>20.553999999999998</v>
      </c>
      <c r="BV535" s="20">
        <v>20.245999999999999</v>
      </c>
      <c r="BW535" s="19">
        <v>61.057699999999997</v>
      </c>
      <c r="BX535">
        <v>39.76</v>
      </c>
      <c r="BY535" s="6">
        <v>5805096</v>
      </c>
      <c r="BZ535" s="5">
        <v>18372988</v>
      </c>
      <c r="CA535" s="7">
        <f t="shared" si="40"/>
        <v>3.1649757385579842</v>
      </c>
      <c r="CB535">
        <v>21319685</v>
      </c>
      <c r="CC535" s="8">
        <f t="shared" si="41"/>
        <v>0.86178515301703562</v>
      </c>
      <c r="CD535" s="8">
        <f t="shared" si="42"/>
        <v>0.27228807555083484</v>
      </c>
      <c r="CE535">
        <v>238398</v>
      </c>
      <c r="CF535" s="8">
        <f t="shared" si="43"/>
        <v>24.350439181536757</v>
      </c>
      <c r="CG535" s="8">
        <f t="shared" si="44"/>
        <v>77.068549232795576</v>
      </c>
      <c r="CH535">
        <v>94.696569999999994</v>
      </c>
    </row>
    <row r="536" spans="1:86" ht="15.5" x14ac:dyDescent="0.35">
      <c r="A536" t="s">
        <v>108</v>
      </c>
      <c r="B536">
        <v>2006</v>
      </c>
      <c r="C536" s="2">
        <v>44.692500000000003</v>
      </c>
      <c r="D536">
        <v>157252.29999999999</v>
      </c>
      <c r="E536">
        <v>0.2339</v>
      </c>
      <c r="F536">
        <v>5.2295999999999996</v>
      </c>
      <c r="G536">
        <v>147000</v>
      </c>
      <c r="H536">
        <v>10</v>
      </c>
      <c r="I536" s="19">
        <v>78.944999999999993</v>
      </c>
      <c r="J536" s="19">
        <v>80.701999999999998</v>
      </c>
      <c r="K536" s="19">
        <v>3.7789999999999999</v>
      </c>
      <c r="L536" s="19">
        <v>49.268300000000004</v>
      </c>
      <c r="M536" s="19">
        <v>-12825000000</v>
      </c>
      <c r="N536" s="19">
        <v>53.565300000000001</v>
      </c>
      <c r="O536">
        <v>33.686999999999998</v>
      </c>
      <c r="P536">
        <v>5.1817000000000002</v>
      </c>
      <c r="Q536" s="19">
        <v>5744.634</v>
      </c>
      <c r="R536" s="19">
        <v>6876.7784000000001</v>
      </c>
      <c r="S536" s="19">
        <v>8.6707000000000001</v>
      </c>
      <c r="T536" s="19">
        <v>22353.4575</v>
      </c>
      <c r="U536" s="19">
        <v>11556.5345</v>
      </c>
      <c r="V536">
        <v>39.6</v>
      </c>
      <c r="W536" s="19">
        <v>49.756100000000004</v>
      </c>
      <c r="X536">
        <v>97</v>
      </c>
      <c r="Y536">
        <v>99</v>
      </c>
      <c r="Z536">
        <v>95</v>
      </c>
      <c r="AA536">
        <v>14.2</v>
      </c>
      <c r="AB536">
        <v>24.7</v>
      </c>
      <c r="AC536">
        <v>72.163399999999996</v>
      </c>
      <c r="AD536">
        <v>79.017099999999999</v>
      </c>
      <c r="AE536">
        <v>27</v>
      </c>
      <c r="AF536">
        <v>77.730400000000003</v>
      </c>
      <c r="AG536">
        <v>13.2</v>
      </c>
      <c r="AH536">
        <v>3.1</v>
      </c>
      <c r="AI536">
        <v>16.600000000000001</v>
      </c>
      <c r="AJ536">
        <v>14.8</v>
      </c>
      <c r="AK536">
        <v>18.399999999999999</v>
      </c>
      <c r="AL536">
        <v>48.148499999999999</v>
      </c>
      <c r="AM536">
        <v>7.7</v>
      </c>
      <c r="AN536">
        <v>-132777</v>
      </c>
      <c r="AO536">
        <v>0</v>
      </c>
      <c r="AP536">
        <v>100</v>
      </c>
      <c r="AQ536">
        <v>75.452500000000001</v>
      </c>
      <c r="AR536">
        <v>81.737200000000001</v>
      </c>
      <c r="AU536">
        <v>21.299299999999999</v>
      </c>
      <c r="AV536" s="19">
        <v>49.758499999999998</v>
      </c>
      <c r="AW536">
        <v>7.4</v>
      </c>
      <c r="AX536">
        <v>24.6</v>
      </c>
      <c r="AZ536">
        <v>4</v>
      </c>
      <c r="BA536">
        <v>51.168100000000003</v>
      </c>
      <c r="BB536">
        <v>11.1782</v>
      </c>
      <c r="BC536">
        <v>4.0209000000000001</v>
      </c>
      <c r="BD536" s="19">
        <v>8.0289999999999999</v>
      </c>
      <c r="BE536" s="19">
        <v>64.7059</v>
      </c>
      <c r="BF536">
        <v>29.2835</v>
      </c>
      <c r="BG536">
        <v>17.399999999999999</v>
      </c>
      <c r="BH536" s="20">
        <v>0.45679999999999998</v>
      </c>
      <c r="BI536" s="20">
        <v>900.56600000000003</v>
      </c>
      <c r="BJ536" s="19">
        <v>50.717700000000001</v>
      </c>
      <c r="BK536">
        <v>0.98919999999999997</v>
      </c>
      <c r="BL536">
        <v>1.004</v>
      </c>
      <c r="BM536">
        <v>1.0112000000000001</v>
      </c>
      <c r="BN536">
        <v>8</v>
      </c>
      <c r="BO536">
        <v>19.893999999999998</v>
      </c>
      <c r="BP536">
        <v>12.82</v>
      </c>
      <c r="BQ536" s="19">
        <v>98.656199999999998</v>
      </c>
      <c r="BR536">
        <v>74.457599999999999</v>
      </c>
      <c r="BS536" s="20">
        <v>7.27</v>
      </c>
      <c r="BT536" s="20">
        <v>7.27</v>
      </c>
      <c r="BU536" s="20">
        <v>21.747</v>
      </c>
      <c r="BV536" s="20">
        <v>21.436</v>
      </c>
      <c r="BW536" s="19">
        <v>62.980800000000002</v>
      </c>
      <c r="BX536">
        <v>37.630000000000003</v>
      </c>
      <c r="BY536" s="6">
        <v>6216028</v>
      </c>
      <c r="BZ536" s="5">
        <v>18991695</v>
      </c>
      <c r="CA536" s="7">
        <f t="shared" si="40"/>
        <v>3.0552782259024571</v>
      </c>
      <c r="CB536">
        <v>21193760</v>
      </c>
      <c r="CC536" s="8">
        <f t="shared" si="41"/>
        <v>0.8960984270841984</v>
      </c>
      <c r="CD536" s="8">
        <f t="shared" si="42"/>
        <v>0.29329519632193629</v>
      </c>
      <c r="CE536">
        <v>238398</v>
      </c>
      <c r="CF536" s="8">
        <f t="shared" si="43"/>
        <v>26.074161695987382</v>
      </c>
      <c r="CG536" s="8">
        <f t="shared" si="44"/>
        <v>79.663818488410143</v>
      </c>
      <c r="CH536">
        <v>101.40398</v>
      </c>
    </row>
    <row r="537" spans="1:86" ht="15.5" x14ac:dyDescent="0.35">
      <c r="A537" t="s">
        <v>108</v>
      </c>
      <c r="B537">
        <v>2007</v>
      </c>
      <c r="C537" s="2">
        <v>44.866</v>
      </c>
      <c r="D537">
        <v>166600.6</v>
      </c>
      <c r="E537">
        <v>0.21079999999999999</v>
      </c>
      <c r="F537">
        <v>5.1276999999999999</v>
      </c>
      <c r="G537">
        <v>150000</v>
      </c>
      <c r="H537">
        <v>10</v>
      </c>
      <c r="I537" s="19">
        <v>82.762</v>
      </c>
      <c r="J537" s="19">
        <v>85.997</v>
      </c>
      <c r="K537" s="19">
        <v>5.1950000000000003</v>
      </c>
      <c r="L537" s="19">
        <v>51.456299999999999</v>
      </c>
      <c r="M537" s="19">
        <v>-23707000000</v>
      </c>
      <c r="N537" s="19">
        <v>66.817800000000005</v>
      </c>
      <c r="O537">
        <v>32.546999999999997</v>
      </c>
      <c r="P537">
        <v>9.3537999999999997</v>
      </c>
      <c r="Q537" s="19">
        <v>8273.8850000000002</v>
      </c>
      <c r="R537" s="19">
        <v>7483.9737999999998</v>
      </c>
      <c r="S537" s="19">
        <v>8.8295999999999992</v>
      </c>
      <c r="T537" s="19">
        <v>24327.189200000001</v>
      </c>
      <c r="U537" s="19">
        <v>13703.203600000001</v>
      </c>
      <c r="V537">
        <v>37.5</v>
      </c>
      <c r="W537" s="19">
        <v>44.174799999999998</v>
      </c>
      <c r="X537">
        <v>96</v>
      </c>
      <c r="Y537">
        <v>99</v>
      </c>
      <c r="Z537">
        <v>97</v>
      </c>
      <c r="AA537">
        <v>12.9</v>
      </c>
      <c r="AB537">
        <v>28.3</v>
      </c>
      <c r="AC537">
        <v>72.565899999999999</v>
      </c>
      <c r="AD537">
        <v>75.919399999999996</v>
      </c>
      <c r="AE537">
        <v>25</v>
      </c>
      <c r="AF537">
        <v>78.343800000000002</v>
      </c>
      <c r="AG537">
        <v>14.4</v>
      </c>
      <c r="AH537">
        <v>2.64</v>
      </c>
      <c r="AI537">
        <v>15.1</v>
      </c>
      <c r="AJ537">
        <v>13.4</v>
      </c>
      <c r="AK537">
        <v>16.7</v>
      </c>
      <c r="AL537">
        <v>49.882199999999997</v>
      </c>
      <c r="AM537">
        <v>6.9</v>
      </c>
      <c r="AN537">
        <v>-133089</v>
      </c>
      <c r="AO537">
        <v>0</v>
      </c>
      <c r="AP537">
        <v>100</v>
      </c>
      <c r="AQ537">
        <v>76.339100000000002</v>
      </c>
      <c r="AR537">
        <v>81.774299999999997</v>
      </c>
      <c r="AU537">
        <v>20.945399999999999</v>
      </c>
      <c r="AV537" s="19">
        <v>50.241500000000002</v>
      </c>
      <c r="AW537">
        <v>5.3</v>
      </c>
      <c r="AX537">
        <v>23.6</v>
      </c>
      <c r="AZ537">
        <v>4</v>
      </c>
      <c r="BA537">
        <v>53.138399999999997</v>
      </c>
      <c r="BB537">
        <v>9.3939000000000004</v>
      </c>
      <c r="BC537">
        <v>4.0907</v>
      </c>
      <c r="BD537" s="19">
        <v>7.234</v>
      </c>
      <c r="BE537" s="19">
        <v>66.990300000000005</v>
      </c>
      <c r="BF537">
        <v>25.948899999999998</v>
      </c>
      <c r="BG537">
        <v>18.2</v>
      </c>
      <c r="BH537" s="20">
        <v>0.51149999999999995</v>
      </c>
      <c r="BI537" s="20">
        <v>897.74360000000001</v>
      </c>
      <c r="BJ537" s="19">
        <v>52.153100000000002</v>
      </c>
      <c r="BK537">
        <v>0.9909</v>
      </c>
      <c r="BL537">
        <v>0.99709999999999999</v>
      </c>
      <c r="BM537">
        <v>1</v>
      </c>
      <c r="BN537">
        <v>8</v>
      </c>
      <c r="BO537">
        <v>19.327000000000002</v>
      </c>
      <c r="BP537">
        <v>11.49</v>
      </c>
      <c r="BQ537" s="19">
        <v>98.097399999999993</v>
      </c>
      <c r="BR537">
        <v>76.535700000000006</v>
      </c>
      <c r="BS537" s="20">
        <v>6.4130000000000003</v>
      </c>
      <c r="BT537" s="20">
        <v>6.4130000000000003</v>
      </c>
      <c r="BU537" s="20">
        <v>20.649000000000001</v>
      </c>
      <c r="BV537" s="20">
        <v>20.141999999999999</v>
      </c>
      <c r="BW537" s="19">
        <v>61.057699999999997</v>
      </c>
      <c r="BX537">
        <v>35.880000000000003</v>
      </c>
      <c r="BY537" s="6">
        <v>6971925</v>
      </c>
      <c r="BZ537" s="5">
        <v>20593349</v>
      </c>
      <c r="CA537" s="7">
        <f t="shared" si="40"/>
        <v>2.9537536620086993</v>
      </c>
      <c r="CB537">
        <v>20882982</v>
      </c>
      <c r="CC537" s="8">
        <f t="shared" si="41"/>
        <v>0.98613066850318598</v>
      </c>
      <c r="CD537" s="8">
        <f t="shared" si="42"/>
        <v>0.33385677390326729</v>
      </c>
      <c r="CE537">
        <v>238398</v>
      </c>
      <c r="CF537" s="8">
        <f t="shared" si="43"/>
        <v>29.244897188734804</v>
      </c>
      <c r="CG537" s="8">
        <f t="shared" si="44"/>
        <v>86.382222166293346</v>
      </c>
      <c r="CH537">
        <v>109.48302</v>
      </c>
    </row>
    <row r="538" spans="1:86" ht="15.5" x14ac:dyDescent="0.35">
      <c r="A538" t="s">
        <v>108</v>
      </c>
      <c r="B538">
        <v>2008</v>
      </c>
      <c r="C538" s="2">
        <v>45.1708</v>
      </c>
      <c r="D538">
        <v>165115.79999999999</v>
      </c>
      <c r="E538">
        <v>0.18970000000000001</v>
      </c>
      <c r="F538">
        <v>5.1300999999999997</v>
      </c>
      <c r="G538">
        <v>145000</v>
      </c>
      <c r="H538">
        <v>10</v>
      </c>
      <c r="I538" s="19">
        <v>89.254999999999995</v>
      </c>
      <c r="J538" s="19">
        <v>91.415000000000006</v>
      </c>
      <c r="K538" s="19">
        <v>4.5810000000000004</v>
      </c>
      <c r="L538" s="19">
        <v>52.912599999999998</v>
      </c>
      <c r="M538" s="19">
        <v>-24694000000</v>
      </c>
      <c r="N538" s="19">
        <v>81.747699999999995</v>
      </c>
      <c r="O538">
        <v>34.340000000000003</v>
      </c>
      <c r="P538">
        <v>12.150399999999999</v>
      </c>
      <c r="Q538" s="19">
        <v>10446.423000000001</v>
      </c>
      <c r="R538" s="19">
        <v>8318.0033999999996</v>
      </c>
      <c r="S538" s="19">
        <v>11.1442</v>
      </c>
      <c r="T538" s="19">
        <v>27038.261900000001</v>
      </c>
      <c r="U538" s="19">
        <v>16782.117300000002</v>
      </c>
      <c r="V538">
        <v>36.4</v>
      </c>
      <c r="W538" s="19">
        <v>43.689300000000003</v>
      </c>
      <c r="X538">
        <v>96</v>
      </c>
      <c r="Y538">
        <v>97</v>
      </c>
      <c r="Z538">
        <v>96</v>
      </c>
      <c r="AA538">
        <v>11.9</v>
      </c>
      <c r="AB538">
        <v>32.4</v>
      </c>
      <c r="AC538">
        <v>72.565899999999999</v>
      </c>
      <c r="AD538">
        <v>83.633399999999995</v>
      </c>
      <c r="AE538">
        <v>25</v>
      </c>
      <c r="AF538">
        <v>78.752700000000004</v>
      </c>
      <c r="AG538">
        <v>15.5</v>
      </c>
      <c r="AH538">
        <v>2.73</v>
      </c>
      <c r="AI538">
        <v>14</v>
      </c>
      <c r="AJ538">
        <v>12.4</v>
      </c>
      <c r="AK538">
        <v>15.5</v>
      </c>
      <c r="AL538">
        <v>51.0961</v>
      </c>
      <c r="AM538">
        <v>6.3</v>
      </c>
      <c r="AN538">
        <v>-144368</v>
      </c>
      <c r="AO538">
        <v>0</v>
      </c>
      <c r="AP538">
        <v>100</v>
      </c>
      <c r="AQ538">
        <v>77.222800000000007</v>
      </c>
      <c r="AR538">
        <v>81.811400000000006</v>
      </c>
      <c r="AU538">
        <v>20.523</v>
      </c>
      <c r="AV538" s="19">
        <v>50.480800000000002</v>
      </c>
      <c r="AW538">
        <v>4.0999999999999996</v>
      </c>
      <c r="AX538">
        <v>22.1</v>
      </c>
      <c r="AZ538">
        <v>4</v>
      </c>
      <c r="BA538">
        <v>55.179400000000001</v>
      </c>
      <c r="BB538">
        <v>11.3772</v>
      </c>
      <c r="BC538">
        <v>4.0731999999999999</v>
      </c>
      <c r="BD538" s="19">
        <v>9.3070000000000004</v>
      </c>
      <c r="BE538" s="19">
        <v>67.475700000000003</v>
      </c>
      <c r="BF538">
        <v>26.517600000000002</v>
      </c>
      <c r="BG538">
        <v>20.399999999999999</v>
      </c>
      <c r="BH538" s="20">
        <v>0.55220000000000002</v>
      </c>
      <c r="BI538" s="20">
        <v>932.80169999999998</v>
      </c>
      <c r="BJ538" s="19">
        <v>53.846200000000003</v>
      </c>
      <c r="BK538">
        <v>0.98340000000000005</v>
      </c>
      <c r="BL538">
        <v>0.99239999999999995</v>
      </c>
      <c r="BM538">
        <v>0.99639999999999995</v>
      </c>
      <c r="BN538">
        <v>8</v>
      </c>
      <c r="BO538">
        <v>18.559000000000001</v>
      </c>
      <c r="BP538">
        <v>11.7</v>
      </c>
      <c r="BQ538" s="19">
        <v>97.380099999999999</v>
      </c>
      <c r="BR538">
        <v>78.528300000000002</v>
      </c>
      <c r="BS538" s="20">
        <v>5.7869999999999999</v>
      </c>
      <c r="BT538" s="20">
        <v>5.7880000000000003</v>
      </c>
      <c r="BU538" s="20">
        <v>19.239999999999998</v>
      </c>
      <c r="BV538" s="20">
        <v>18.596</v>
      </c>
      <c r="BW538" s="19">
        <v>62.019199999999998</v>
      </c>
      <c r="BX538">
        <v>35.520000000000003</v>
      </c>
      <c r="BY538" s="6">
        <v>7125307</v>
      </c>
      <c r="BZ538" s="5">
        <v>20725981</v>
      </c>
      <c r="CA538" s="7">
        <f t="shared" si="40"/>
        <v>2.9087842811544822</v>
      </c>
      <c r="CB538">
        <v>20537875</v>
      </c>
      <c r="CC538" s="8">
        <f t="shared" si="41"/>
        <v>1.0091589806637737</v>
      </c>
      <c r="CD538" s="8">
        <f t="shared" si="42"/>
        <v>0.34693496771209292</v>
      </c>
      <c r="CE538">
        <v>238398</v>
      </c>
      <c r="CF538" s="8">
        <f t="shared" si="43"/>
        <v>29.888283458753847</v>
      </c>
      <c r="CG538" s="8">
        <f t="shared" si="44"/>
        <v>86.93856911551272</v>
      </c>
      <c r="CH538">
        <v>102.80867000000001</v>
      </c>
    </row>
    <row r="539" spans="1:86" ht="15.5" x14ac:dyDescent="0.35">
      <c r="A539" t="s">
        <v>108</v>
      </c>
      <c r="B539">
        <v>2009</v>
      </c>
      <c r="C539" s="2">
        <v>45.655799999999999</v>
      </c>
      <c r="D539">
        <v>139004.79999999999</v>
      </c>
      <c r="E539">
        <v>0.1633</v>
      </c>
      <c r="F539">
        <v>4.2069000000000001</v>
      </c>
      <c r="G539">
        <v>124000</v>
      </c>
      <c r="H539">
        <v>10</v>
      </c>
      <c r="I539" s="19">
        <v>94.239000000000004</v>
      </c>
      <c r="J539" s="19">
        <v>95.757999999999996</v>
      </c>
      <c r="K539" s="19">
        <v>3.16</v>
      </c>
      <c r="L539" s="19">
        <v>48.803800000000003</v>
      </c>
      <c r="M539" s="19">
        <v>-8107000000</v>
      </c>
      <c r="N539" s="19">
        <v>66.947999999999993</v>
      </c>
      <c r="O539">
        <v>36.398000000000003</v>
      </c>
      <c r="P539">
        <v>13.668699999999999</v>
      </c>
      <c r="Q539" s="19">
        <v>8540.5920000000006</v>
      </c>
      <c r="R539" s="19">
        <v>7924.8706000000002</v>
      </c>
      <c r="S539" s="19">
        <v>-4.7263000000000002</v>
      </c>
      <c r="T539" s="19">
        <v>25760.3557</v>
      </c>
      <c r="U539" s="19">
        <v>16632.080300000001</v>
      </c>
      <c r="V539">
        <v>35.6</v>
      </c>
      <c r="W539" s="19">
        <v>43.540700000000001</v>
      </c>
      <c r="X539">
        <v>95</v>
      </c>
      <c r="Y539">
        <v>95</v>
      </c>
      <c r="Z539">
        <v>96</v>
      </c>
      <c r="AA539">
        <v>11.1</v>
      </c>
      <c r="AB539">
        <v>36.6</v>
      </c>
      <c r="AC539">
        <v>73.309799999999996</v>
      </c>
      <c r="AD539">
        <v>96.035200000000003</v>
      </c>
      <c r="AE539">
        <v>25</v>
      </c>
      <c r="AF539">
        <v>79.162700000000001</v>
      </c>
      <c r="AG539">
        <v>14</v>
      </c>
      <c r="AH539">
        <v>2.59</v>
      </c>
      <c r="AI539">
        <v>13.1</v>
      </c>
      <c r="AJ539">
        <v>11.6</v>
      </c>
      <c r="AK539">
        <v>14.5</v>
      </c>
      <c r="AL539">
        <v>51.732799999999997</v>
      </c>
      <c r="AM539">
        <v>5.8</v>
      </c>
      <c r="AN539">
        <v>-137953</v>
      </c>
      <c r="AO539">
        <v>0</v>
      </c>
      <c r="AP539">
        <v>100</v>
      </c>
      <c r="AQ539">
        <v>78.103399999999993</v>
      </c>
      <c r="AR539">
        <v>81.848399999999998</v>
      </c>
      <c r="AU539">
        <v>20.1691</v>
      </c>
      <c r="AV539" s="19">
        <v>56.872</v>
      </c>
      <c r="AW539">
        <v>3.1</v>
      </c>
      <c r="AX539">
        <v>21.6</v>
      </c>
      <c r="AZ539">
        <v>4</v>
      </c>
      <c r="BA539">
        <v>57.292200000000001</v>
      </c>
      <c r="BB539">
        <v>11.3772</v>
      </c>
      <c r="BC539">
        <v>4.1520999999999999</v>
      </c>
      <c r="BD539" s="19">
        <v>-5.5170000000000003</v>
      </c>
      <c r="BE539" s="19">
        <v>70.334900000000005</v>
      </c>
      <c r="BF539">
        <v>27.279</v>
      </c>
      <c r="BG539">
        <v>22.1</v>
      </c>
      <c r="BH539" s="20">
        <v>0.44390000000000002</v>
      </c>
      <c r="BI539" s="20">
        <v>933.38509999999997</v>
      </c>
      <c r="BJ539" s="19">
        <v>56.872</v>
      </c>
      <c r="BK539">
        <v>0.98499999999999999</v>
      </c>
      <c r="BL539">
        <v>0.99370000000000003</v>
      </c>
      <c r="BM539">
        <v>0.99770000000000003</v>
      </c>
      <c r="BN539">
        <v>8</v>
      </c>
      <c r="BO539">
        <v>19.59</v>
      </c>
      <c r="BP539">
        <v>12.21</v>
      </c>
      <c r="BQ539" s="19">
        <v>98.283000000000001</v>
      </c>
      <c r="BR539">
        <v>75.460700000000003</v>
      </c>
      <c r="BS539" s="20">
        <v>6.859</v>
      </c>
      <c r="BT539" s="20">
        <v>6.859</v>
      </c>
      <c r="BU539" s="20">
        <v>21.46</v>
      </c>
      <c r="BV539" s="20">
        <v>20.754999999999999</v>
      </c>
      <c r="BW539" s="19">
        <v>60.189599999999999</v>
      </c>
      <c r="BX539">
        <v>34.69</v>
      </c>
      <c r="BY539" s="6">
        <v>6141135</v>
      </c>
      <c r="BZ539" s="5">
        <v>17325410</v>
      </c>
      <c r="CA539" s="7">
        <f t="shared" si="40"/>
        <v>2.8212065033580926</v>
      </c>
      <c r="CB539">
        <v>20367487</v>
      </c>
      <c r="CC539" s="8">
        <f t="shared" si="41"/>
        <v>0.85064053312026167</v>
      </c>
      <c r="CD539" s="8">
        <f t="shared" si="42"/>
        <v>0.30151657884941818</v>
      </c>
      <c r="CE539">
        <v>238398</v>
      </c>
      <c r="CF539" s="8">
        <f t="shared" si="43"/>
        <v>25.760010570558478</v>
      </c>
      <c r="CG539" s="8">
        <f t="shared" si="44"/>
        <v>72.674309348232782</v>
      </c>
      <c r="CH539">
        <v>94.819919999999996</v>
      </c>
    </row>
    <row r="540" spans="1:86" ht="15.5" x14ac:dyDescent="0.35">
      <c r="A540" t="s">
        <v>108</v>
      </c>
      <c r="B540">
        <v>2010</v>
      </c>
      <c r="C540" s="2">
        <v>46.171199999999999</v>
      </c>
      <c r="D540">
        <v>135985.70000000001</v>
      </c>
      <c r="E540">
        <v>0.1653</v>
      </c>
      <c r="F540">
        <v>4.1159999999999997</v>
      </c>
      <c r="G540">
        <v>119000</v>
      </c>
      <c r="H540">
        <v>10</v>
      </c>
      <c r="I540" s="19">
        <v>100</v>
      </c>
      <c r="J540" s="19">
        <v>103.398</v>
      </c>
      <c r="K540" s="19">
        <v>4.1509999999999998</v>
      </c>
      <c r="L540" s="19">
        <v>45.238100000000003</v>
      </c>
      <c r="M540" s="19">
        <v>-8738000000</v>
      </c>
      <c r="N540" s="19">
        <v>81.820499999999996</v>
      </c>
      <c r="O540">
        <v>36.279000000000003</v>
      </c>
      <c r="P540">
        <v>14.6854</v>
      </c>
      <c r="Q540" s="19">
        <v>8392.7749999999996</v>
      </c>
      <c r="R540" s="19">
        <v>7660.7066999999997</v>
      </c>
      <c r="S540" s="19">
        <v>-3.3334000000000001</v>
      </c>
      <c r="T540" s="19">
        <v>24901.6721</v>
      </c>
      <c r="U540" s="19">
        <v>17356.703699999998</v>
      </c>
      <c r="V540">
        <v>35.5</v>
      </c>
      <c r="W540" s="19">
        <v>51.196199999999997</v>
      </c>
      <c r="X540">
        <v>94</v>
      </c>
      <c r="Y540">
        <v>98</v>
      </c>
      <c r="Z540">
        <v>95</v>
      </c>
      <c r="AA540">
        <v>10.5</v>
      </c>
      <c r="AB540">
        <v>39.9</v>
      </c>
      <c r="AC540">
        <v>73.458500000000001</v>
      </c>
      <c r="AD540">
        <v>94.380899999999997</v>
      </c>
      <c r="AE540">
        <v>23</v>
      </c>
      <c r="AF540">
        <v>82.089200000000005</v>
      </c>
      <c r="AG540">
        <v>12</v>
      </c>
      <c r="AH540">
        <v>2.5299999999999998</v>
      </c>
      <c r="AI540">
        <v>12.4</v>
      </c>
      <c r="AJ540">
        <v>11</v>
      </c>
      <c r="AK540">
        <v>13.7</v>
      </c>
      <c r="AL540">
        <v>50.558399999999999</v>
      </c>
      <c r="AM540">
        <v>5.5</v>
      </c>
      <c r="AN540">
        <v>-122364</v>
      </c>
      <c r="AO540">
        <v>0</v>
      </c>
      <c r="AP540">
        <v>100</v>
      </c>
      <c r="AQ540">
        <v>78.981200000000001</v>
      </c>
      <c r="AR540">
        <v>81.885499999999993</v>
      </c>
      <c r="AU540">
        <v>20.020700000000001</v>
      </c>
      <c r="AV540" s="19">
        <v>54.028399999999998</v>
      </c>
      <c r="AW540">
        <v>4.2</v>
      </c>
      <c r="AX540">
        <v>22.3</v>
      </c>
      <c r="AZ540">
        <v>4</v>
      </c>
      <c r="BA540">
        <v>59.478200000000001</v>
      </c>
      <c r="BB540">
        <v>11.3772</v>
      </c>
      <c r="BC540">
        <v>4.5058999999999996</v>
      </c>
      <c r="BD540" s="19">
        <v>-3.9060000000000001</v>
      </c>
      <c r="BE540" s="19">
        <v>73.205699999999993</v>
      </c>
      <c r="BF540">
        <v>33.881100000000004</v>
      </c>
      <c r="BG540">
        <v>24.1</v>
      </c>
      <c r="BH540" s="20">
        <v>0.44669999999999999</v>
      </c>
      <c r="BI540" s="20">
        <v>964.52530000000002</v>
      </c>
      <c r="BJ540" s="19">
        <v>58.293799999999997</v>
      </c>
      <c r="BK540">
        <v>0.98370000000000002</v>
      </c>
      <c r="BL540">
        <v>0.9889</v>
      </c>
      <c r="BM540">
        <v>0.99139999999999995</v>
      </c>
      <c r="BN540">
        <v>8</v>
      </c>
      <c r="BO540">
        <v>16.605</v>
      </c>
      <c r="BP540">
        <v>13.2</v>
      </c>
      <c r="BQ540" s="19">
        <v>98.965000000000003</v>
      </c>
      <c r="BR540">
        <v>74.482600000000005</v>
      </c>
      <c r="BS540" s="20">
        <v>6.9589999999999996</v>
      </c>
      <c r="BT540" s="20">
        <v>6.9589999999999996</v>
      </c>
      <c r="BU540" s="20">
        <v>22.193000000000001</v>
      </c>
      <c r="BV540" s="20">
        <v>22.108000000000001</v>
      </c>
      <c r="BW540" s="19">
        <v>59.241700000000002</v>
      </c>
      <c r="BX540">
        <v>36.6</v>
      </c>
      <c r="BY540" s="6">
        <v>6072757</v>
      </c>
      <c r="BZ540" s="5">
        <v>16051135</v>
      </c>
      <c r="CA540" s="7">
        <f t="shared" si="40"/>
        <v>2.643138034339263</v>
      </c>
      <c r="CB540">
        <v>20246871</v>
      </c>
      <c r="CC540" s="8">
        <f t="shared" si="41"/>
        <v>0.79277113979735436</v>
      </c>
      <c r="CD540" s="8">
        <f t="shared" si="42"/>
        <v>0.29993558016940003</v>
      </c>
      <c r="CE540">
        <v>238398</v>
      </c>
      <c r="CF540" s="8">
        <f t="shared" si="43"/>
        <v>25.473187694527638</v>
      </c>
      <c r="CG540" s="8">
        <f t="shared" si="44"/>
        <v>67.329151251268883</v>
      </c>
      <c r="CH540">
        <v>98.952209999999994</v>
      </c>
    </row>
    <row r="541" spans="1:86" ht="15.5" x14ac:dyDescent="0.35">
      <c r="A541" t="s">
        <v>108</v>
      </c>
      <c r="B541">
        <v>2011</v>
      </c>
      <c r="C541" s="2">
        <v>46.685000000000002</v>
      </c>
      <c r="D541">
        <v>142980.9</v>
      </c>
      <c r="E541">
        <v>0.17050000000000001</v>
      </c>
      <c r="F541">
        <v>4.4577</v>
      </c>
      <c r="G541">
        <v>125000</v>
      </c>
      <c r="H541">
        <v>10</v>
      </c>
      <c r="I541" s="19">
        <v>105.795</v>
      </c>
      <c r="J541" s="19">
        <v>106.637</v>
      </c>
      <c r="K541" s="19">
        <v>4.6689999999999996</v>
      </c>
      <c r="L541" s="19">
        <v>45.971600000000002</v>
      </c>
      <c r="M541" s="19">
        <v>-9098000000</v>
      </c>
      <c r="N541" s="19">
        <v>104.0274</v>
      </c>
      <c r="O541">
        <v>31.844999999999999</v>
      </c>
      <c r="P541">
        <v>16.1875</v>
      </c>
      <c r="Q541" s="19">
        <v>9547.2639999999992</v>
      </c>
      <c r="R541" s="19">
        <v>8044.5718999999999</v>
      </c>
      <c r="S541" s="19">
        <v>5.0107999999999997</v>
      </c>
      <c r="T541" s="19">
        <v>26149.4535</v>
      </c>
      <c r="U541" s="19">
        <v>18803.8802</v>
      </c>
      <c r="V541">
        <v>35.9</v>
      </c>
      <c r="W541" s="19">
        <v>48.815199999999997</v>
      </c>
      <c r="X541">
        <v>89</v>
      </c>
      <c r="Y541">
        <v>96</v>
      </c>
      <c r="Z541">
        <v>93</v>
      </c>
      <c r="AA541">
        <v>10</v>
      </c>
      <c r="AB541">
        <v>40</v>
      </c>
      <c r="AC541">
        <v>74.409800000000004</v>
      </c>
      <c r="AD541">
        <v>109.9986</v>
      </c>
      <c r="AE541">
        <v>20</v>
      </c>
      <c r="AF541">
        <v>82.605500000000006</v>
      </c>
      <c r="AG541">
        <v>10.4</v>
      </c>
      <c r="AH541">
        <v>2.48</v>
      </c>
      <c r="AI541">
        <v>11.8</v>
      </c>
      <c r="AJ541">
        <v>10.5</v>
      </c>
      <c r="AK541">
        <v>13</v>
      </c>
      <c r="AL541">
        <v>49.960900000000002</v>
      </c>
      <c r="AM541">
        <v>5.3</v>
      </c>
      <c r="AN541">
        <v>-102769</v>
      </c>
      <c r="AO541">
        <v>0</v>
      </c>
      <c r="AP541">
        <v>100</v>
      </c>
      <c r="AQ541">
        <v>79.855900000000005</v>
      </c>
      <c r="AR541">
        <v>81.922600000000003</v>
      </c>
      <c r="AU541">
        <v>21.363199999999999</v>
      </c>
      <c r="AV541" s="19">
        <v>53.554499999999997</v>
      </c>
      <c r="AW541">
        <v>5.4</v>
      </c>
      <c r="AX541">
        <v>22.9</v>
      </c>
      <c r="AZ541">
        <v>4</v>
      </c>
      <c r="BA541">
        <v>61.738500000000002</v>
      </c>
      <c r="BB541">
        <v>11.2121</v>
      </c>
      <c r="BC541">
        <v>3.3553999999999999</v>
      </c>
      <c r="BD541" s="19">
        <v>4.4960000000000004</v>
      </c>
      <c r="BE541" s="19">
        <v>73.933599999999998</v>
      </c>
      <c r="BF541">
        <v>26.571999999999999</v>
      </c>
      <c r="BG541">
        <v>21.1</v>
      </c>
      <c r="BH541" s="20">
        <v>0.47460000000000002</v>
      </c>
      <c r="BI541" s="20">
        <v>789.87509999999997</v>
      </c>
      <c r="BJ541" s="19">
        <v>57.746499999999997</v>
      </c>
      <c r="BK541">
        <v>0.98229999999999995</v>
      </c>
      <c r="BL541">
        <v>0.98570000000000002</v>
      </c>
      <c r="BM541">
        <v>0.98719999999999997</v>
      </c>
      <c r="BN541">
        <v>8</v>
      </c>
      <c r="BO541">
        <v>17.47</v>
      </c>
      <c r="BP541">
        <v>12.12</v>
      </c>
      <c r="BQ541" s="19">
        <v>99.72</v>
      </c>
      <c r="BR541">
        <v>72.81</v>
      </c>
      <c r="BS541" s="20">
        <v>7.1769999999999996</v>
      </c>
      <c r="BT541" s="20">
        <v>7.1769999999999996</v>
      </c>
      <c r="BU541" s="20">
        <v>24.074999999999999</v>
      </c>
      <c r="BV541" s="20">
        <v>23.908000000000001</v>
      </c>
      <c r="BW541" s="19">
        <v>58.685400000000001</v>
      </c>
      <c r="BX541">
        <v>32.74</v>
      </c>
      <c r="BY541" s="6">
        <v>7031606</v>
      </c>
      <c r="BZ541" s="5">
        <v>17979439</v>
      </c>
      <c r="CA541" s="7">
        <f t="shared" si="40"/>
        <v>2.5569463078562706</v>
      </c>
      <c r="CB541">
        <v>20147528</v>
      </c>
      <c r="CC541" s="8">
        <f t="shared" si="41"/>
        <v>0.89238932935097548</v>
      </c>
      <c r="CD541" s="8">
        <f t="shared" si="42"/>
        <v>0.34900589293138096</v>
      </c>
      <c r="CE541">
        <v>238398</v>
      </c>
      <c r="CF541" s="8">
        <f t="shared" si="43"/>
        <v>29.49523905401891</v>
      </c>
      <c r="CG541" s="8">
        <f t="shared" si="44"/>
        <v>75.417742598511737</v>
      </c>
      <c r="CH541">
        <v>101.23327</v>
      </c>
    </row>
    <row r="542" spans="1:86" ht="15.5" x14ac:dyDescent="0.35">
      <c r="A542" s="9" t="s">
        <v>108</v>
      </c>
      <c r="B542" s="9">
        <v>2012</v>
      </c>
      <c r="C542" s="10">
        <v>47.085900000000002</v>
      </c>
      <c r="D542" s="9">
        <v>136231</v>
      </c>
      <c r="E542" s="9">
        <v>0.16320000000000001</v>
      </c>
      <c r="F542" s="9">
        <v>4.3686999999999996</v>
      </c>
      <c r="G542" s="9">
        <v>121000</v>
      </c>
      <c r="H542" s="9">
        <v>10</v>
      </c>
      <c r="I542" s="21">
        <v>109.328</v>
      </c>
      <c r="J542" s="21">
        <v>111.93</v>
      </c>
      <c r="K542" s="21">
        <v>3.8420000000000001</v>
      </c>
      <c r="L542" s="21">
        <v>44.549799999999998</v>
      </c>
      <c r="M542" s="21">
        <v>-8318000000</v>
      </c>
      <c r="N542" s="21">
        <v>95.454999999999998</v>
      </c>
      <c r="O542" s="9">
        <v>30.827999999999999</v>
      </c>
      <c r="P542" s="9">
        <v>17.567499999999999</v>
      </c>
      <c r="Q542" s="21">
        <v>8918.5869999999995</v>
      </c>
      <c r="R542" s="21">
        <v>8234.2855</v>
      </c>
      <c r="S542" s="21">
        <v>2.3582999999999998</v>
      </c>
      <c r="T542" s="21">
        <v>26766.131000000001</v>
      </c>
      <c r="U542" s="21">
        <v>19807.416300000001</v>
      </c>
      <c r="V542" s="9">
        <v>36.5</v>
      </c>
      <c r="W542" s="21">
        <v>49.289099999999998</v>
      </c>
      <c r="X542" s="9">
        <v>91</v>
      </c>
      <c r="Y542" s="9">
        <v>96</v>
      </c>
      <c r="Z542" s="9">
        <v>94</v>
      </c>
      <c r="AA542" s="9">
        <v>9.5</v>
      </c>
      <c r="AB542" s="9">
        <v>45.9</v>
      </c>
      <c r="AC542" s="9">
        <v>74.412199999999999</v>
      </c>
      <c r="AD542" s="9">
        <v>87.781700000000001</v>
      </c>
      <c r="AE542" s="9">
        <v>19</v>
      </c>
      <c r="AF542" s="9">
        <v>82.693700000000007</v>
      </c>
      <c r="AG542" s="9">
        <v>10.4</v>
      </c>
      <c r="AH542" s="9">
        <v>2.2200000000000002</v>
      </c>
      <c r="AI542" s="9">
        <v>11.2</v>
      </c>
      <c r="AJ542" s="9">
        <v>10</v>
      </c>
      <c r="AK542" s="9">
        <v>12.4</v>
      </c>
      <c r="AL542" s="9">
        <v>48.730699999999999</v>
      </c>
      <c r="AM542" s="9">
        <v>5.0999999999999996</v>
      </c>
      <c r="AN542" s="9">
        <v>-37589</v>
      </c>
      <c r="AO542" s="9">
        <v>0</v>
      </c>
      <c r="AP542" s="9">
        <v>100</v>
      </c>
      <c r="AQ542" s="9">
        <v>80.692400000000006</v>
      </c>
      <c r="AR542" s="9">
        <v>81.926599999999993</v>
      </c>
      <c r="AS542" s="9"/>
      <c r="AT542" s="9"/>
      <c r="AU542" s="9">
        <v>19.425000000000001</v>
      </c>
      <c r="AV542" s="21">
        <v>48.815199999999997</v>
      </c>
      <c r="AW542" s="9">
        <v>6.2</v>
      </c>
      <c r="AX542" s="9">
        <v>23</v>
      </c>
      <c r="AY542" s="9"/>
      <c r="AZ542" s="9">
        <v>4</v>
      </c>
      <c r="BA542" s="9">
        <v>64.042900000000003</v>
      </c>
      <c r="BB542" s="9">
        <v>13.349500000000001</v>
      </c>
      <c r="BC542" s="9">
        <v>3.4658000000000002</v>
      </c>
      <c r="BD542" s="21">
        <v>1.9039999999999999</v>
      </c>
      <c r="BE542" s="21">
        <v>68.720399999999998</v>
      </c>
      <c r="BF542" s="9">
        <v>25.738299999999999</v>
      </c>
      <c r="BG542" s="9">
        <v>21.5</v>
      </c>
      <c r="BH542" s="22">
        <v>0.46239999999999998</v>
      </c>
      <c r="BI542" s="22">
        <v>891.59990000000005</v>
      </c>
      <c r="BJ542" s="21">
        <v>57.746499999999997</v>
      </c>
      <c r="BK542" s="9">
        <v>0.98109999999999997</v>
      </c>
      <c r="BL542" s="9">
        <v>0.98719999999999997</v>
      </c>
      <c r="BM542" s="9">
        <v>0.99</v>
      </c>
      <c r="BN542" s="9">
        <v>8</v>
      </c>
      <c r="BO542" s="9">
        <v>16.806999999999999</v>
      </c>
      <c r="BP542" s="9">
        <v>12.6</v>
      </c>
      <c r="BQ542" s="21">
        <v>99.194100000000006</v>
      </c>
      <c r="BR542" s="9">
        <v>74.292000000000002</v>
      </c>
      <c r="BS542" s="22">
        <v>6.7939999999999996</v>
      </c>
      <c r="BT542" s="22">
        <v>6.7939999999999996</v>
      </c>
      <c r="BU542" s="22">
        <v>22.818000000000001</v>
      </c>
      <c r="BV542" s="22">
        <v>22.556000000000001</v>
      </c>
      <c r="BW542" s="21">
        <v>57.746499999999997</v>
      </c>
      <c r="BX542" s="9">
        <v>33.57</v>
      </c>
      <c r="BY542" s="14">
        <v>7653373</v>
      </c>
      <c r="BZ542" s="5">
        <v>19091379</v>
      </c>
      <c r="CA542" s="7">
        <f t="shared" si="40"/>
        <v>2.494505233182807</v>
      </c>
      <c r="CB542">
        <v>20058035</v>
      </c>
      <c r="CC542" s="8">
        <f t="shared" si="41"/>
        <v>0.95180704391033322</v>
      </c>
      <c r="CD542" s="8">
        <f t="shared" si="42"/>
        <v>0.38156145405070835</v>
      </c>
      <c r="CE542">
        <v>238398</v>
      </c>
      <c r="CF542" s="8">
        <f t="shared" si="43"/>
        <v>32.103343987785131</v>
      </c>
      <c r="CG542" s="8">
        <f t="shared" si="44"/>
        <v>80.081959580197818</v>
      </c>
      <c r="CH542" s="9">
        <v>97.041290000000004</v>
      </c>
    </row>
    <row r="543" spans="1:86" ht="15.5" x14ac:dyDescent="0.35">
      <c r="A543" t="s">
        <v>108</v>
      </c>
      <c r="B543">
        <v>2013</v>
      </c>
      <c r="C543" s="2">
        <v>47.3962</v>
      </c>
      <c r="D543">
        <v>129654.5</v>
      </c>
      <c r="E543">
        <v>0.1477</v>
      </c>
      <c r="F543">
        <v>3.9792000000000001</v>
      </c>
      <c r="G543">
        <v>112000</v>
      </c>
      <c r="H543">
        <v>10</v>
      </c>
      <c r="I543" s="19">
        <v>113.703</v>
      </c>
      <c r="J543" s="19">
        <v>113.68600000000001</v>
      </c>
      <c r="K543" s="19">
        <v>3.1909999999999998</v>
      </c>
      <c r="L543" s="19">
        <v>47.8673</v>
      </c>
      <c r="M543" s="19">
        <v>-2128000000</v>
      </c>
      <c r="N543" s="19">
        <v>108.6802</v>
      </c>
      <c r="O543">
        <v>30.582000000000001</v>
      </c>
      <c r="P543">
        <v>18.8919</v>
      </c>
      <c r="Q543" s="19">
        <v>9482.4480000000003</v>
      </c>
      <c r="R543" s="19">
        <v>8287.9583999999995</v>
      </c>
      <c r="S543" s="19">
        <v>0.65180000000000005</v>
      </c>
      <c r="T543" s="19">
        <v>26940.598600000001</v>
      </c>
      <c r="U543" s="19">
        <v>19678.144400000001</v>
      </c>
      <c r="V543">
        <v>36.9</v>
      </c>
      <c r="W543" s="19">
        <v>59.241700000000002</v>
      </c>
      <c r="X543">
        <v>92</v>
      </c>
      <c r="Y543">
        <v>96</v>
      </c>
      <c r="Z543">
        <v>92</v>
      </c>
      <c r="AA543">
        <v>8.9</v>
      </c>
      <c r="AB543">
        <v>49.8</v>
      </c>
      <c r="AC543">
        <v>75.063400000000001</v>
      </c>
      <c r="AD543">
        <v>86.083500000000001</v>
      </c>
      <c r="AE543">
        <v>18</v>
      </c>
      <c r="AF543">
        <v>82.989500000000007</v>
      </c>
      <c r="AG543">
        <v>9.6999999999999993</v>
      </c>
      <c r="AH543">
        <v>2.16</v>
      </c>
      <c r="AI543">
        <v>10.5</v>
      </c>
      <c r="AJ543">
        <v>9.4</v>
      </c>
      <c r="AK543">
        <v>11.6</v>
      </c>
      <c r="AL543">
        <v>49.387</v>
      </c>
      <c r="AM543">
        <v>4.9000000000000004</v>
      </c>
      <c r="AN543">
        <v>-34910</v>
      </c>
      <c r="AO543">
        <v>0</v>
      </c>
      <c r="AP543">
        <v>100</v>
      </c>
      <c r="AQ543">
        <v>81.513800000000003</v>
      </c>
      <c r="AR543">
        <v>81.9161</v>
      </c>
      <c r="AU543">
        <v>17.871099999999998</v>
      </c>
      <c r="AV543" s="19">
        <v>54.028399999999998</v>
      </c>
      <c r="AW543">
        <v>6.6</v>
      </c>
      <c r="AX543">
        <v>25.1</v>
      </c>
      <c r="AY543">
        <v>6</v>
      </c>
      <c r="AZ543">
        <v>5</v>
      </c>
      <c r="BA543">
        <v>66.412400000000005</v>
      </c>
      <c r="BB543">
        <v>13.349500000000001</v>
      </c>
      <c r="BC543">
        <v>4.1246999999999998</v>
      </c>
      <c r="BD543" s="19">
        <v>0.27900000000000003</v>
      </c>
      <c r="BE543" s="19">
        <v>71.563999999999993</v>
      </c>
      <c r="BF543">
        <v>34.811700000000002</v>
      </c>
      <c r="BG543">
        <v>23.1</v>
      </c>
      <c r="BH543" s="20">
        <v>0.39019999999999999</v>
      </c>
      <c r="BI543" s="20">
        <v>923.69510000000002</v>
      </c>
      <c r="BJ543" s="19">
        <v>58.685400000000001</v>
      </c>
      <c r="BM543">
        <v>0.98770000000000002</v>
      </c>
      <c r="BN543">
        <v>8</v>
      </c>
      <c r="BO543">
        <v>16.959</v>
      </c>
      <c r="BP543">
        <v>12.23</v>
      </c>
      <c r="BQ543" s="19">
        <v>98.56</v>
      </c>
      <c r="BR543">
        <v>72.986199999999997</v>
      </c>
      <c r="BS543" s="20">
        <v>7.0960000000000001</v>
      </c>
      <c r="BT543" s="20">
        <v>7.0960000000000001</v>
      </c>
      <c r="BU543" s="20">
        <v>24.029</v>
      </c>
      <c r="BV543" s="20">
        <v>23.727</v>
      </c>
      <c r="BW543" s="19">
        <v>57.746499999999997</v>
      </c>
      <c r="BX543">
        <v>32.81</v>
      </c>
      <c r="BY543" s="6">
        <v>7918535</v>
      </c>
      <c r="BZ543" s="5">
        <v>19301768</v>
      </c>
      <c r="CA543" s="7">
        <f t="shared" si="40"/>
        <v>2.4375428030563735</v>
      </c>
      <c r="CB543">
        <v>19983693</v>
      </c>
      <c r="CC543" s="8">
        <f t="shared" si="41"/>
        <v>0.96587592693702806</v>
      </c>
      <c r="CD543" s="8">
        <f t="shared" si="42"/>
        <v>0.39624983230076644</v>
      </c>
      <c r="CE543">
        <v>238398</v>
      </c>
      <c r="CF543" s="8">
        <f t="shared" si="43"/>
        <v>33.21561003028549</v>
      </c>
      <c r="CG543" s="8">
        <f t="shared" si="44"/>
        <v>80.964471178449486</v>
      </c>
      <c r="CH543">
        <v>99.842100000000002</v>
      </c>
    </row>
    <row r="544" spans="1:86" ht="15.5" x14ac:dyDescent="0.35">
      <c r="A544" t="s">
        <v>108</v>
      </c>
      <c r="B544">
        <v>2014</v>
      </c>
      <c r="C544" s="2">
        <v>48.045999999999999</v>
      </c>
      <c r="D544">
        <v>127005.9</v>
      </c>
      <c r="E544">
        <v>0.1409</v>
      </c>
      <c r="F544">
        <v>3.9670000000000001</v>
      </c>
      <c r="G544">
        <v>112000</v>
      </c>
      <c r="H544">
        <v>10</v>
      </c>
      <c r="I544" s="19">
        <v>114.926</v>
      </c>
      <c r="J544" s="19">
        <v>114.627</v>
      </c>
      <c r="K544" s="19">
        <v>2.8130000000000002</v>
      </c>
      <c r="L544" s="19">
        <v>51.923099999999998</v>
      </c>
      <c r="M544" s="19">
        <v>-643000000</v>
      </c>
      <c r="N544" s="19">
        <v>115.0665</v>
      </c>
      <c r="O544">
        <v>30.728999999999999</v>
      </c>
      <c r="P544">
        <v>20.114000000000001</v>
      </c>
      <c r="Q544" s="19">
        <v>10025.886</v>
      </c>
      <c r="R544" s="19">
        <v>8661.4740000000002</v>
      </c>
      <c r="S544" s="19">
        <v>4.5067000000000004</v>
      </c>
      <c r="T544" s="19">
        <v>28154.737400000002</v>
      </c>
      <c r="U544" s="19">
        <v>20632.9794</v>
      </c>
      <c r="V544">
        <v>36</v>
      </c>
      <c r="W544" s="19">
        <v>62.019199999999998</v>
      </c>
      <c r="X544">
        <v>94</v>
      </c>
      <c r="Y544">
        <v>94</v>
      </c>
      <c r="Z544">
        <v>89</v>
      </c>
      <c r="AA544">
        <v>8.3000000000000007</v>
      </c>
      <c r="AB544">
        <v>54.1</v>
      </c>
      <c r="AC544">
        <v>74.909800000000004</v>
      </c>
      <c r="AD544">
        <v>87.4238</v>
      </c>
      <c r="AE544">
        <v>18</v>
      </c>
      <c r="AF544">
        <v>83.108500000000006</v>
      </c>
      <c r="AG544">
        <v>10</v>
      </c>
      <c r="AH544">
        <v>1.93</v>
      </c>
      <c r="AI544">
        <v>9.9</v>
      </c>
      <c r="AJ544">
        <v>8.8000000000000007</v>
      </c>
      <c r="AK544">
        <v>10.9</v>
      </c>
      <c r="AL544">
        <v>50.464700000000001</v>
      </c>
      <c r="AM544">
        <v>4.7</v>
      </c>
      <c r="AN544">
        <v>-35448</v>
      </c>
      <c r="AO544">
        <v>0</v>
      </c>
      <c r="AP544">
        <v>100</v>
      </c>
      <c r="AQ544">
        <v>82.335899999999995</v>
      </c>
      <c r="AR544">
        <v>81.905600000000007</v>
      </c>
      <c r="AU544">
        <v>17.989799999999999</v>
      </c>
      <c r="AV544" s="19">
        <v>48.571399999999997</v>
      </c>
      <c r="AW544">
        <v>7</v>
      </c>
      <c r="AX544">
        <v>25.4</v>
      </c>
      <c r="AY544">
        <v>6</v>
      </c>
      <c r="AZ544">
        <v>5</v>
      </c>
      <c r="BA544">
        <v>68.862399999999994</v>
      </c>
      <c r="BB544">
        <v>13.513500000000001</v>
      </c>
      <c r="BC544">
        <v>3.9661</v>
      </c>
      <c r="BD544" s="19">
        <v>4.1159999999999997</v>
      </c>
      <c r="BE544" s="19">
        <v>70.673100000000005</v>
      </c>
      <c r="BF544">
        <v>42.026200000000003</v>
      </c>
      <c r="BG544">
        <v>24.3</v>
      </c>
      <c r="BH544" s="20">
        <v>0.3821</v>
      </c>
      <c r="BI544" s="20">
        <v>904.75739999999996</v>
      </c>
      <c r="BJ544" s="19">
        <v>64.903800000000004</v>
      </c>
      <c r="BM544">
        <v>0.99570000000000003</v>
      </c>
      <c r="BN544">
        <v>8</v>
      </c>
      <c r="BO544">
        <v>17.013000000000002</v>
      </c>
      <c r="BP544">
        <v>11.33</v>
      </c>
      <c r="BQ544" s="19">
        <v>98.120199999999997</v>
      </c>
      <c r="BR544">
        <v>73.132000000000005</v>
      </c>
      <c r="BS544" s="20">
        <v>6.8019999999999996</v>
      </c>
      <c r="BT544" s="20">
        <v>6.8019999999999996</v>
      </c>
      <c r="BU544" s="20">
        <v>24.373999999999999</v>
      </c>
      <c r="BV544" s="20">
        <v>24.021000000000001</v>
      </c>
      <c r="BW544" s="19">
        <v>60.591099999999997</v>
      </c>
      <c r="BX544">
        <v>33.549999999999997</v>
      </c>
      <c r="BY544" s="6">
        <v>8444030</v>
      </c>
      <c r="BZ544" s="5">
        <v>20230245</v>
      </c>
      <c r="CA544" s="7">
        <f t="shared" si="40"/>
        <v>2.395804491457278</v>
      </c>
      <c r="CB544">
        <v>19908979</v>
      </c>
      <c r="CC544" s="8">
        <f t="shared" si="41"/>
        <v>1.0161367391065106</v>
      </c>
      <c r="CD544" s="8">
        <f t="shared" si="42"/>
        <v>0.42413174477706767</v>
      </c>
      <c r="CE544">
        <v>238398</v>
      </c>
      <c r="CF544" s="8">
        <f t="shared" si="43"/>
        <v>35.419886072869737</v>
      </c>
      <c r="CG544" s="8">
        <f t="shared" si="44"/>
        <v>84.859122140286416</v>
      </c>
      <c r="CH544">
        <v>100.61493</v>
      </c>
    </row>
    <row r="545" spans="1:86" ht="15.5" x14ac:dyDescent="0.35">
      <c r="A545" t="s">
        <v>108</v>
      </c>
      <c r="B545">
        <v>2015</v>
      </c>
      <c r="C545" s="2">
        <v>48.957299999999996</v>
      </c>
      <c r="D545">
        <v>129030</v>
      </c>
      <c r="E545">
        <v>0.1389</v>
      </c>
      <c r="F545">
        <v>4.0518999999999998</v>
      </c>
      <c r="G545">
        <v>113000</v>
      </c>
      <c r="H545">
        <v>10</v>
      </c>
      <c r="I545" s="19">
        <v>114.241</v>
      </c>
      <c r="J545" s="19">
        <v>113.542</v>
      </c>
      <c r="K545" s="19">
        <v>2.79</v>
      </c>
      <c r="L545" s="19">
        <v>51.904800000000002</v>
      </c>
      <c r="M545" s="19">
        <v>-1156000000</v>
      </c>
      <c r="N545" s="19">
        <v>100</v>
      </c>
      <c r="O545">
        <v>31.535</v>
      </c>
      <c r="P545">
        <v>21.449000000000002</v>
      </c>
      <c r="Q545" s="19">
        <v>8951.7980000000007</v>
      </c>
      <c r="R545" s="19">
        <v>8977.0174999999999</v>
      </c>
      <c r="S545" s="19">
        <v>3.6431</v>
      </c>
      <c r="T545" s="19">
        <v>29180.434000000001</v>
      </c>
      <c r="U545" s="19">
        <v>21630.464400000001</v>
      </c>
      <c r="V545">
        <v>35.9</v>
      </c>
      <c r="W545" s="19">
        <v>56.666699999999999</v>
      </c>
      <c r="X545">
        <v>89</v>
      </c>
      <c r="Y545">
        <v>90</v>
      </c>
      <c r="Z545">
        <v>86</v>
      </c>
      <c r="AA545">
        <v>7.7</v>
      </c>
      <c r="AB545">
        <v>55.8</v>
      </c>
      <c r="AC545">
        <v>74.912199999999999</v>
      </c>
      <c r="AD545">
        <v>85.924400000000006</v>
      </c>
      <c r="AE545">
        <v>18</v>
      </c>
      <c r="AF545">
        <v>85.060699999999997</v>
      </c>
      <c r="AG545">
        <v>10</v>
      </c>
      <c r="AH545">
        <v>1.95</v>
      </c>
      <c r="AI545">
        <v>9.1999999999999993</v>
      </c>
      <c r="AJ545">
        <v>8.1999999999999993</v>
      </c>
      <c r="AK545">
        <v>10.1</v>
      </c>
      <c r="AL545">
        <v>51.196899999999999</v>
      </c>
      <c r="AM545">
        <v>4.3</v>
      </c>
      <c r="AN545">
        <v>-35751</v>
      </c>
      <c r="AO545">
        <v>0</v>
      </c>
      <c r="AP545">
        <v>100</v>
      </c>
      <c r="AQ545">
        <v>83.165400000000005</v>
      </c>
      <c r="AR545">
        <v>81.901899999999998</v>
      </c>
      <c r="AU545">
        <v>17.4955</v>
      </c>
      <c r="AV545" s="19">
        <v>54.285699999999999</v>
      </c>
      <c r="AW545">
        <v>5.3</v>
      </c>
      <c r="AX545">
        <v>25.3</v>
      </c>
      <c r="AY545">
        <v>6</v>
      </c>
      <c r="AZ545">
        <v>5</v>
      </c>
      <c r="BA545">
        <v>71.400400000000005</v>
      </c>
      <c r="BB545">
        <v>13.7157</v>
      </c>
      <c r="BC545">
        <v>3.8527</v>
      </c>
      <c r="BD545" s="19">
        <v>3.157</v>
      </c>
      <c r="BE545" s="19">
        <v>70</v>
      </c>
      <c r="BF545">
        <v>40.086300000000001</v>
      </c>
      <c r="BG545">
        <v>23.7</v>
      </c>
      <c r="BH545" s="20">
        <v>0.48799999999999999</v>
      </c>
      <c r="BI545" s="20">
        <v>876.41010000000006</v>
      </c>
      <c r="BJ545" s="19">
        <v>61.428600000000003</v>
      </c>
      <c r="BK545">
        <v>0.98509999999999998</v>
      </c>
      <c r="BL545">
        <v>0.99450000000000005</v>
      </c>
      <c r="BM545">
        <v>1.0004</v>
      </c>
      <c r="BN545">
        <v>8</v>
      </c>
      <c r="BO545">
        <v>18.084</v>
      </c>
      <c r="BP545">
        <v>11.52</v>
      </c>
      <c r="BQ545" s="19">
        <v>100</v>
      </c>
      <c r="BR545">
        <v>74.925700000000006</v>
      </c>
      <c r="BS545" s="20">
        <v>6.8120000000000003</v>
      </c>
      <c r="BT545" s="20">
        <v>6.8120000000000003</v>
      </c>
      <c r="BU545" s="20">
        <v>22.038</v>
      </c>
      <c r="BV545" s="20">
        <v>21.661000000000001</v>
      </c>
      <c r="BW545" s="19">
        <v>63.546799999999998</v>
      </c>
      <c r="BX545">
        <v>31.5</v>
      </c>
      <c r="BY545" s="6">
        <v>9898557</v>
      </c>
      <c r="BZ545" s="5">
        <v>23445286</v>
      </c>
      <c r="CA545" s="7">
        <f t="shared" si="40"/>
        <v>2.3685559420428652</v>
      </c>
      <c r="CB545">
        <v>19815616</v>
      </c>
      <c r="CC545" s="8">
        <f t="shared" si="41"/>
        <v>1.1831722011569057</v>
      </c>
      <c r="CD545" s="8">
        <f t="shared" si="42"/>
        <v>0.4995331459794134</v>
      </c>
      <c r="CE545">
        <v>238398</v>
      </c>
      <c r="CF545" s="8">
        <f t="shared" si="43"/>
        <v>41.521141116955683</v>
      </c>
      <c r="CG545" s="8">
        <f t="shared" si="44"/>
        <v>98.345145512965715</v>
      </c>
      <c r="CH545">
        <v>100</v>
      </c>
    </row>
    <row r="546" spans="1:86" ht="15.5" x14ac:dyDescent="0.35">
      <c r="A546" t="s">
        <v>108</v>
      </c>
      <c r="B546">
        <v>2016</v>
      </c>
      <c r="C546" s="2">
        <v>49.890700000000002</v>
      </c>
      <c r="D546">
        <v>135884.6</v>
      </c>
      <c r="E546">
        <v>0.1323</v>
      </c>
      <c r="F546">
        <v>3.9942000000000002</v>
      </c>
      <c r="G546">
        <v>113000</v>
      </c>
      <c r="H546">
        <v>10</v>
      </c>
      <c r="I546" s="19">
        <v>112.465</v>
      </c>
      <c r="J546" s="19">
        <v>112.93600000000001</v>
      </c>
      <c r="K546" s="19">
        <v>2.9319999999999999</v>
      </c>
      <c r="L546" s="19">
        <v>51.428600000000003</v>
      </c>
      <c r="M546" s="19">
        <v>-3864000000</v>
      </c>
      <c r="N546" s="19">
        <v>104.85039999999999</v>
      </c>
      <c r="O546">
        <v>32.417000000000002</v>
      </c>
      <c r="P546">
        <v>22.4983</v>
      </c>
      <c r="Q546" s="19">
        <v>9379.1149999999998</v>
      </c>
      <c r="R546" s="19">
        <v>9286.8768</v>
      </c>
      <c r="S546" s="19">
        <v>3.4517000000000002</v>
      </c>
      <c r="T546" s="19">
        <v>30187.653699999999</v>
      </c>
      <c r="U546" s="19">
        <v>23905.250100000001</v>
      </c>
      <c r="V546">
        <v>34.4</v>
      </c>
      <c r="W546" s="19">
        <v>49.523800000000001</v>
      </c>
      <c r="X546">
        <v>89</v>
      </c>
      <c r="Y546">
        <v>90</v>
      </c>
      <c r="Z546">
        <v>86</v>
      </c>
      <c r="AA546">
        <v>7.1</v>
      </c>
      <c r="AB546">
        <v>59.5</v>
      </c>
      <c r="AC546">
        <v>75.209800000000001</v>
      </c>
      <c r="AD546">
        <v>87.094499999999996</v>
      </c>
      <c r="AE546">
        <v>17</v>
      </c>
      <c r="AF546">
        <v>83.534400000000005</v>
      </c>
      <c r="AG546">
        <v>10.3</v>
      </c>
      <c r="AH546">
        <v>1.91</v>
      </c>
      <c r="AI546">
        <v>8.5</v>
      </c>
      <c r="AJ546">
        <v>7.6</v>
      </c>
      <c r="AK546">
        <v>9.4</v>
      </c>
      <c r="AL546">
        <v>50.845799999999997</v>
      </c>
      <c r="AM546">
        <v>3.9</v>
      </c>
      <c r="AN546">
        <v>-33073</v>
      </c>
      <c r="AO546">
        <v>0</v>
      </c>
      <c r="AP546">
        <v>100</v>
      </c>
      <c r="AQ546">
        <v>84.001800000000003</v>
      </c>
      <c r="AR546">
        <v>81.905600000000007</v>
      </c>
      <c r="AU546">
        <v>16.598299999999998</v>
      </c>
      <c r="AV546" s="19">
        <v>55.238100000000003</v>
      </c>
      <c r="AW546">
        <v>3.2</v>
      </c>
      <c r="AX546">
        <v>23.6</v>
      </c>
      <c r="AY546">
        <v>6</v>
      </c>
      <c r="AZ546">
        <v>5</v>
      </c>
      <c r="BA546">
        <v>74.027699999999996</v>
      </c>
      <c r="BB546">
        <v>13.7157</v>
      </c>
      <c r="BC546">
        <v>3.9719000000000002</v>
      </c>
      <c r="BD546" s="19">
        <v>2.86</v>
      </c>
      <c r="BE546" s="19">
        <v>69.047600000000003</v>
      </c>
      <c r="BF546">
        <v>42.205500000000001</v>
      </c>
      <c r="BG546">
        <v>24.4</v>
      </c>
      <c r="BH546" s="20">
        <v>0.48859999999999998</v>
      </c>
      <c r="BI546" s="20">
        <v>910.44849999999997</v>
      </c>
      <c r="BJ546" s="19">
        <v>67.142899999999997</v>
      </c>
      <c r="BK546">
        <v>0.98750000000000004</v>
      </c>
      <c r="BL546">
        <v>0.99370000000000003</v>
      </c>
      <c r="BM546">
        <v>0.99760000000000004</v>
      </c>
      <c r="BN546">
        <v>8</v>
      </c>
      <c r="BO546">
        <v>17.382000000000001</v>
      </c>
      <c r="BP546">
        <v>10.31</v>
      </c>
      <c r="BQ546" s="19">
        <v>100.21</v>
      </c>
      <c r="BR546">
        <v>76.885499999999993</v>
      </c>
      <c r="BS546" s="20">
        <v>5.9009999999999998</v>
      </c>
      <c r="BT546" s="20">
        <v>5.9009999999999998</v>
      </c>
      <c r="BU546" s="20">
        <v>21.03</v>
      </c>
      <c r="BV546" s="20">
        <v>20.603000000000002</v>
      </c>
      <c r="BW546" s="19">
        <v>65.517200000000003</v>
      </c>
      <c r="BX546">
        <v>31.44</v>
      </c>
      <c r="BY546" s="6">
        <v>10917232</v>
      </c>
      <c r="BZ546" s="5">
        <v>25274649</v>
      </c>
      <c r="CA546" s="7">
        <f t="shared" si="40"/>
        <v>2.3151151317476812</v>
      </c>
      <c r="CB546">
        <v>19702267</v>
      </c>
      <c r="CC546" s="8">
        <f t="shared" si="41"/>
        <v>1.2828294835310068</v>
      </c>
      <c r="CD546" s="8">
        <f t="shared" si="42"/>
        <v>0.55411044830526357</v>
      </c>
      <c r="CE546">
        <v>238398</v>
      </c>
      <c r="CF546" s="8">
        <f t="shared" si="43"/>
        <v>45.794142568310136</v>
      </c>
      <c r="CG546" s="8">
        <f t="shared" si="44"/>
        <v>106.01871240530541</v>
      </c>
      <c r="CH546">
        <v>97.865780000000001</v>
      </c>
    </row>
    <row r="547" spans="1:86" ht="15.5" x14ac:dyDescent="0.35">
      <c r="A547" t="s">
        <v>108</v>
      </c>
      <c r="B547">
        <v>2017</v>
      </c>
      <c r="C547" s="2">
        <v>50.9129</v>
      </c>
      <c r="D547">
        <v>136504.5</v>
      </c>
      <c r="E547">
        <v>0.12709999999999999</v>
      </c>
      <c r="F547">
        <v>4.1750999999999996</v>
      </c>
      <c r="G547">
        <v>113000</v>
      </c>
      <c r="H547">
        <v>10</v>
      </c>
      <c r="I547" s="19">
        <v>113.977</v>
      </c>
      <c r="J547" s="19">
        <v>116.68600000000001</v>
      </c>
      <c r="K547" s="19">
        <v>3.3260000000000001</v>
      </c>
      <c r="L547" s="19">
        <v>51.428600000000003</v>
      </c>
      <c r="M547" s="19">
        <v>-6706000000</v>
      </c>
      <c r="N547" s="19">
        <v>116.77719999999999</v>
      </c>
      <c r="O547">
        <v>30.088000000000001</v>
      </c>
      <c r="P547">
        <v>24.148900000000001</v>
      </c>
      <c r="Q547" s="19">
        <v>10717.275</v>
      </c>
      <c r="R547" s="19">
        <v>10106.227000000001</v>
      </c>
      <c r="S547" s="19">
        <v>8.8226999999999993</v>
      </c>
      <c r="T547" s="19">
        <v>32851.009700000002</v>
      </c>
      <c r="U547" s="19">
        <v>26943.432400000002</v>
      </c>
      <c r="V547">
        <v>36</v>
      </c>
      <c r="W547" s="19">
        <v>49.047600000000003</v>
      </c>
      <c r="X547">
        <v>82</v>
      </c>
      <c r="Y547">
        <v>92</v>
      </c>
      <c r="Z547">
        <v>86</v>
      </c>
      <c r="AA547">
        <v>6.5</v>
      </c>
      <c r="AB547">
        <v>63.7</v>
      </c>
      <c r="AC547">
        <v>75.209800000000001</v>
      </c>
      <c r="AD547">
        <v>84.323599999999999</v>
      </c>
      <c r="AE547">
        <v>17</v>
      </c>
      <c r="AF547">
        <v>83.753200000000007</v>
      </c>
      <c r="AG547">
        <v>10.6</v>
      </c>
      <c r="AH547">
        <v>1.95</v>
      </c>
      <c r="AI547">
        <v>7.9</v>
      </c>
      <c r="AJ547">
        <v>7.1</v>
      </c>
      <c r="AK547">
        <v>8.6</v>
      </c>
      <c r="AL547">
        <v>51.117400000000004</v>
      </c>
      <c r="AM547">
        <v>3.6</v>
      </c>
      <c r="AN547">
        <v>-33081</v>
      </c>
      <c r="AO547">
        <v>0</v>
      </c>
      <c r="AP547">
        <v>100</v>
      </c>
      <c r="AQ547">
        <v>84.843599999999995</v>
      </c>
      <c r="AR547">
        <v>81.915800000000004</v>
      </c>
      <c r="AU547">
        <v>17.044599999999999</v>
      </c>
      <c r="AV547" s="19">
        <v>48.571399999999997</v>
      </c>
      <c r="AW547">
        <v>3.3</v>
      </c>
      <c r="AX547">
        <v>23.5</v>
      </c>
      <c r="AY547">
        <v>6</v>
      </c>
      <c r="AZ547">
        <v>5</v>
      </c>
      <c r="BA547">
        <v>76.744299999999996</v>
      </c>
      <c r="BB547">
        <v>20.668700000000001</v>
      </c>
      <c r="BC547">
        <v>4.0777000000000001</v>
      </c>
      <c r="BD547" s="19">
        <v>8.1950000000000003</v>
      </c>
      <c r="BE547" s="19">
        <v>68.571399999999997</v>
      </c>
      <c r="BF547">
        <v>38.323999999999998</v>
      </c>
      <c r="BG547">
        <v>23.4</v>
      </c>
      <c r="BH547" s="20">
        <v>0.50690000000000002</v>
      </c>
      <c r="BI547" s="20">
        <v>887.74689999999998</v>
      </c>
      <c r="BJ547" s="19">
        <v>67.142899999999997</v>
      </c>
      <c r="BK547">
        <v>0.98670000000000002</v>
      </c>
      <c r="BL547">
        <v>0.99719999999999998</v>
      </c>
      <c r="BM547">
        <v>1.0037</v>
      </c>
      <c r="BN547">
        <v>8</v>
      </c>
      <c r="BO547">
        <v>15.154</v>
      </c>
      <c r="BP547">
        <v>10.1</v>
      </c>
      <c r="BQ547" s="19">
        <v>98.050399999999996</v>
      </c>
      <c r="BR547">
        <v>79.894499999999994</v>
      </c>
      <c r="BS547" s="20">
        <v>4.9269999999999996</v>
      </c>
      <c r="BT547" s="20">
        <v>4.9269999999999996</v>
      </c>
      <c r="BU547" s="20">
        <v>18.731999999999999</v>
      </c>
      <c r="BV547" s="20">
        <v>18.32</v>
      </c>
      <c r="BW547" s="19">
        <v>67.487700000000004</v>
      </c>
      <c r="BX547">
        <v>31.7</v>
      </c>
      <c r="BY547" s="6">
        <v>12056173</v>
      </c>
      <c r="BZ547" s="5">
        <v>26915573</v>
      </c>
      <c r="CA547" s="7">
        <f t="shared" si="40"/>
        <v>2.2325138333698429</v>
      </c>
      <c r="CB547">
        <v>19588715</v>
      </c>
      <c r="CC547" s="8">
        <f t="shared" si="41"/>
        <v>1.3740346418843707</v>
      </c>
      <c r="CD547" s="8">
        <f t="shared" si="42"/>
        <v>0.61546523087400062</v>
      </c>
      <c r="CE547">
        <v>238398</v>
      </c>
      <c r="CF547" s="8">
        <f t="shared" si="43"/>
        <v>50.571619728353426</v>
      </c>
      <c r="CG547" s="8">
        <f t="shared" si="44"/>
        <v>112.90184061946829</v>
      </c>
      <c r="CH547">
        <v>95.551460000000006</v>
      </c>
    </row>
    <row r="548" spans="1:86" ht="15.5" x14ac:dyDescent="0.35">
      <c r="A548" t="s">
        <v>108</v>
      </c>
      <c r="B548">
        <v>2018</v>
      </c>
      <c r="C548" s="2">
        <v>51.974600000000002</v>
      </c>
      <c r="D548">
        <v>121700</v>
      </c>
      <c r="E548">
        <v>0.1215</v>
      </c>
      <c r="F548">
        <v>4.2615999999999996</v>
      </c>
      <c r="G548">
        <v>113000</v>
      </c>
      <c r="H548">
        <v>10</v>
      </c>
      <c r="I548" s="19">
        <v>119.254</v>
      </c>
      <c r="J548" s="19">
        <v>120.491</v>
      </c>
      <c r="K548" s="19">
        <v>3.5790000000000002</v>
      </c>
      <c r="L548" s="19">
        <v>48.095199999999998</v>
      </c>
      <c r="M548" s="19">
        <v>-11221000000</v>
      </c>
      <c r="N548" s="19">
        <v>131.46289999999999</v>
      </c>
      <c r="O548">
        <v>30.062999999999999</v>
      </c>
      <c r="P548">
        <v>25.970199999999998</v>
      </c>
      <c r="Q548" s="19">
        <v>12473.519</v>
      </c>
      <c r="R548" s="19">
        <v>10788.015100000001</v>
      </c>
      <c r="S548" s="19">
        <v>6.7462</v>
      </c>
      <c r="T548" s="19">
        <v>35067.210599999999</v>
      </c>
      <c r="U548" s="19">
        <v>29586.499800000001</v>
      </c>
      <c r="V548">
        <v>35.799999999999997</v>
      </c>
      <c r="W548" s="19">
        <v>46.666699999999999</v>
      </c>
      <c r="X548">
        <v>86</v>
      </c>
      <c r="Y548">
        <v>93</v>
      </c>
      <c r="Z548">
        <v>90</v>
      </c>
      <c r="AA548">
        <v>6</v>
      </c>
      <c r="AB548">
        <v>70.7</v>
      </c>
      <c r="AC548">
        <v>75.358500000000006</v>
      </c>
      <c r="AD548">
        <v>84.092200000000005</v>
      </c>
      <c r="AE548">
        <v>15</v>
      </c>
      <c r="AF548">
        <v>84.107600000000005</v>
      </c>
      <c r="AG548">
        <v>10.199999999999999</v>
      </c>
      <c r="AH548">
        <v>1.75</v>
      </c>
      <c r="AI548">
        <v>7.3</v>
      </c>
      <c r="AJ548">
        <v>6.6</v>
      </c>
      <c r="AK548">
        <v>7.9</v>
      </c>
      <c r="AL548">
        <v>51.464799999999997</v>
      </c>
      <c r="AM548">
        <v>3.3</v>
      </c>
      <c r="AN548">
        <v>-33018</v>
      </c>
      <c r="AO548">
        <v>0</v>
      </c>
      <c r="AP548">
        <v>100</v>
      </c>
      <c r="AQ548">
        <v>85.690600000000003</v>
      </c>
      <c r="AR548">
        <v>81.933400000000006</v>
      </c>
      <c r="AU548">
        <v>17.172000000000001</v>
      </c>
      <c r="AV548" s="19">
        <v>49.056600000000003</v>
      </c>
      <c r="AW548">
        <v>2.7</v>
      </c>
      <c r="AX548">
        <v>23.8</v>
      </c>
      <c r="AY548">
        <v>6</v>
      </c>
      <c r="AZ548">
        <v>5</v>
      </c>
      <c r="BA548">
        <v>79.551699999999997</v>
      </c>
      <c r="BB548">
        <v>20.668700000000001</v>
      </c>
      <c r="BC548">
        <v>4.3973000000000004</v>
      </c>
      <c r="BD548" s="19">
        <v>6.1210000000000004</v>
      </c>
      <c r="BE548" s="19">
        <v>67.142899999999997</v>
      </c>
      <c r="BF548">
        <v>41.043999999999997</v>
      </c>
      <c r="BG548">
        <v>23</v>
      </c>
      <c r="BH548" s="20">
        <v>0.49730000000000002</v>
      </c>
      <c r="BI548" s="20">
        <v>876.17129999999997</v>
      </c>
      <c r="BJ548" s="19">
        <v>63.333300000000001</v>
      </c>
      <c r="BK548">
        <v>0.99150000000000005</v>
      </c>
      <c r="BL548">
        <v>0.99809999999999999</v>
      </c>
      <c r="BM548">
        <v>1.0024999999999999</v>
      </c>
      <c r="BN548">
        <v>8</v>
      </c>
      <c r="BO548">
        <v>14.516999999999999</v>
      </c>
      <c r="BP548">
        <v>10.220000000000001</v>
      </c>
      <c r="BQ548" s="19">
        <v>98.040899999999993</v>
      </c>
      <c r="BR548">
        <v>82.451400000000007</v>
      </c>
      <c r="BS548" s="20">
        <v>4.1870000000000003</v>
      </c>
      <c r="BT548" s="20">
        <v>4.1870000000000003</v>
      </c>
      <c r="BU548" s="20">
        <v>16.611999999999998</v>
      </c>
      <c r="BV548" s="20">
        <v>16.239000000000001</v>
      </c>
      <c r="BW548" s="19">
        <v>65.534000000000006</v>
      </c>
      <c r="BX548">
        <v>29.34</v>
      </c>
      <c r="BY548" s="6">
        <v>12815999</v>
      </c>
      <c r="BZ548" s="5">
        <v>28461153</v>
      </c>
      <c r="CA548" s="7">
        <f t="shared" si="40"/>
        <v>2.2207518118564149</v>
      </c>
      <c r="CB548">
        <v>19473970</v>
      </c>
      <c r="CC548" s="8">
        <f t="shared" si="41"/>
        <v>1.461497219108379</v>
      </c>
      <c r="CD548" s="8">
        <f t="shared" si="42"/>
        <v>0.65810920937025164</v>
      </c>
      <c r="CE548">
        <v>238398</v>
      </c>
      <c r="CF548" s="8">
        <f t="shared" si="43"/>
        <v>53.758836064060937</v>
      </c>
      <c r="CG548" s="8">
        <f t="shared" si="44"/>
        <v>119.38503259255531</v>
      </c>
      <c r="CH548">
        <v>96.03734</v>
      </c>
    </row>
    <row r="549" spans="1:86" ht="15.5" x14ac:dyDescent="0.35">
      <c r="A549" t="s">
        <v>108</v>
      </c>
      <c r="B549">
        <v>2019</v>
      </c>
      <c r="C549" s="2">
        <v>53.018300000000004</v>
      </c>
      <c r="D549">
        <v>120368.5</v>
      </c>
      <c r="E549">
        <v>0.1143</v>
      </c>
      <c r="F549">
        <v>4.1891999999999996</v>
      </c>
      <c r="G549">
        <v>113000</v>
      </c>
      <c r="H549">
        <v>10</v>
      </c>
      <c r="I549" s="19">
        <v>123.816</v>
      </c>
      <c r="J549" s="19">
        <v>125.367</v>
      </c>
      <c r="K549" s="19">
        <v>3.831</v>
      </c>
      <c r="L549" s="19">
        <v>47.142899999999997</v>
      </c>
      <c r="M549" s="19">
        <v>-12206000000</v>
      </c>
      <c r="N549" s="19">
        <v>126.8608</v>
      </c>
      <c r="O549">
        <v>34.192999999999998</v>
      </c>
      <c r="P549">
        <v>27.060600000000001</v>
      </c>
      <c r="Q549" s="19">
        <v>12962.102999999999</v>
      </c>
      <c r="R549" s="19">
        <v>11270.4758</v>
      </c>
      <c r="S549" s="19">
        <v>4.4722</v>
      </c>
      <c r="T549" s="19">
        <v>36635.483500000002</v>
      </c>
      <c r="U549" s="19">
        <v>33638.686000000002</v>
      </c>
      <c r="V549">
        <v>34.799999999999997</v>
      </c>
      <c r="W549" s="19">
        <v>42.857100000000003</v>
      </c>
      <c r="X549">
        <v>88</v>
      </c>
      <c r="Y549">
        <v>90</v>
      </c>
      <c r="Z549">
        <v>90</v>
      </c>
      <c r="AA549">
        <v>5.6</v>
      </c>
      <c r="AB549">
        <v>73.7</v>
      </c>
      <c r="AC549">
        <v>75.607299999999995</v>
      </c>
      <c r="AD549">
        <v>86.309100000000001</v>
      </c>
      <c r="AE549">
        <v>14</v>
      </c>
      <c r="AF549">
        <v>84.107600000000005</v>
      </c>
      <c r="AG549">
        <v>10.3</v>
      </c>
      <c r="AH549">
        <v>1.76</v>
      </c>
      <c r="AI549">
        <v>6.8</v>
      </c>
      <c r="AJ549">
        <v>6.2</v>
      </c>
      <c r="AK549">
        <v>7.4</v>
      </c>
      <c r="AL549">
        <v>50.583399999999997</v>
      </c>
      <c r="AM549">
        <v>3.2</v>
      </c>
      <c r="AN549">
        <v>-27909</v>
      </c>
      <c r="AO549">
        <v>0</v>
      </c>
      <c r="AP549">
        <v>100</v>
      </c>
      <c r="AQ549">
        <v>86.541600000000003</v>
      </c>
      <c r="AR549">
        <v>81.957700000000003</v>
      </c>
      <c r="AU549">
        <v>15.007300000000001</v>
      </c>
      <c r="AV549" s="19">
        <v>63.679200000000002</v>
      </c>
      <c r="AW549">
        <v>2.2000000000000002</v>
      </c>
      <c r="AX549">
        <v>23.4</v>
      </c>
      <c r="AY549">
        <v>6</v>
      </c>
      <c r="AZ549">
        <v>5</v>
      </c>
      <c r="BA549">
        <v>82.11</v>
      </c>
      <c r="BB549">
        <v>21.884499999999999</v>
      </c>
      <c r="BC549">
        <v>4.5793999999999997</v>
      </c>
      <c r="BD549" s="19">
        <v>3.923</v>
      </c>
      <c r="BE549" s="19">
        <v>66.1905</v>
      </c>
      <c r="BF549">
        <v>42.0319</v>
      </c>
      <c r="BG549">
        <v>23.5</v>
      </c>
      <c r="BH549" s="20">
        <v>0.47620000000000001</v>
      </c>
      <c r="BI549" s="20">
        <v>887.46609999999998</v>
      </c>
      <c r="BJ549" s="19">
        <v>63.8095</v>
      </c>
      <c r="BK549">
        <v>0.99029999999999996</v>
      </c>
      <c r="BL549">
        <v>0.99819999999999998</v>
      </c>
      <c r="BM549">
        <v>1.0033000000000001</v>
      </c>
      <c r="BN549">
        <v>8</v>
      </c>
      <c r="BO549">
        <v>14.657</v>
      </c>
      <c r="BP549">
        <v>9.17</v>
      </c>
      <c r="BQ549" s="19">
        <v>98.544700000000006</v>
      </c>
      <c r="BR549">
        <v>82.894599999999997</v>
      </c>
      <c r="BS549" s="20">
        <v>3.9119999999999999</v>
      </c>
      <c r="BT549" s="20">
        <v>3.9119999999999999</v>
      </c>
      <c r="BU549" s="20">
        <v>17.146999999999998</v>
      </c>
      <c r="BV549" s="20">
        <v>16.765000000000001</v>
      </c>
      <c r="BW549" s="19">
        <v>64.251199999999997</v>
      </c>
      <c r="BX549">
        <v>31.56</v>
      </c>
      <c r="BY549" s="6">
        <v>13277449</v>
      </c>
      <c r="BZ549" s="5">
        <v>29889894</v>
      </c>
      <c r="CA549" s="7">
        <f t="shared" si="40"/>
        <v>2.2511774663943354</v>
      </c>
      <c r="CB549">
        <v>19371648</v>
      </c>
      <c r="CC549" s="8">
        <f t="shared" si="41"/>
        <v>1.5429711504152874</v>
      </c>
      <c r="CD549" s="8">
        <f t="shared" si="42"/>
        <v>0.68540627002927168</v>
      </c>
      <c r="CE549">
        <v>238398</v>
      </c>
      <c r="CF549" s="8">
        <f t="shared" si="43"/>
        <v>55.694464718663745</v>
      </c>
      <c r="CG549" s="8">
        <f t="shared" si="44"/>
        <v>125.37812397755015</v>
      </c>
      <c r="CH549">
        <v>96.630669999999995</v>
      </c>
    </row>
    <row r="550" spans="1:86" ht="15.5" x14ac:dyDescent="0.35">
      <c r="A550" t="s">
        <v>108</v>
      </c>
      <c r="B550">
        <v>2020</v>
      </c>
      <c r="C550" s="2">
        <v>54.119399999999999</v>
      </c>
      <c r="D550">
        <v>120197.5</v>
      </c>
      <c r="E550">
        <v>0.11070000000000001</v>
      </c>
      <c r="F550">
        <v>3.9296000000000002</v>
      </c>
      <c r="G550">
        <v>113000</v>
      </c>
      <c r="H550">
        <v>10</v>
      </c>
      <c r="I550" s="19">
        <v>127.092</v>
      </c>
      <c r="J550" s="19">
        <v>127.959</v>
      </c>
      <c r="K550" s="19">
        <v>2.9140000000000001</v>
      </c>
      <c r="L550" s="19">
        <v>51.428600000000003</v>
      </c>
      <c r="M550" s="19">
        <v>-12793000000</v>
      </c>
      <c r="N550" s="19">
        <v>116.7062</v>
      </c>
      <c r="O550">
        <v>35.134</v>
      </c>
      <c r="P550">
        <v>29.3141</v>
      </c>
      <c r="Q550" s="19">
        <v>13056.737999999999</v>
      </c>
      <c r="R550" s="19">
        <v>10916.312599999999</v>
      </c>
      <c r="S550" s="19">
        <v>-3.1423999999999999</v>
      </c>
      <c r="T550" s="19">
        <v>35484.250800000002</v>
      </c>
      <c r="U550" s="19">
        <v>34386.011700000003</v>
      </c>
      <c r="V550">
        <v>34.6</v>
      </c>
      <c r="W550" s="19">
        <v>41.428600000000003</v>
      </c>
      <c r="X550">
        <v>87</v>
      </c>
      <c r="Y550">
        <v>87</v>
      </c>
      <c r="Z550">
        <v>87</v>
      </c>
      <c r="AA550">
        <v>5.4</v>
      </c>
      <c r="AB550">
        <v>78.5</v>
      </c>
      <c r="AC550">
        <v>74.253699999999995</v>
      </c>
      <c r="AD550">
        <v>84.283100000000005</v>
      </c>
      <c r="AE550">
        <v>16</v>
      </c>
      <c r="AF550">
        <v>84.107600000000005</v>
      </c>
      <c r="AH550">
        <v>1.88</v>
      </c>
      <c r="AI550">
        <v>6.6</v>
      </c>
      <c r="AJ550">
        <v>6</v>
      </c>
      <c r="AK550">
        <v>7.1</v>
      </c>
      <c r="AL550">
        <v>51.2333</v>
      </c>
      <c r="AM550">
        <v>3.1</v>
      </c>
      <c r="AN550">
        <v>-13202</v>
      </c>
      <c r="AO550">
        <v>0</v>
      </c>
      <c r="AP550">
        <v>100</v>
      </c>
      <c r="AQ550">
        <v>87.395700000000005</v>
      </c>
      <c r="AR550">
        <v>81.988799999999998</v>
      </c>
      <c r="AU550">
        <v>14.850199999999999</v>
      </c>
      <c r="AV550" s="19">
        <v>62.735799999999998</v>
      </c>
      <c r="AW550">
        <v>1.4</v>
      </c>
      <c r="AX550">
        <v>22.5</v>
      </c>
      <c r="AY550">
        <v>6</v>
      </c>
      <c r="AZ550">
        <v>5</v>
      </c>
      <c r="BA550">
        <v>84.519400000000005</v>
      </c>
      <c r="BB550">
        <v>21.884499999999999</v>
      </c>
      <c r="BC550">
        <v>4.9856999999999996</v>
      </c>
      <c r="BD550" s="19">
        <v>-3.6739999999999999</v>
      </c>
      <c r="BE550" s="19">
        <v>62.857100000000003</v>
      </c>
      <c r="BF550">
        <v>44.564599999999999</v>
      </c>
      <c r="BG550">
        <v>24.1</v>
      </c>
      <c r="BH550" s="20">
        <v>0.46539999999999998</v>
      </c>
      <c r="BI550" s="20">
        <v>942.32050000000004</v>
      </c>
      <c r="BJ550" s="19">
        <v>62.857100000000003</v>
      </c>
      <c r="BK550">
        <v>0.99060000000000004</v>
      </c>
      <c r="BL550">
        <v>0.99939999999999996</v>
      </c>
      <c r="BM550">
        <v>1.0049999999999999</v>
      </c>
      <c r="BN550">
        <v>8</v>
      </c>
      <c r="BO550">
        <v>14.754</v>
      </c>
      <c r="BP550">
        <v>9.74</v>
      </c>
      <c r="BQ550" s="19">
        <v>100.12220000000001</v>
      </c>
      <c r="BR550">
        <v>82.894599999999997</v>
      </c>
      <c r="BS550" s="20">
        <v>5.0350000000000001</v>
      </c>
      <c r="BT550" s="20">
        <v>5.0350000000000001</v>
      </c>
      <c r="BU550" s="20">
        <v>17.585999999999999</v>
      </c>
      <c r="BV550" s="20">
        <v>17.337</v>
      </c>
      <c r="BW550" s="19">
        <v>65.700500000000005</v>
      </c>
      <c r="BX550">
        <v>31.78</v>
      </c>
      <c r="BY550" s="27">
        <v>10042590</v>
      </c>
      <c r="BZ550" s="5">
        <v>14454464</v>
      </c>
      <c r="CA550" s="7">
        <f t="shared" si="40"/>
        <v>1.4393163516582874</v>
      </c>
      <c r="CB550">
        <v>19265250</v>
      </c>
      <c r="CC550" s="8">
        <f t="shared" si="41"/>
        <v>0.7502868636534693</v>
      </c>
      <c r="CD550" s="8">
        <f t="shared" si="42"/>
        <v>0.52128002491532677</v>
      </c>
      <c r="CE550">
        <v>238398</v>
      </c>
      <c r="CF550" s="8">
        <f t="shared" si="43"/>
        <v>42.125311453955149</v>
      </c>
      <c r="CG550" s="8">
        <f t="shared" si="44"/>
        <v>60.631649594375794</v>
      </c>
      <c r="CH550">
        <v>96.742900000000006</v>
      </c>
    </row>
    <row r="551" spans="1:86" ht="15.5" x14ac:dyDescent="0.35">
      <c r="A551" t="s">
        <v>108</v>
      </c>
      <c r="B551">
        <v>2021</v>
      </c>
      <c r="C551" s="2">
        <v>54.858600000000003</v>
      </c>
      <c r="D551">
        <v>119829.6</v>
      </c>
      <c r="E551">
        <v>0.1114</v>
      </c>
      <c r="F551">
        <v>4.2050000000000001</v>
      </c>
      <c r="G551">
        <v>113000</v>
      </c>
      <c r="H551">
        <v>10</v>
      </c>
      <c r="I551" s="19">
        <v>133.506</v>
      </c>
      <c r="J551" s="19">
        <v>138.43600000000001</v>
      </c>
      <c r="K551" s="19">
        <v>6.2510000000000003</v>
      </c>
      <c r="L551" s="19">
        <v>51.428600000000003</v>
      </c>
      <c r="M551" s="19">
        <v>-20624000000</v>
      </c>
      <c r="N551" s="19">
        <v>144.2105</v>
      </c>
      <c r="O551">
        <v>35.790999999999997</v>
      </c>
      <c r="P551">
        <v>31.695</v>
      </c>
      <c r="Q551" s="19">
        <v>14935.34</v>
      </c>
      <c r="R551" s="19">
        <v>11607.9771</v>
      </c>
      <c r="S551" s="19">
        <v>6.3361000000000001</v>
      </c>
      <c r="T551" s="19">
        <v>37732.555500000002</v>
      </c>
      <c r="U551" s="19">
        <v>37732.555500000002</v>
      </c>
      <c r="V551">
        <v>33.9</v>
      </c>
      <c r="W551" s="19">
        <v>46.1905</v>
      </c>
      <c r="X551">
        <v>86</v>
      </c>
      <c r="Y551">
        <v>86</v>
      </c>
      <c r="Z551">
        <v>86</v>
      </c>
      <c r="AA551">
        <v>5.3</v>
      </c>
      <c r="AB551">
        <v>83.6</v>
      </c>
      <c r="AC551">
        <v>72.809799999999996</v>
      </c>
      <c r="AD551">
        <v>68.533799999999999</v>
      </c>
      <c r="AE551">
        <v>20</v>
      </c>
      <c r="AH551">
        <v>1.92</v>
      </c>
      <c r="AI551">
        <v>6.5</v>
      </c>
      <c r="AJ551">
        <v>6</v>
      </c>
      <c r="AK551">
        <v>7.1</v>
      </c>
      <c r="AL551">
        <v>51.222499999999997</v>
      </c>
      <c r="AM551">
        <v>3.1</v>
      </c>
      <c r="AN551">
        <v>-17731</v>
      </c>
      <c r="AO551">
        <v>0</v>
      </c>
      <c r="AP551">
        <v>100</v>
      </c>
      <c r="AQ551">
        <v>88.252300000000005</v>
      </c>
      <c r="AR551">
        <v>82.027000000000001</v>
      </c>
      <c r="AV551" s="19">
        <v>64.150899999999993</v>
      </c>
      <c r="AW551">
        <v>1.8</v>
      </c>
      <c r="AX551">
        <v>21.2</v>
      </c>
      <c r="AY551">
        <v>6</v>
      </c>
      <c r="AZ551">
        <v>5</v>
      </c>
      <c r="BA551">
        <v>86.974400000000003</v>
      </c>
      <c r="BB551">
        <v>18.541</v>
      </c>
      <c r="BC551">
        <v>4.8941999999999997</v>
      </c>
      <c r="BD551" s="19">
        <v>5.5460000000000003</v>
      </c>
      <c r="BE551" s="19">
        <v>61.904800000000002</v>
      </c>
      <c r="BF551">
        <v>44.857399999999998</v>
      </c>
      <c r="BG551">
        <v>23.6</v>
      </c>
      <c r="BH551" s="20">
        <v>0.4723</v>
      </c>
      <c r="BI551" s="20">
        <v>988.67690000000005</v>
      </c>
      <c r="BJ551" s="19">
        <v>62.381</v>
      </c>
      <c r="BN551">
        <v>8</v>
      </c>
      <c r="BO551">
        <v>18.015000000000001</v>
      </c>
      <c r="BP551">
        <v>9.6199999999999992</v>
      </c>
      <c r="BQ551" s="19">
        <v>99.2667</v>
      </c>
      <c r="BS551" s="20">
        <v>5.59</v>
      </c>
      <c r="BT551" s="20">
        <v>5.59</v>
      </c>
      <c r="BU551" s="20">
        <v>21.149000000000001</v>
      </c>
      <c r="BV551" s="20">
        <v>21.038</v>
      </c>
      <c r="BW551" s="19">
        <v>64.251199999999997</v>
      </c>
      <c r="BX551">
        <v>32.369999999999997</v>
      </c>
      <c r="BY551" s="6">
        <v>10042590</v>
      </c>
      <c r="BZ551" s="5">
        <v>22422471</v>
      </c>
      <c r="CA551" s="7">
        <f t="shared" si="40"/>
        <v>2.2327378694141649</v>
      </c>
      <c r="CB551">
        <v>19122059</v>
      </c>
      <c r="CC551" s="8">
        <f t="shared" si="41"/>
        <v>1.1725971036905596</v>
      </c>
      <c r="CD551" s="8">
        <f t="shared" si="42"/>
        <v>0.52518350665061753</v>
      </c>
      <c r="CE551">
        <v>238398</v>
      </c>
      <c r="CF551" s="8">
        <f t="shared" si="43"/>
        <v>42.125311453955149</v>
      </c>
      <c r="CG551" s="8">
        <f t="shared" si="44"/>
        <v>94.05477814411195</v>
      </c>
      <c r="CH551">
        <v>96.241309999999999</v>
      </c>
    </row>
    <row r="552" spans="1:86" ht="15.5" x14ac:dyDescent="0.35">
      <c r="A552" t="s">
        <v>108</v>
      </c>
      <c r="B552">
        <v>2022</v>
      </c>
      <c r="C552" s="2">
        <v>55.113599999999998</v>
      </c>
      <c r="E552">
        <v>0.1013</v>
      </c>
      <c r="F552">
        <v>3.9889000000000001</v>
      </c>
      <c r="H552">
        <v>10</v>
      </c>
      <c r="I552" s="19">
        <v>151.93</v>
      </c>
      <c r="J552" s="19">
        <v>161.09899999999999</v>
      </c>
      <c r="K552" s="19">
        <v>8.7970000000000006</v>
      </c>
      <c r="L552" s="19">
        <v>55.660400000000003</v>
      </c>
      <c r="M552" s="19">
        <v>-28273000000</v>
      </c>
      <c r="N552" s="19"/>
      <c r="O552">
        <v>32.487000000000002</v>
      </c>
      <c r="P552">
        <v>33.211599999999997</v>
      </c>
      <c r="Q552" s="19">
        <v>15592.939</v>
      </c>
      <c r="R552" s="19">
        <v>12114.871499999999</v>
      </c>
      <c r="S552" s="19">
        <v>4.3667999999999996</v>
      </c>
      <c r="T552" s="19">
        <v>39380.251799999998</v>
      </c>
      <c r="U552" s="19">
        <v>42217.993600000002</v>
      </c>
      <c r="W552" s="19">
        <v>52.358499999999999</v>
      </c>
      <c r="X552">
        <v>85</v>
      </c>
      <c r="Y552">
        <v>85</v>
      </c>
      <c r="Z552">
        <v>83</v>
      </c>
      <c r="AA552">
        <v>5.4</v>
      </c>
      <c r="AB552">
        <v>85.5</v>
      </c>
      <c r="AC552">
        <v>75.153700000000001</v>
      </c>
      <c r="AD552">
        <v>78.771699999999996</v>
      </c>
      <c r="AE552">
        <v>13</v>
      </c>
      <c r="AI552">
        <v>6.6</v>
      </c>
      <c r="AJ552">
        <v>6</v>
      </c>
      <c r="AK552">
        <v>7.2</v>
      </c>
      <c r="AL552">
        <v>51.258899999999997</v>
      </c>
      <c r="AM552">
        <v>3.2</v>
      </c>
      <c r="AN552">
        <v>89076</v>
      </c>
      <c r="AO552">
        <v>0</v>
      </c>
      <c r="AP552">
        <v>100</v>
      </c>
      <c r="AQ552">
        <v>88.284199999999998</v>
      </c>
      <c r="AR552">
        <v>82.072299999999998</v>
      </c>
      <c r="AV552" s="19">
        <v>58.962299999999999</v>
      </c>
      <c r="AY552">
        <v>6</v>
      </c>
      <c r="AZ552">
        <v>5</v>
      </c>
      <c r="BA552">
        <v>87.576899999999995</v>
      </c>
      <c r="BB552">
        <v>19.090900000000001</v>
      </c>
      <c r="BC552">
        <v>4.4649999999999999</v>
      </c>
      <c r="BD552" s="19">
        <v>3.9649999999999999</v>
      </c>
      <c r="BE552" s="19">
        <v>63.679200000000002</v>
      </c>
      <c r="BH552" s="20">
        <v>0.45879999999999999</v>
      </c>
      <c r="BI552" s="20">
        <v>998.72550000000001</v>
      </c>
      <c r="BJ552" s="19">
        <v>62.264200000000002</v>
      </c>
      <c r="BN552">
        <v>8</v>
      </c>
      <c r="BO552">
        <v>17.518000000000001</v>
      </c>
      <c r="BQ552" s="19"/>
      <c r="BS552" s="20">
        <v>5.6139999999999999</v>
      </c>
      <c r="BT552" s="20">
        <v>5.6139999999999999</v>
      </c>
      <c r="BU552" s="20">
        <v>22.870999999999999</v>
      </c>
      <c r="BV552" s="20">
        <v>22.792999999999999</v>
      </c>
      <c r="BW552" s="19">
        <v>63.284999999999997</v>
      </c>
      <c r="BX552">
        <v>32.49</v>
      </c>
      <c r="BY552" s="6">
        <v>12374615</v>
      </c>
      <c r="BZ552" s="5">
        <v>26614221</v>
      </c>
      <c r="CA552" s="7">
        <f t="shared" si="40"/>
        <v>2.1507110322220124</v>
      </c>
      <c r="CB552">
        <v>19048502</v>
      </c>
      <c r="CC552" s="8">
        <f t="shared" si="41"/>
        <v>1.397181836135986</v>
      </c>
      <c r="CD552" s="8">
        <f t="shared" si="42"/>
        <v>0.64963717356881923</v>
      </c>
      <c r="CE552">
        <v>238398</v>
      </c>
      <c r="CF552" s="8">
        <f t="shared" si="43"/>
        <v>51.90737757867096</v>
      </c>
      <c r="CG552" s="8">
        <f t="shared" si="44"/>
        <v>111.63776961216118</v>
      </c>
      <c r="CH552">
        <v>98.573509999999999</v>
      </c>
    </row>
    <row r="553" spans="1:86" ht="15.5" x14ac:dyDescent="0.35">
      <c r="A553" t="s">
        <v>108</v>
      </c>
      <c r="B553">
        <v>2023</v>
      </c>
      <c r="C553" s="26">
        <v>55.350900000000003</v>
      </c>
      <c r="E553">
        <v>9.2100000000000001E-2</v>
      </c>
      <c r="F553">
        <v>3.7132999999999998</v>
      </c>
      <c r="H553">
        <v>10</v>
      </c>
      <c r="I553" s="19">
        <v>167.726</v>
      </c>
      <c r="J553" s="19">
        <v>171.74199999999999</v>
      </c>
      <c r="K553" s="19">
        <v>6.0270000000000001</v>
      </c>
      <c r="L553" s="19">
        <v>56.132100000000001</v>
      </c>
      <c r="M553" s="19">
        <v>-23244000000</v>
      </c>
      <c r="N553" s="19"/>
      <c r="O553">
        <v>33.991</v>
      </c>
      <c r="P553">
        <v>34.661700000000003</v>
      </c>
      <c r="Q553" s="19">
        <v>18412.782999999999</v>
      </c>
      <c r="R553" s="19">
        <v>12399.0008</v>
      </c>
      <c r="S553" s="19">
        <v>2.3452999999999999</v>
      </c>
      <c r="T553" s="19">
        <v>40303.834300000002</v>
      </c>
      <c r="U553" s="19">
        <v>45777.038699999997</v>
      </c>
      <c r="W553" s="19">
        <v>46.698099999999997</v>
      </c>
      <c r="X553">
        <v>78</v>
      </c>
      <c r="Y553">
        <v>78</v>
      </c>
      <c r="Z553">
        <v>78</v>
      </c>
      <c r="AA553">
        <v>5.4</v>
      </c>
      <c r="AB553">
        <v>89.2</v>
      </c>
      <c r="AC553">
        <v>76.607299999999995</v>
      </c>
      <c r="AE553">
        <v>12</v>
      </c>
      <c r="AI553">
        <v>6.6</v>
      </c>
      <c r="AJ553">
        <v>6</v>
      </c>
      <c r="AK553">
        <v>7.2</v>
      </c>
      <c r="AL553" s="24">
        <v>51.258899999999997</v>
      </c>
      <c r="AM553">
        <v>3.3</v>
      </c>
      <c r="AN553">
        <v>-27780</v>
      </c>
      <c r="AV553" s="19">
        <v>56.398099999999999</v>
      </c>
      <c r="AY553" s="25">
        <v>6</v>
      </c>
      <c r="AZ553">
        <v>5</v>
      </c>
      <c r="BB553">
        <v>19.090900000000001</v>
      </c>
      <c r="BD553" s="19">
        <v>2.4039999999999999</v>
      </c>
      <c r="BE553" s="19">
        <v>63.207500000000003</v>
      </c>
      <c r="BH553" s="20"/>
      <c r="BI553" s="20"/>
      <c r="BJ553" s="19">
        <v>64.150899999999993</v>
      </c>
      <c r="BN553">
        <v>8</v>
      </c>
      <c r="BO553">
        <v>16.638999999999999</v>
      </c>
      <c r="BQ553" s="19"/>
      <c r="BS553" s="20">
        <v>5.5890000000000004</v>
      </c>
      <c r="BT553" s="20">
        <v>5.5919999999999996</v>
      </c>
      <c r="BU553" s="20">
        <v>21.693000000000001</v>
      </c>
      <c r="BV553" s="20">
        <v>21.800999999999998</v>
      </c>
      <c r="BW553" s="19">
        <v>62.254899999999999</v>
      </c>
      <c r="BX553">
        <v>32.69</v>
      </c>
      <c r="BY553" s="6">
        <v>13665729</v>
      </c>
      <c r="BZ553" s="5">
        <v>29205568</v>
      </c>
      <c r="CA553" s="7">
        <f t="shared" si="40"/>
        <v>2.13713940910141</v>
      </c>
      <c r="CB553">
        <v>19059479</v>
      </c>
      <c r="CC553" s="8">
        <f t="shared" si="41"/>
        <v>1.5323382134422456</v>
      </c>
      <c r="CD553" s="8">
        <f t="shared" si="42"/>
        <v>0.71700433154547405</v>
      </c>
      <c r="CE553">
        <v>238398</v>
      </c>
      <c r="CF553" s="8">
        <f t="shared" si="43"/>
        <v>57.323169657463566</v>
      </c>
      <c r="CG553" s="8">
        <f t="shared" si="44"/>
        <v>122.50760492957156</v>
      </c>
      <c r="CH553">
        <v>101.24272999999999</v>
      </c>
    </row>
    <row r="554" spans="1:86" ht="15.5" x14ac:dyDescent="0.35">
      <c r="A554" t="s">
        <v>109</v>
      </c>
      <c r="B554">
        <v>2000</v>
      </c>
      <c r="C554" s="2">
        <v>44.970500000000001</v>
      </c>
      <c r="D554">
        <v>55023.13</v>
      </c>
      <c r="E554">
        <v>0.4219</v>
      </c>
      <c r="F554">
        <v>7.7350000000000003</v>
      </c>
      <c r="G554">
        <v>49000</v>
      </c>
      <c r="H554">
        <v>10</v>
      </c>
      <c r="I554" s="19">
        <v>61.524000000000001</v>
      </c>
      <c r="J554" s="19">
        <v>63.34</v>
      </c>
      <c r="K554" s="19">
        <v>4.9669999999999996</v>
      </c>
      <c r="L554" s="19">
        <v>62.234000000000002</v>
      </c>
      <c r="M554" s="19">
        <v>-639000000</v>
      </c>
      <c r="N554" s="19">
        <v>15.745200000000001</v>
      </c>
      <c r="O554">
        <v>30.747</v>
      </c>
      <c r="Q554" s="19">
        <v>3836.2860000000001</v>
      </c>
      <c r="R554" s="19">
        <v>8997.2121000000006</v>
      </c>
      <c r="S554" s="19">
        <v>0.92579999999999996</v>
      </c>
      <c r="T554" s="19">
        <v>18335.6561</v>
      </c>
      <c r="U554" s="19">
        <v>11367.569600000001</v>
      </c>
      <c r="W554" s="19">
        <v>74.863399999999999</v>
      </c>
      <c r="X554">
        <v>99</v>
      </c>
      <c r="Y554">
        <v>98</v>
      </c>
      <c r="Z554">
        <v>98</v>
      </c>
      <c r="AA554">
        <v>8.1</v>
      </c>
      <c r="AB554">
        <v>9.43</v>
      </c>
      <c r="AC554">
        <v>73.051199999999994</v>
      </c>
      <c r="AE554">
        <v>8</v>
      </c>
      <c r="AF554">
        <v>82.770300000000006</v>
      </c>
      <c r="AG554">
        <v>15.1</v>
      </c>
      <c r="AH554">
        <v>1.07</v>
      </c>
      <c r="AI554">
        <v>9.6</v>
      </c>
      <c r="AJ554">
        <v>8.6</v>
      </c>
      <c r="AK554">
        <v>10.6</v>
      </c>
      <c r="AL554">
        <v>53.702300000000001</v>
      </c>
      <c r="AM554">
        <v>5</v>
      </c>
      <c r="AN554">
        <v>-831</v>
      </c>
      <c r="AO554">
        <v>0</v>
      </c>
      <c r="AP554">
        <v>97.980900000000005</v>
      </c>
      <c r="AQ554">
        <v>99.8249</v>
      </c>
      <c r="AR554">
        <v>92.179599999999994</v>
      </c>
      <c r="AS554">
        <v>78.364999999999995</v>
      </c>
      <c r="AT554">
        <v>89.694800000000001</v>
      </c>
      <c r="AU554">
        <v>21.386800000000001</v>
      </c>
      <c r="AV554" s="19">
        <v>70.899500000000003</v>
      </c>
      <c r="AY554">
        <v>3</v>
      </c>
      <c r="AZ554">
        <v>4</v>
      </c>
      <c r="BA554">
        <v>84.736099999999993</v>
      </c>
      <c r="BB554">
        <v>14</v>
      </c>
      <c r="BC554">
        <v>4.6391</v>
      </c>
      <c r="BD554" s="19">
        <v>0.78900000000000003</v>
      </c>
      <c r="BE554" s="19">
        <v>69.021699999999996</v>
      </c>
      <c r="BF554">
        <v>15.967000000000001</v>
      </c>
      <c r="BG554">
        <v>3.7</v>
      </c>
      <c r="BH554" s="20">
        <v>0.6381</v>
      </c>
      <c r="BI554" s="20">
        <v>1850.5130999999999</v>
      </c>
      <c r="BJ554" s="19">
        <v>60.6965</v>
      </c>
      <c r="BK554">
        <v>0.98670000000000002</v>
      </c>
      <c r="BL554">
        <v>1.0084</v>
      </c>
      <c r="BM554">
        <v>1.0186999999999999</v>
      </c>
      <c r="BN554">
        <v>9</v>
      </c>
      <c r="BP554">
        <v>14.28</v>
      </c>
      <c r="BQ554" s="19">
        <v>105.876</v>
      </c>
      <c r="BR554">
        <v>47.2849</v>
      </c>
      <c r="BS554" s="20">
        <v>18.545999999999999</v>
      </c>
      <c r="BT554" s="20">
        <v>18.545999999999999</v>
      </c>
      <c r="BU554" s="20">
        <v>36.610999999999997</v>
      </c>
      <c r="BV554" s="20">
        <v>36.616999999999997</v>
      </c>
      <c r="BW554" s="19">
        <v>72.636799999999994</v>
      </c>
      <c r="BX554">
        <v>38.74</v>
      </c>
      <c r="BY554" s="6">
        <v>2780030</v>
      </c>
      <c r="BZ554" s="5">
        <v>10464075</v>
      </c>
      <c r="CA554" s="7">
        <f t="shared" si="40"/>
        <v>3.7640151365273038</v>
      </c>
      <c r="CB554">
        <v>5388720</v>
      </c>
      <c r="CC554" s="8">
        <f t="shared" si="41"/>
        <v>1.941847971317864</v>
      </c>
      <c r="CD554" s="8">
        <f t="shared" si="42"/>
        <v>0.51589802402054663</v>
      </c>
      <c r="CE554">
        <v>49035</v>
      </c>
      <c r="CF554" s="8">
        <f t="shared" si="43"/>
        <v>56.694809829713471</v>
      </c>
      <c r="CG554" s="8">
        <f t="shared" si="44"/>
        <v>213.40012236157847</v>
      </c>
      <c r="CH554">
        <v>58.820279999999997</v>
      </c>
    </row>
    <row r="555" spans="1:86" ht="15.5" x14ac:dyDescent="0.35">
      <c r="A555" t="s">
        <v>109</v>
      </c>
      <c r="B555">
        <v>2001</v>
      </c>
      <c r="C555" s="2">
        <v>43.747399999999999</v>
      </c>
      <c r="D555">
        <v>59656.63</v>
      </c>
      <c r="E555">
        <v>0.41270000000000001</v>
      </c>
      <c r="F555">
        <v>7.8026</v>
      </c>
      <c r="G555">
        <v>51600</v>
      </c>
      <c r="H555">
        <v>10</v>
      </c>
      <c r="I555" s="19">
        <v>65.918999999999997</v>
      </c>
      <c r="J555" s="19">
        <v>67.5</v>
      </c>
      <c r="K555" s="19">
        <v>3.9790000000000001</v>
      </c>
      <c r="L555" s="19"/>
      <c r="M555" s="19">
        <v>-1709000000</v>
      </c>
      <c r="N555" s="19">
        <v>16.760400000000001</v>
      </c>
      <c r="O555">
        <v>30.573</v>
      </c>
      <c r="Q555" s="19">
        <v>3975.6970000000001</v>
      </c>
      <c r="R555" s="19">
        <v>9277.3580000000002</v>
      </c>
      <c r="S555" s="19">
        <v>3.1137000000000001</v>
      </c>
      <c r="T555" s="19">
        <v>18906.572899999999</v>
      </c>
      <c r="U555" s="19">
        <v>12368.6582</v>
      </c>
      <c r="W555" s="19"/>
      <c r="X555">
        <v>99</v>
      </c>
      <c r="Y555">
        <v>99</v>
      </c>
      <c r="Z555">
        <v>99</v>
      </c>
      <c r="AA555">
        <v>7.8</v>
      </c>
      <c r="AB555">
        <v>12.5</v>
      </c>
      <c r="AC555">
        <v>73.4024</v>
      </c>
      <c r="AE555">
        <v>8</v>
      </c>
      <c r="AF555">
        <v>82.949100000000001</v>
      </c>
      <c r="AG555">
        <v>15.1</v>
      </c>
      <c r="AH555">
        <v>0.94</v>
      </c>
      <c r="AI555">
        <v>9.3000000000000007</v>
      </c>
      <c r="AJ555">
        <v>8.4</v>
      </c>
      <c r="AK555">
        <v>10.3</v>
      </c>
      <c r="AL555">
        <v>54.1006</v>
      </c>
      <c r="AM555">
        <v>4.8</v>
      </c>
      <c r="AN555">
        <v>-860</v>
      </c>
      <c r="AO555">
        <v>0</v>
      </c>
      <c r="AP555">
        <v>97.979399999999998</v>
      </c>
      <c r="AQ555">
        <v>99.832400000000007</v>
      </c>
      <c r="AR555">
        <v>92.177999999999997</v>
      </c>
      <c r="AS555">
        <v>78.378200000000007</v>
      </c>
      <c r="AT555">
        <v>89.697800000000001</v>
      </c>
      <c r="AU555">
        <v>21.6279</v>
      </c>
      <c r="AV555" s="19"/>
      <c r="AY555">
        <v>3</v>
      </c>
      <c r="AZ555">
        <v>4</v>
      </c>
      <c r="BA555">
        <v>84.735600000000005</v>
      </c>
      <c r="BB555">
        <v>14</v>
      </c>
      <c r="BC555">
        <v>4.6989000000000001</v>
      </c>
      <c r="BD555" s="19">
        <v>2.9249999999999998</v>
      </c>
      <c r="BE555" s="19"/>
      <c r="BF555">
        <v>16.4482</v>
      </c>
      <c r="BG555">
        <v>6</v>
      </c>
      <c r="BH555" s="20">
        <v>0.62470000000000003</v>
      </c>
      <c r="BI555" s="20">
        <v>1781.4630999999999</v>
      </c>
      <c r="BJ555" s="19"/>
      <c r="BK555">
        <v>0.99350000000000005</v>
      </c>
      <c r="BL555">
        <v>1.0066999999999999</v>
      </c>
      <c r="BM555">
        <v>1.0129999999999999</v>
      </c>
      <c r="BN555">
        <v>9</v>
      </c>
      <c r="BP555">
        <v>13.95</v>
      </c>
      <c r="BQ555" s="19">
        <v>103.6585</v>
      </c>
      <c r="BR555">
        <v>45.355400000000003</v>
      </c>
      <c r="BS555" s="20">
        <v>19.148</v>
      </c>
      <c r="BT555" s="20">
        <v>19.149000000000001</v>
      </c>
      <c r="BU555" s="20">
        <v>38.878999999999998</v>
      </c>
      <c r="BV555" s="20">
        <v>38.887999999999998</v>
      </c>
      <c r="BW555" s="19"/>
      <c r="BX555">
        <v>40.31</v>
      </c>
      <c r="BY555" s="6">
        <v>3148253</v>
      </c>
      <c r="BZ555" s="5">
        <v>11267729</v>
      </c>
      <c r="CA555" s="7">
        <f t="shared" si="40"/>
        <v>3.5790417733263498</v>
      </c>
      <c r="CB555">
        <v>5378867</v>
      </c>
      <c r="CC555" s="8">
        <f t="shared" si="41"/>
        <v>2.0948145771219107</v>
      </c>
      <c r="CD555" s="8">
        <f t="shared" si="42"/>
        <v>0.58530039876427509</v>
      </c>
      <c r="CE555">
        <v>49035</v>
      </c>
      <c r="CF555" s="8">
        <f t="shared" si="43"/>
        <v>64.204201080860614</v>
      </c>
      <c r="CG555" s="8">
        <f t="shared" si="44"/>
        <v>229.7895176914449</v>
      </c>
      <c r="CH555">
        <v>59.751800000000003</v>
      </c>
    </row>
    <row r="556" spans="1:86" ht="15.5" x14ac:dyDescent="0.35">
      <c r="A556" t="s">
        <v>109</v>
      </c>
      <c r="B556">
        <v>2002</v>
      </c>
      <c r="C556" s="2">
        <v>42.610799999999998</v>
      </c>
      <c r="D556">
        <v>59056.39</v>
      </c>
      <c r="E556">
        <v>0.39460000000000001</v>
      </c>
      <c r="F556">
        <v>7.7938999999999998</v>
      </c>
      <c r="G556">
        <v>49600</v>
      </c>
      <c r="H556">
        <v>10</v>
      </c>
      <c r="I556" s="19">
        <v>68.218999999999994</v>
      </c>
      <c r="J556" s="19">
        <v>69.59</v>
      </c>
      <c r="K556" s="19">
        <v>4.1139999999999999</v>
      </c>
      <c r="L556" s="19">
        <v>56.084699999999998</v>
      </c>
      <c r="M556" s="19">
        <v>-1892000000</v>
      </c>
      <c r="N556" s="19">
        <v>19.169899999999998</v>
      </c>
      <c r="O556">
        <v>31.366</v>
      </c>
      <c r="P556">
        <v>7.5899999999999995E-2</v>
      </c>
      <c r="Q556" s="19">
        <v>4619.7420000000002</v>
      </c>
      <c r="R556" s="19">
        <v>9690.6846000000005</v>
      </c>
      <c r="S556" s="19">
        <v>4.4551999999999996</v>
      </c>
      <c r="T556" s="19">
        <v>19748.9022</v>
      </c>
      <c r="U556" s="19">
        <v>13291.7865</v>
      </c>
      <c r="W556" s="19">
        <v>69.729699999999994</v>
      </c>
      <c r="X556">
        <v>99</v>
      </c>
      <c r="Y556">
        <v>99</v>
      </c>
      <c r="Z556">
        <v>99</v>
      </c>
      <c r="AA556">
        <v>7.5</v>
      </c>
      <c r="AB556">
        <v>40.1</v>
      </c>
      <c r="AC556">
        <v>73.604900000000001</v>
      </c>
      <c r="AE556">
        <v>7</v>
      </c>
      <c r="AF556">
        <v>83.141499999999994</v>
      </c>
      <c r="AG556">
        <v>14.3</v>
      </c>
      <c r="AH556">
        <v>0.9</v>
      </c>
      <c r="AI556">
        <v>9.1</v>
      </c>
      <c r="AJ556">
        <v>8.1</v>
      </c>
      <c r="AK556">
        <v>9.9</v>
      </c>
      <c r="AL556">
        <v>54.683900000000001</v>
      </c>
      <c r="AM556">
        <v>4.5</v>
      </c>
      <c r="AN556">
        <v>-580</v>
      </c>
      <c r="AO556">
        <v>0</v>
      </c>
      <c r="AP556">
        <v>97.976299999999995</v>
      </c>
      <c r="AQ556">
        <v>99.834900000000005</v>
      </c>
      <c r="AR556">
        <v>92.813299999999998</v>
      </c>
      <c r="AS556">
        <v>78.391400000000004</v>
      </c>
      <c r="AT556">
        <v>89.692899999999995</v>
      </c>
      <c r="AU556">
        <v>22.125</v>
      </c>
      <c r="AV556" s="19">
        <v>81.481499999999997</v>
      </c>
      <c r="AY556">
        <v>3</v>
      </c>
      <c r="AZ556">
        <v>4</v>
      </c>
      <c r="BA556">
        <v>84.721699999999998</v>
      </c>
      <c r="BB556">
        <v>17.333300000000001</v>
      </c>
      <c r="BC556">
        <v>4.8449999999999998</v>
      </c>
      <c r="BD556" s="19">
        <v>4.4169999999999998</v>
      </c>
      <c r="BE556" s="19">
        <v>75.135099999999994</v>
      </c>
      <c r="BF556">
        <v>17.377500000000001</v>
      </c>
      <c r="BG556">
        <v>5.5</v>
      </c>
      <c r="BH556" s="20">
        <v>0.56310000000000004</v>
      </c>
      <c r="BI556" s="20">
        <v>1706.9926</v>
      </c>
      <c r="BJ556" s="19">
        <v>60.198999999999998</v>
      </c>
      <c r="BK556">
        <v>0.99619999999999997</v>
      </c>
      <c r="BL556">
        <v>1.0055000000000001</v>
      </c>
      <c r="BM556">
        <v>1.0097</v>
      </c>
      <c r="BN556">
        <v>9</v>
      </c>
      <c r="BO556">
        <v>23.524000000000001</v>
      </c>
      <c r="BP556">
        <v>14.72</v>
      </c>
      <c r="BQ556" s="19">
        <v>104.43810000000001</v>
      </c>
      <c r="BR556">
        <v>47.089100000000002</v>
      </c>
      <c r="BS556" s="20">
        <v>18.541</v>
      </c>
      <c r="BT556" s="20">
        <v>18.541</v>
      </c>
      <c r="BU556" s="20">
        <v>37.427999999999997</v>
      </c>
      <c r="BV556" s="20">
        <v>37.287999999999997</v>
      </c>
      <c r="BW556" s="19">
        <v>74.626900000000006</v>
      </c>
      <c r="BX556">
        <v>39.729999999999997</v>
      </c>
      <c r="BY556" s="6">
        <v>3422895</v>
      </c>
      <c r="BZ556" s="5">
        <v>12215224</v>
      </c>
      <c r="CA556" s="7">
        <f t="shared" si="40"/>
        <v>3.5686820659120424</v>
      </c>
      <c r="CB556">
        <v>5376912</v>
      </c>
      <c r="CC556" s="8">
        <f t="shared" si="41"/>
        <v>2.2717916901001916</v>
      </c>
      <c r="CD556" s="8">
        <f t="shared" si="42"/>
        <v>0.63659122559565784</v>
      </c>
      <c r="CE556">
        <v>49035</v>
      </c>
      <c r="CF556" s="8">
        <f t="shared" si="43"/>
        <v>69.805139186295506</v>
      </c>
      <c r="CG556" s="8">
        <f t="shared" si="44"/>
        <v>249.1123483226267</v>
      </c>
      <c r="CH556">
        <v>60.890689999999999</v>
      </c>
    </row>
    <row r="557" spans="1:86" ht="15.5" x14ac:dyDescent="0.35">
      <c r="A557" t="s">
        <v>109</v>
      </c>
      <c r="B557">
        <v>2003</v>
      </c>
      <c r="C557" s="2">
        <v>41.600700000000003</v>
      </c>
      <c r="D557">
        <v>60889.29</v>
      </c>
      <c r="E557">
        <v>0.3805</v>
      </c>
      <c r="F557">
        <v>7.8853999999999997</v>
      </c>
      <c r="G557">
        <v>50000</v>
      </c>
      <c r="H557">
        <v>10</v>
      </c>
      <c r="I557" s="19">
        <v>73.960999999999999</v>
      </c>
      <c r="J557" s="19">
        <v>76.02</v>
      </c>
      <c r="K557" s="19">
        <v>3.5779999999999998</v>
      </c>
      <c r="L557" s="19">
        <v>65.608500000000006</v>
      </c>
      <c r="M557" s="19">
        <v>-1668000000</v>
      </c>
      <c r="N557" s="19">
        <v>29.059899999999999</v>
      </c>
      <c r="O557">
        <v>34.619</v>
      </c>
      <c r="P557">
        <v>0.4178</v>
      </c>
      <c r="Q557" s="19">
        <v>6300.4989999999998</v>
      </c>
      <c r="R557" s="19">
        <v>10168.022499999999</v>
      </c>
      <c r="S557" s="19">
        <v>4.9257</v>
      </c>
      <c r="T557" s="19">
        <v>20721.6816</v>
      </c>
      <c r="U557" s="19">
        <v>14090.0728</v>
      </c>
      <c r="W557" s="19">
        <v>72.972999999999999</v>
      </c>
      <c r="X557">
        <v>99</v>
      </c>
      <c r="Y557">
        <v>99</v>
      </c>
      <c r="Z557">
        <v>99</v>
      </c>
      <c r="AA557">
        <v>7.3</v>
      </c>
      <c r="AB557">
        <v>43</v>
      </c>
      <c r="AC557">
        <v>73.604900000000001</v>
      </c>
      <c r="AE557">
        <v>7</v>
      </c>
      <c r="AF557">
        <v>83.184399999999997</v>
      </c>
      <c r="AG557">
        <v>15.3</v>
      </c>
      <c r="AH557">
        <v>0.79</v>
      </c>
      <c r="AI557">
        <v>8.8000000000000007</v>
      </c>
      <c r="AJ557">
        <v>7.9</v>
      </c>
      <c r="AK557">
        <v>9.6999999999999993</v>
      </c>
      <c r="AL557">
        <v>55.029400000000003</v>
      </c>
      <c r="AM557">
        <v>4.3</v>
      </c>
      <c r="AN557">
        <v>-646</v>
      </c>
      <c r="AO557">
        <v>0</v>
      </c>
      <c r="AP557">
        <v>97.973100000000002</v>
      </c>
      <c r="AQ557">
        <v>99.660899999999998</v>
      </c>
      <c r="AR557">
        <v>93.449700000000007</v>
      </c>
      <c r="AS557">
        <v>78.183899999999994</v>
      </c>
      <c r="AT557">
        <v>89.603700000000003</v>
      </c>
      <c r="AU557">
        <v>22.700299999999999</v>
      </c>
      <c r="AV557" s="19">
        <v>79.899500000000003</v>
      </c>
      <c r="AY557">
        <v>3</v>
      </c>
      <c r="AZ557">
        <v>4</v>
      </c>
      <c r="BA557">
        <v>84.563299999999998</v>
      </c>
      <c r="BB557">
        <v>19.333300000000001</v>
      </c>
      <c r="BC557">
        <v>4.7401999999999997</v>
      </c>
      <c r="BD557" s="19">
        <v>4.8570000000000002</v>
      </c>
      <c r="BE557" s="19">
        <v>74.5946</v>
      </c>
      <c r="BF557">
        <v>12.1015</v>
      </c>
      <c r="BG557">
        <v>5.3</v>
      </c>
      <c r="BH557" s="20">
        <v>0.5615</v>
      </c>
      <c r="BI557" s="20">
        <v>1790.4336000000001</v>
      </c>
      <c r="BJ557" s="19">
        <v>62.189100000000003</v>
      </c>
      <c r="BK557">
        <v>0.98839999999999995</v>
      </c>
      <c r="BL557">
        <v>1.0017</v>
      </c>
      <c r="BM557">
        <v>1.0074000000000001</v>
      </c>
      <c r="BN557">
        <v>9</v>
      </c>
      <c r="BO557">
        <v>19.966999999999999</v>
      </c>
      <c r="BP557">
        <v>15.17</v>
      </c>
      <c r="BQ557" s="19">
        <v>107.4297</v>
      </c>
      <c r="BR557">
        <v>52.765000000000001</v>
      </c>
      <c r="BS557" s="20">
        <v>17.548999999999999</v>
      </c>
      <c r="BT557" s="20">
        <v>17.55</v>
      </c>
      <c r="BU557" s="20">
        <v>33.408000000000001</v>
      </c>
      <c r="BV557" s="20">
        <v>33.192999999999998</v>
      </c>
      <c r="BW557" s="19">
        <v>74.626900000000006</v>
      </c>
      <c r="BX557">
        <v>32.96</v>
      </c>
      <c r="BY557" s="6">
        <v>3344369</v>
      </c>
      <c r="BZ557" s="5">
        <v>11938658</v>
      </c>
      <c r="CA557" s="7">
        <f t="shared" si="40"/>
        <v>3.5697789328868912</v>
      </c>
      <c r="CB557">
        <v>5373374</v>
      </c>
      <c r="CC557" s="8">
        <f t="shared" si="41"/>
        <v>2.2218178001382372</v>
      </c>
      <c r="CD557" s="8">
        <f t="shared" si="42"/>
        <v>0.62239646821531502</v>
      </c>
      <c r="CE557">
        <v>49035</v>
      </c>
      <c r="CF557" s="8">
        <f t="shared" si="43"/>
        <v>68.20371163454675</v>
      </c>
      <c r="CG557" s="8">
        <f t="shared" si="44"/>
        <v>243.47217293769756</v>
      </c>
      <c r="CH557">
        <v>67.682429999999997</v>
      </c>
    </row>
    <row r="558" spans="1:86" ht="15.5" x14ac:dyDescent="0.35">
      <c r="A558" t="s">
        <v>109</v>
      </c>
      <c r="B558">
        <v>2004</v>
      </c>
      <c r="C558" s="2">
        <v>40.750500000000002</v>
      </c>
      <c r="D558">
        <v>62829.39</v>
      </c>
      <c r="E558">
        <v>0.35630000000000001</v>
      </c>
      <c r="F558">
        <v>7.7816000000000001</v>
      </c>
      <c r="G558">
        <v>50700</v>
      </c>
      <c r="H558">
        <v>10</v>
      </c>
      <c r="I558" s="19">
        <v>79.471999999999994</v>
      </c>
      <c r="J558" s="19">
        <v>80.41</v>
      </c>
      <c r="K558" s="19">
        <v>4.0730000000000004</v>
      </c>
      <c r="L558" s="19">
        <v>65.517200000000003</v>
      </c>
      <c r="M558" s="19">
        <v>-2526000000</v>
      </c>
      <c r="N558" s="19">
        <v>36.921199999999999</v>
      </c>
      <c r="O558">
        <v>32.374000000000002</v>
      </c>
      <c r="P558">
        <v>1.4651000000000001</v>
      </c>
      <c r="Q558" s="19">
        <v>8008.9859999999999</v>
      </c>
      <c r="R558" s="19">
        <v>10718.2101</v>
      </c>
      <c r="S558" s="19">
        <v>5.4109999999999996</v>
      </c>
      <c r="T558" s="19">
        <v>21842.923599999998</v>
      </c>
      <c r="U558" s="19">
        <v>15167.925499999999</v>
      </c>
      <c r="V558">
        <v>27.1</v>
      </c>
      <c r="W558" s="19">
        <v>78.109499999999997</v>
      </c>
      <c r="X558">
        <v>99</v>
      </c>
      <c r="Y558">
        <v>99</v>
      </c>
      <c r="Z558">
        <v>99</v>
      </c>
      <c r="AA558">
        <v>7.1</v>
      </c>
      <c r="AB558">
        <v>52.9</v>
      </c>
      <c r="AC558">
        <v>73.958500000000001</v>
      </c>
      <c r="AD558">
        <v>85.739099999999993</v>
      </c>
      <c r="AE558">
        <v>7</v>
      </c>
      <c r="AF558">
        <v>83.401600000000002</v>
      </c>
      <c r="AG558">
        <v>14.5</v>
      </c>
      <c r="AH558">
        <v>0.94</v>
      </c>
      <c r="AI558">
        <v>8.6</v>
      </c>
      <c r="AJ558">
        <v>7.7</v>
      </c>
      <c r="AK558">
        <v>9.4</v>
      </c>
      <c r="AL558">
        <v>55.266399999999997</v>
      </c>
      <c r="AM558">
        <v>4.0999999999999996</v>
      </c>
      <c r="AN558">
        <v>-522</v>
      </c>
      <c r="AO558">
        <v>0</v>
      </c>
      <c r="AP558">
        <v>97.97</v>
      </c>
      <c r="AQ558">
        <v>99.469700000000003</v>
      </c>
      <c r="AR558">
        <v>94.087000000000003</v>
      </c>
      <c r="AS558">
        <v>77.940299999999993</v>
      </c>
      <c r="AT558">
        <v>89.506399999999999</v>
      </c>
      <c r="AU558">
        <v>23.175999999999998</v>
      </c>
      <c r="AV558" s="19">
        <v>65.048500000000004</v>
      </c>
      <c r="AW558">
        <v>0.1</v>
      </c>
      <c r="AX558">
        <v>13.3</v>
      </c>
      <c r="AY558">
        <v>3</v>
      </c>
      <c r="AZ558">
        <v>4</v>
      </c>
      <c r="BA558">
        <v>84.384100000000004</v>
      </c>
      <c r="BB558">
        <v>16.666699999999999</v>
      </c>
      <c r="BC558">
        <v>5.0156999999999998</v>
      </c>
      <c r="BD558" s="19">
        <v>5.39</v>
      </c>
      <c r="BE558" s="19">
        <v>80.596999999999994</v>
      </c>
      <c r="BF558">
        <v>13.8483</v>
      </c>
      <c r="BG558">
        <v>6.2</v>
      </c>
      <c r="BH558" s="20">
        <v>0.50070000000000003</v>
      </c>
      <c r="BI558" s="20">
        <v>1993.8306</v>
      </c>
      <c r="BJ558" s="19">
        <v>63.942300000000003</v>
      </c>
      <c r="BK558">
        <v>0.9889</v>
      </c>
      <c r="BL558">
        <v>1.006</v>
      </c>
      <c r="BM558">
        <v>1.0126999999999999</v>
      </c>
      <c r="BN558">
        <v>9</v>
      </c>
      <c r="BO558">
        <v>19.445</v>
      </c>
      <c r="BP558">
        <v>14</v>
      </c>
      <c r="BQ558" s="19">
        <v>109.2852</v>
      </c>
      <c r="BR558">
        <v>50.922400000000003</v>
      </c>
      <c r="BS558" s="20">
        <v>18.206</v>
      </c>
      <c r="BT558" s="20">
        <v>18.206</v>
      </c>
      <c r="BU558" s="20">
        <v>32.996000000000002</v>
      </c>
      <c r="BV558" s="20">
        <v>32.883000000000003</v>
      </c>
      <c r="BW558" s="19">
        <v>79.326899999999995</v>
      </c>
      <c r="BX558">
        <v>33.75</v>
      </c>
      <c r="BY558" s="6">
        <v>3215713</v>
      </c>
      <c r="BZ558" s="5">
        <v>10631959</v>
      </c>
      <c r="CA558" s="7">
        <f t="shared" si="40"/>
        <v>3.3062524547433183</v>
      </c>
      <c r="CB558">
        <v>5372280</v>
      </c>
      <c r="CC558" s="8">
        <f t="shared" si="41"/>
        <v>1.979040370196639</v>
      </c>
      <c r="CD558" s="8">
        <f t="shared" si="42"/>
        <v>0.59857509288421307</v>
      </c>
      <c r="CE558">
        <v>49035</v>
      </c>
      <c r="CF558" s="8">
        <f t="shared" si="43"/>
        <v>65.579953094728253</v>
      </c>
      <c r="CG558" s="8">
        <f t="shared" si="44"/>
        <v>216.82388090139696</v>
      </c>
      <c r="CH558">
        <v>73.866659999999996</v>
      </c>
    </row>
    <row r="559" spans="1:86" ht="15.5" x14ac:dyDescent="0.35">
      <c r="A559" t="s">
        <v>109</v>
      </c>
      <c r="B559">
        <v>2005</v>
      </c>
      <c r="C559" s="2">
        <v>40.060899999999997</v>
      </c>
      <c r="D559">
        <v>64229.7</v>
      </c>
      <c r="E559">
        <v>0.33789999999999998</v>
      </c>
      <c r="F559">
        <v>7.8581000000000003</v>
      </c>
      <c r="G559">
        <v>50600</v>
      </c>
      <c r="H559">
        <v>10</v>
      </c>
      <c r="I559" s="19">
        <v>81.680000000000007</v>
      </c>
      <c r="J559" s="19">
        <v>83.35</v>
      </c>
      <c r="K559" s="19">
        <v>3.875</v>
      </c>
      <c r="L559" s="19">
        <v>68.292699999999996</v>
      </c>
      <c r="M559" s="19">
        <v>-3579000000</v>
      </c>
      <c r="N559" s="19">
        <v>42.436500000000002</v>
      </c>
      <c r="O559">
        <v>30.763999999999999</v>
      </c>
      <c r="P559">
        <v>3.3763999999999998</v>
      </c>
      <c r="Q559" s="19">
        <v>9103.8649999999998</v>
      </c>
      <c r="R559" s="19">
        <v>11412.159299999999</v>
      </c>
      <c r="S559" s="19">
        <v>6.4744999999999999</v>
      </c>
      <c r="T559" s="19">
        <v>23257.140899999999</v>
      </c>
      <c r="U559" s="19">
        <v>16570.257399999999</v>
      </c>
      <c r="V559">
        <v>29.3</v>
      </c>
      <c r="W559" s="19">
        <v>75.980400000000003</v>
      </c>
      <c r="X559">
        <v>99</v>
      </c>
      <c r="Y559">
        <v>99</v>
      </c>
      <c r="Z559">
        <v>98</v>
      </c>
      <c r="AA559">
        <v>6.9</v>
      </c>
      <c r="AB559">
        <v>55.2</v>
      </c>
      <c r="AC559">
        <v>73.904899999999998</v>
      </c>
      <c r="AD559">
        <v>83.441999999999993</v>
      </c>
      <c r="AE559">
        <v>7</v>
      </c>
      <c r="AF559">
        <v>84.398399999999995</v>
      </c>
      <c r="AG559">
        <v>13.7</v>
      </c>
      <c r="AH559">
        <v>0.68</v>
      </c>
      <c r="AI559">
        <v>8.3000000000000007</v>
      </c>
      <c r="AJ559">
        <v>7.4</v>
      </c>
      <c r="AK559">
        <v>9.1</v>
      </c>
      <c r="AL559">
        <v>56.017600000000002</v>
      </c>
      <c r="AM559">
        <v>3.9</v>
      </c>
      <c r="AN559">
        <v>-561</v>
      </c>
      <c r="AO559">
        <v>0</v>
      </c>
      <c r="AP559">
        <v>97.966800000000006</v>
      </c>
      <c r="AQ559">
        <v>99.277900000000002</v>
      </c>
      <c r="AR559">
        <v>94.725399999999993</v>
      </c>
      <c r="AS559">
        <v>77.696799999999996</v>
      </c>
      <c r="AT559">
        <v>89.409099999999995</v>
      </c>
      <c r="AU559">
        <v>23.373999999999999</v>
      </c>
      <c r="AV559" s="19">
        <v>76.698999999999998</v>
      </c>
      <c r="AW559">
        <v>0.2</v>
      </c>
      <c r="AX559">
        <v>11.6</v>
      </c>
      <c r="AY559">
        <v>3</v>
      </c>
      <c r="AZ559">
        <v>4</v>
      </c>
      <c r="BA559">
        <v>84.204499999999996</v>
      </c>
      <c r="BB559">
        <v>16.666699999999999</v>
      </c>
      <c r="BC559">
        <v>4.9504000000000001</v>
      </c>
      <c r="BD559" s="19">
        <v>6.4850000000000003</v>
      </c>
      <c r="BE559" s="19">
        <v>83.333299999999994</v>
      </c>
      <c r="BF559">
        <v>15.193099999999999</v>
      </c>
      <c r="BG559">
        <v>6.3</v>
      </c>
      <c r="BH559" s="20">
        <v>0.49330000000000002</v>
      </c>
      <c r="BI559" s="20">
        <v>2031.1368</v>
      </c>
      <c r="BJ559" s="19">
        <v>63.157899999999998</v>
      </c>
      <c r="BK559">
        <v>0.98860000000000003</v>
      </c>
      <c r="BL559">
        <v>1.0038</v>
      </c>
      <c r="BM559">
        <v>1.0095000000000001</v>
      </c>
      <c r="BN559">
        <v>9</v>
      </c>
      <c r="BO559">
        <v>16.861000000000001</v>
      </c>
      <c r="BP559">
        <v>13.82</v>
      </c>
      <c r="BQ559" s="19">
        <v>109.22839999999999</v>
      </c>
      <c r="BR559">
        <v>56.099299999999999</v>
      </c>
      <c r="BS559" s="20">
        <v>16.276</v>
      </c>
      <c r="BT559" s="20">
        <v>16.276</v>
      </c>
      <c r="BU559" s="20">
        <v>30.274999999999999</v>
      </c>
      <c r="BV559" s="20">
        <v>30.178000000000001</v>
      </c>
      <c r="BW559" s="19">
        <v>74.038499999999999</v>
      </c>
      <c r="BX559">
        <v>32.020000000000003</v>
      </c>
      <c r="BY559" s="6">
        <v>3398278</v>
      </c>
      <c r="BZ559" s="5">
        <v>10621296</v>
      </c>
      <c r="CA559" s="7">
        <f t="shared" si="40"/>
        <v>3.1254935587965433</v>
      </c>
      <c r="CB559">
        <v>5372807</v>
      </c>
      <c r="CC559" s="8">
        <f t="shared" si="41"/>
        <v>1.9768616293122012</v>
      </c>
      <c r="CD559" s="8">
        <f t="shared" si="42"/>
        <v>0.63249582573876184</v>
      </c>
      <c r="CE559">
        <v>49035</v>
      </c>
      <c r="CF559" s="8">
        <f t="shared" si="43"/>
        <v>69.303110023452632</v>
      </c>
      <c r="CG559" s="8">
        <f t="shared" si="44"/>
        <v>216.60642398286939</v>
      </c>
      <c r="CH559">
        <v>76.082340000000002</v>
      </c>
    </row>
    <row r="560" spans="1:86" ht="15.5" x14ac:dyDescent="0.35">
      <c r="A560" t="s">
        <v>109</v>
      </c>
      <c r="B560">
        <v>2006</v>
      </c>
      <c r="C560" s="2">
        <v>39.450400000000002</v>
      </c>
      <c r="D560">
        <v>67308.75</v>
      </c>
      <c r="E560">
        <v>0.31019999999999998</v>
      </c>
      <c r="F560">
        <v>7.8574000000000002</v>
      </c>
      <c r="G560">
        <v>50500</v>
      </c>
      <c r="H560">
        <v>10</v>
      </c>
      <c r="I560" s="19">
        <v>85.164000000000001</v>
      </c>
      <c r="J560" s="19">
        <v>86.25</v>
      </c>
      <c r="K560" s="19">
        <v>3.7789999999999999</v>
      </c>
      <c r="L560" s="19">
        <v>69.268299999999996</v>
      </c>
      <c r="M560" s="19">
        <v>-4039000000</v>
      </c>
      <c r="N560" s="19">
        <v>55.707000000000001</v>
      </c>
      <c r="O560">
        <v>27.391999999999999</v>
      </c>
      <c r="P560">
        <v>5.6653000000000002</v>
      </c>
      <c r="Q560" s="19">
        <v>10698.005999999999</v>
      </c>
      <c r="R560" s="19">
        <v>12430.201499999999</v>
      </c>
      <c r="S560" s="19">
        <v>8.9207000000000001</v>
      </c>
      <c r="T560" s="19">
        <v>25331.835899999998</v>
      </c>
      <c r="U560" s="19">
        <v>18909.7762</v>
      </c>
      <c r="V560">
        <v>25.8</v>
      </c>
      <c r="W560" s="19">
        <v>76.585400000000007</v>
      </c>
      <c r="X560">
        <v>99</v>
      </c>
      <c r="Y560">
        <v>99</v>
      </c>
      <c r="Z560">
        <v>98</v>
      </c>
      <c r="AA560">
        <v>6.6</v>
      </c>
      <c r="AB560">
        <v>56.1</v>
      </c>
      <c r="AC560">
        <v>74.204899999999995</v>
      </c>
      <c r="AD560">
        <v>86.436999999999998</v>
      </c>
      <c r="AE560">
        <v>6</v>
      </c>
      <c r="AF560">
        <v>84.617999999999995</v>
      </c>
      <c r="AG560">
        <v>13.9</v>
      </c>
      <c r="AH560">
        <v>0.81</v>
      </c>
      <c r="AI560">
        <v>8</v>
      </c>
      <c r="AJ560">
        <v>7.2</v>
      </c>
      <c r="AK560">
        <v>8.8000000000000007</v>
      </c>
      <c r="AL560">
        <v>57.296700000000001</v>
      </c>
      <c r="AM560">
        <v>3.7</v>
      </c>
      <c r="AN560">
        <v>-549</v>
      </c>
      <c r="AO560">
        <v>0</v>
      </c>
      <c r="AP560">
        <v>97.963700000000003</v>
      </c>
      <c r="AQ560">
        <v>99.085400000000007</v>
      </c>
      <c r="AR560">
        <v>95.364699999999999</v>
      </c>
      <c r="AS560">
        <v>77.453199999999995</v>
      </c>
      <c r="AT560">
        <v>89.311899999999994</v>
      </c>
      <c r="AU560">
        <v>23.175799999999999</v>
      </c>
      <c r="AV560" s="19">
        <v>71.497600000000006</v>
      </c>
      <c r="AW560">
        <v>0.2</v>
      </c>
      <c r="AX560">
        <v>10.6</v>
      </c>
      <c r="AY560">
        <v>3</v>
      </c>
      <c r="AZ560">
        <v>4</v>
      </c>
      <c r="BA560">
        <v>84.024299999999997</v>
      </c>
      <c r="BB560">
        <v>20</v>
      </c>
      <c r="BC560">
        <v>4.7728999999999999</v>
      </c>
      <c r="BD560" s="19">
        <v>8.9260000000000002</v>
      </c>
      <c r="BE560" s="19">
        <v>81.372600000000006</v>
      </c>
      <c r="BF560">
        <v>15.819000000000001</v>
      </c>
      <c r="BG560">
        <v>6.6</v>
      </c>
      <c r="BH560" s="20">
        <v>0.47489999999999999</v>
      </c>
      <c r="BI560" s="20">
        <v>2190.1338000000001</v>
      </c>
      <c r="BJ560" s="19">
        <v>64.114800000000002</v>
      </c>
      <c r="BK560">
        <v>0.98899999999999999</v>
      </c>
      <c r="BL560">
        <v>1.0037</v>
      </c>
      <c r="BM560">
        <v>1.0093000000000001</v>
      </c>
      <c r="BN560">
        <v>9</v>
      </c>
      <c r="BO560">
        <v>13.92</v>
      </c>
      <c r="BP560">
        <v>14.75</v>
      </c>
      <c r="BQ560" s="19">
        <v>106.2467</v>
      </c>
      <c r="BR560">
        <v>62.4724</v>
      </c>
      <c r="BS560" s="20">
        <v>13.395</v>
      </c>
      <c r="BT560" s="20">
        <v>13.395</v>
      </c>
      <c r="BU560" s="20">
        <v>26.846</v>
      </c>
      <c r="BV560" s="20">
        <v>26.803999999999998</v>
      </c>
      <c r="BW560" s="19">
        <v>76.442300000000003</v>
      </c>
      <c r="BX560">
        <v>31.58</v>
      </c>
      <c r="BY560" s="6">
        <v>3549965</v>
      </c>
      <c r="BZ560" s="5">
        <v>11011440</v>
      </c>
      <c r="CA560" s="7">
        <f t="shared" si="40"/>
        <v>3.1018446660741725</v>
      </c>
      <c r="CB560">
        <v>5373054</v>
      </c>
      <c r="CC560" s="8">
        <f t="shared" si="41"/>
        <v>2.0493819715938089</v>
      </c>
      <c r="CD560" s="8">
        <f t="shared" si="42"/>
        <v>0.66069780798778499</v>
      </c>
      <c r="CE560">
        <v>49035</v>
      </c>
      <c r="CF560" s="8">
        <f t="shared" si="43"/>
        <v>72.396553482206585</v>
      </c>
      <c r="CG560" s="8">
        <f t="shared" si="44"/>
        <v>224.56286326093607</v>
      </c>
      <c r="CH560">
        <v>80.216899999999995</v>
      </c>
    </row>
    <row r="561" spans="1:86" ht="15.5" x14ac:dyDescent="0.35">
      <c r="A561" t="s">
        <v>109</v>
      </c>
      <c r="B561">
        <v>2007</v>
      </c>
      <c r="C561" s="2">
        <v>38.950000000000003</v>
      </c>
      <c r="D561">
        <v>68072.7</v>
      </c>
      <c r="E561">
        <v>0.27400000000000002</v>
      </c>
      <c r="F561">
        <v>7.6897000000000002</v>
      </c>
      <c r="G561">
        <v>48600</v>
      </c>
      <c r="H561">
        <v>10</v>
      </c>
      <c r="I561" s="19">
        <v>86.783000000000001</v>
      </c>
      <c r="J561" s="19">
        <v>88.26</v>
      </c>
      <c r="K561" s="19">
        <v>5.1950000000000003</v>
      </c>
      <c r="L561" s="19">
        <v>64.563100000000006</v>
      </c>
      <c r="M561" s="19">
        <v>-3707000000</v>
      </c>
      <c r="N561" s="19">
        <v>77.869299999999996</v>
      </c>
      <c r="O561">
        <v>31.83</v>
      </c>
      <c r="P561">
        <v>10.166700000000001</v>
      </c>
      <c r="Q561" s="19">
        <v>14378.805</v>
      </c>
      <c r="R561" s="19">
        <v>13770.9604</v>
      </c>
      <c r="S561" s="19">
        <v>10.786300000000001</v>
      </c>
      <c r="T561" s="19">
        <v>28064.2039</v>
      </c>
      <c r="U561" s="19">
        <v>21233.0373</v>
      </c>
      <c r="V561">
        <v>24.7</v>
      </c>
      <c r="W561" s="19">
        <v>73.301000000000002</v>
      </c>
      <c r="X561">
        <v>99</v>
      </c>
      <c r="Y561">
        <v>99</v>
      </c>
      <c r="Z561">
        <v>99</v>
      </c>
      <c r="AA561">
        <v>6.4</v>
      </c>
      <c r="AB561">
        <v>61.8</v>
      </c>
      <c r="AC561">
        <v>74.207300000000004</v>
      </c>
      <c r="AD561">
        <v>84.555099999999996</v>
      </c>
      <c r="AE561">
        <v>6</v>
      </c>
      <c r="AF561">
        <v>84.595399999999998</v>
      </c>
      <c r="AG561">
        <v>12.5</v>
      </c>
      <c r="AH561">
        <v>0.76</v>
      </c>
      <c r="AI561">
        <v>7.7</v>
      </c>
      <c r="AJ561">
        <v>6.9</v>
      </c>
      <c r="AK561">
        <v>8.4</v>
      </c>
      <c r="AL561">
        <v>57.894799999999996</v>
      </c>
      <c r="AM561">
        <v>3.5</v>
      </c>
      <c r="AN561">
        <v>-571</v>
      </c>
      <c r="AO561">
        <v>0</v>
      </c>
      <c r="AP561">
        <v>97.960499999999996</v>
      </c>
      <c r="AQ561">
        <v>98.892200000000003</v>
      </c>
      <c r="AR561">
        <v>96.005099999999999</v>
      </c>
      <c r="AS561">
        <v>77.209500000000006</v>
      </c>
      <c r="AT561">
        <v>89.214600000000004</v>
      </c>
      <c r="AU561">
        <v>22.702999999999999</v>
      </c>
      <c r="AV561" s="19">
        <v>84.058000000000007</v>
      </c>
      <c r="AW561">
        <v>0.4</v>
      </c>
      <c r="AX561">
        <v>10.9</v>
      </c>
      <c r="AY561">
        <v>3</v>
      </c>
      <c r="AZ561">
        <v>4</v>
      </c>
      <c r="BA561">
        <v>83.843699999999998</v>
      </c>
      <c r="BB561">
        <v>19.333300000000001</v>
      </c>
      <c r="BC561">
        <v>4.9322999999999997</v>
      </c>
      <c r="BD561" s="19">
        <v>10.819000000000001</v>
      </c>
      <c r="BE561" s="19">
        <v>79.611599999999996</v>
      </c>
      <c r="BF561">
        <v>18.1708</v>
      </c>
      <c r="BG561">
        <v>8.1999999999999993</v>
      </c>
      <c r="BH561" s="20">
        <v>0.44750000000000001</v>
      </c>
      <c r="BI561" s="20">
        <v>2297.645</v>
      </c>
      <c r="BJ561" s="19">
        <v>63.157899999999998</v>
      </c>
      <c r="BK561">
        <v>0.99399999999999999</v>
      </c>
      <c r="BL561">
        <v>1.0045999999999999</v>
      </c>
      <c r="BM561">
        <v>1.0086999999999999</v>
      </c>
      <c r="BN561">
        <v>9</v>
      </c>
      <c r="BO561">
        <v>11.634</v>
      </c>
      <c r="BP561">
        <v>14.22</v>
      </c>
      <c r="BQ561" s="19">
        <v>104.6331</v>
      </c>
      <c r="BR561">
        <v>70.221100000000007</v>
      </c>
      <c r="BS561" s="20">
        <v>11.16</v>
      </c>
      <c r="BT561" s="20">
        <v>11.16</v>
      </c>
      <c r="BU561" s="20">
        <v>20.478999999999999</v>
      </c>
      <c r="BV561" s="20">
        <v>20.427</v>
      </c>
      <c r="BW561" s="19">
        <v>75.480800000000002</v>
      </c>
      <c r="BX561">
        <v>28.87</v>
      </c>
      <c r="BY561" s="6">
        <v>3739323</v>
      </c>
      <c r="BZ561" s="5">
        <v>11422643</v>
      </c>
      <c r="CA561" s="7">
        <f t="shared" si="40"/>
        <v>3.0547355764666491</v>
      </c>
      <c r="CB561">
        <v>5374622</v>
      </c>
      <c r="CC561" s="8">
        <f t="shared" si="41"/>
        <v>2.1252923461408075</v>
      </c>
      <c r="CD561" s="8">
        <f t="shared" si="42"/>
        <v>0.69573692810396714</v>
      </c>
      <c r="CE561">
        <v>49035</v>
      </c>
      <c r="CF561" s="8">
        <f t="shared" si="43"/>
        <v>76.258244111349043</v>
      </c>
      <c r="CG561" s="8">
        <f t="shared" si="44"/>
        <v>232.94877128581626</v>
      </c>
      <c r="CH561">
        <v>87.403490000000005</v>
      </c>
    </row>
    <row r="562" spans="1:86" ht="15.5" x14ac:dyDescent="0.35">
      <c r="A562" t="s">
        <v>109</v>
      </c>
      <c r="B562">
        <v>2008</v>
      </c>
      <c r="C562" s="2">
        <v>38.600700000000003</v>
      </c>
      <c r="D562">
        <v>68681.02</v>
      </c>
      <c r="E562">
        <v>0.25890000000000002</v>
      </c>
      <c r="F562">
        <v>7.6485000000000003</v>
      </c>
      <c r="G562">
        <v>49100</v>
      </c>
      <c r="H562">
        <v>10</v>
      </c>
      <c r="I562" s="19">
        <v>90.21</v>
      </c>
      <c r="J562" s="19">
        <v>91.32</v>
      </c>
      <c r="K562" s="19">
        <v>4.5810000000000004</v>
      </c>
      <c r="L562" s="19">
        <v>65.048500000000004</v>
      </c>
      <c r="M562" s="19">
        <v>-6178000000</v>
      </c>
      <c r="N562" s="19">
        <v>94.6721</v>
      </c>
      <c r="O562">
        <v>29.152000000000001</v>
      </c>
      <c r="P562">
        <v>11.241400000000001</v>
      </c>
      <c r="Q562" s="19">
        <v>18065.683000000001</v>
      </c>
      <c r="R562" s="19">
        <v>14497.111500000001</v>
      </c>
      <c r="S562" s="19">
        <v>5.2731000000000003</v>
      </c>
      <c r="T562" s="19">
        <v>29544.0465</v>
      </c>
      <c r="U562" s="19">
        <v>23714.135399999999</v>
      </c>
      <c r="V562">
        <v>26</v>
      </c>
      <c r="W562" s="19">
        <v>77.1845</v>
      </c>
      <c r="X562">
        <v>99</v>
      </c>
      <c r="Y562">
        <v>99</v>
      </c>
      <c r="Z562">
        <v>99</v>
      </c>
      <c r="AA562">
        <v>6.1</v>
      </c>
      <c r="AB562">
        <v>66.099999999999994</v>
      </c>
      <c r="AC562">
        <v>74.704899999999995</v>
      </c>
      <c r="AD562">
        <v>83.844800000000006</v>
      </c>
      <c r="AE562">
        <v>5</v>
      </c>
      <c r="AF562">
        <v>84.813699999999997</v>
      </c>
      <c r="AG562">
        <v>14.4</v>
      </c>
      <c r="AH562">
        <v>0.69</v>
      </c>
      <c r="AI562">
        <v>7.4</v>
      </c>
      <c r="AJ562">
        <v>6.6</v>
      </c>
      <c r="AK562">
        <v>8.1</v>
      </c>
      <c r="AL562">
        <v>57.972900000000003</v>
      </c>
      <c r="AM562">
        <v>3.4</v>
      </c>
      <c r="AN562">
        <v>-495</v>
      </c>
      <c r="AO562">
        <v>0</v>
      </c>
      <c r="AP562">
        <v>97.957300000000004</v>
      </c>
      <c r="AQ562">
        <v>98.698300000000003</v>
      </c>
      <c r="AR562">
        <v>96.646500000000003</v>
      </c>
      <c r="AS562">
        <v>76.965800000000002</v>
      </c>
      <c r="AT562">
        <v>89.117400000000004</v>
      </c>
      <c r="AU562">
        <v>22.1387</v>
      </c>
      <c r="AV562" s="19">
        <v>87.019199999999998</v>
      </c>
      <c r="AW562">
        <v>0.4</v>
      </c>
      <c r="AX562">
        <v>11</v>
      </c>
      <c r="AY562">
        <v>3</v>
      </c>
      <c r="AZ562">
        <v>4</v>
      </c>
      <c r="BA562">
        <v>83.662700000000001</v>
      </c>
      <c r="BB562">
        <v>19.333300000000001</v>
      </c>
      <c r="BC562">
        <v>5.1980000000000004</v>
      </c>
      <c r="BD562" s="19">
        <v>5.3630000000000004</v>
      </c>
      <c r="BE562" s="19">
        <v>82.038799999999995</v>
      </c>
      <c r="BF562">
        <v>16.453700000000001</v>
      </c>
      <c r="BG562">
        <v>7.6</v>
      </c>
      <c r="BH562" s="20">
        <v>0.46139999999999998</v>
      </c>
      <c r="BI562" s="20">
        <v>2340.9081999999999</v>
      </c>
      <c r="BJ562" s="19">
        <v>65.865399999999994</v>
      </c>
      <c r="BK562">
        <v>0.99319999999999997</v>
      </c>
      <c r="BL562">
        <v>1.0057</v>
      </c>
      <c r="BM562">
        <v>1.0105999999999999</v>
      </c>
      <c r="BN562">
        <v>9</v>
      </c>
      <c r="BO562">
        <v>11.432</v>
      </c>
      <c r="BP562">
        <v>12.84</v>
      </c>
      <c r="BQ562" s="19">
        <v>100.9267</v>
      </c>
      <c r="BR562">
        <v>73.361999999999995</v>
      </c>
      <c r="BS562" s="20">
        <v>9.5139999999999993</v>
      </c>
      <c r="BT562" s="20">
        <v>9.5139999999999993</v>
      </c>
      <c r="BU562" s="20">
        <v>19.068999999999999</v>
      </c>
      <c r="BV562" s="20">
        <v>19.012</v>
      </c>
      <c r="BW562" s="19">
        <v>74.038499999999999</v>
      </c>
      <c r="BX562">
        <v>27.84</v>
      </c>
      <c r="BY562" s="6">
        <v>4027036</v>
      </c>
      <c r="BZ562" s="5">
        <v>12259115</v>
      </c>
      <c r="CA562" s="7">
        <f t="shared" si="40"/>
        <v>3.0442029820443621</v>
      </c>
      <c r="CB562">
        <v>5379233</v>
      </c>
      <c r="CC562" s="8">
        <f t="shared" si="41"/>
        <v>2.2789708123816164</v>
      </c>
      <c r="CD562" s="8">
        <f t="shared" si="42"/>
        <v>0.74862643057104983</v>
      </c>
      <c r="CE562">
        <v>49035</v>
      </c>
      <c r="CF562" s="8">
        <f t="shared" si="43"/>
        <v>82.12574691546854</v>
      </c>
      <c r="CG562" s="8">
        <f t="shared" si="44"/>
        <v>250.00744366268992</v>
      </c>
      <c r="CH562">
        <v>93.746939999999995</v>
      </c>
    </row>
    <row r="563" spans="1:86" ht="15.5" x14ac:dyDescent="0.35">
      <c r="A563" t="s">
        <v>109</v>
      </c>
      <c r="B563">
        <v>2009</v>
      </c>
      <c r="C563" s="2">
        <v>38.543700000000001</v>
      </c>
      <c r="D563">
        <v>62022.98</v>
      </c>
      <c r="E563">
        <v>0.24779999999999999</v>
      </c>
      <c r="F563">
        <v>6.9093999999999998</v>
      </c>
      <c r="G563">
        <v>44700</v>
      </c>
      <c r="H563">
        <v>10</v>
      </c>
      <c r="I563" s="19">
        <v>91.055000000000007</v>
      </c>
      <c r="J563" s="19">
        <v>91.36</v>
      </c>
      <c r="K563" s="19">
        <v>3.16</v>
      </c>
      <c r="L563" s="19">
        <v>65.550200000000004</v>
      </c>
      <c r="M563" s="19">
        <v>-3075000000</v>
      </c>
      <c r="N563" s="19">
        <v>74.630499999999998</v>
      </c>
      <c r="O563">
        <v>31.675999999999998</v>
      </c>
      <c r="P563">
        <v>14.3927</v>
      </c>
      <c r="Q563" s="19">
        <v>16581.061000000002</v>
      </c>
      <c r="R563" s="19">
        <v>13680.753699999999</v>
      </c>
      <c r="S563" s="19">
        <v>-5.6311999999999998</v>
      </c>
      <c r="T563" s="19">
        <v>27880.3694</v>
      </c>
      <c r="U563" s="19">
        <v>23065.375499999998</v>
      </c>
      <c r="V563">
        <v>27.2</v>
      </c>
      <c r="W563" s="19">
        <v>75.598100000000002</v>
      </c>
      <c r="X563">
        <v>99</v>
      </c>
      <c r="Y563">
        <v>99</v>
      </c>
      <c r="Z563">
        <v>99</v>
      </c>
      <c r="AA563">
        <v>5.9</v>
      </c>
      <c r="AB563">
        <v>70</v>
      </c>
      <c r="AC563">
        <v>74.909800000000004</v>
      </c>
      <c r="AD563">
        <v>85.991900000000001</v>
      </c>
      <c r="AE563">
        <v>6</v>
      </c>
      <c r="AF563">
        <v>84.914500000000004</v>
      </c>
      <c r="AG563">
        <v>9.6</v>
      </c>
      <c r="AH563">
        <v>0.81</v>
      </c>
      <c r="AI563">
        <v>7.1</v>
      </c>
      <c r="AJ563">
        <v>6.4</v>
      </c>
      <c r="AK563">
        <v>7.8</v>
      </c>
      <c r="AL563">
        <v>58.130699999999997</v>
      </c>
      <c r="AM563">
        <v>3.3</v>
      </c>
      <c r="AN563">
        <v>-542</v>
      </c>
      <c r="AO563">
        <v>0</v>
      </c>
      <c r="AP563">
        <v>98.2517</v>
      </c>
      <c r="AQ563">
        <v>98.503799999999998</v>
      </c>
      <c r="AR563">
        <v>97.288899999999998</v>
      </c>
      <c r="AS563">
        <v>76.722099999999998</v>
      </c>
      <c r="AT563">
        <v>89.020099999999999</v>
      </c>
      <c r="AU563">
        <v>21.665900000000001</v>
      </c>
      <c r="AV563" s="19">
        <v>80.094800000000006</v>
      </c>
      <c r="AW563">
        <v>0.4</v>
      </c>
      <c r="AX563">
        <v>12</v>
      </c>
      <c r="AY563">
        <v>3</v>
      </c>
      <c r="AZ563">
        <v>4</v>
      </c>
      <c r="BA563">
        <v>83.481099999999998</v>
      </c>
      <c r="BB563">
        <v>18</v>
      </c>
      <c r="BC563">
        <v>5.6936999999999998</v>
      </c>
      <c r="BD563" s="19">
        <v>-5.5049999999999999</v>
      </c>
      <c r="BE563" s="19">
        <v>80.861199999999997</v>
      </c>
      <c r="BF563">
        <v>19.677199999999999</v>
      </c>
      <c r="BG563">
        <v>10</v>
      </c>
      <c r="BH563" s="20">
        <v>0.47270000000000001</v>
      </c>
      <c r="BI563" s="20">
        <v>2469.7368000000001</v>
      </c>
      <c r="BJ563" s="19">
        <v>65.402799999999999</v>
      </c>
      <c r="BK563">
        <v>0.99350000000000005</v>
      </c>
      <c r="BL563">
        <v>1.0075000000000001</v>
      </c>
      <c r="BM563">
        <v>1.0129999999999999</v>
      </c>
      <c r="BN563">
        <v>9</v>
      </c>
      <c r="BO563">
        <v>12.96</v>
      </c>
      <c r="BP563">
        <v>13.19</v>
      </c>
      <c r="BQ563" s="19">
        <v>104.1129</v>
      </c>
      <c r="BR563">
        <v>63.7361</v>
      </c>
      <c r="BS563" s="20">
        <v>12.023</v>
      </c>
      <c r="BT563" s="20">
        <v>12.023</v>
      </c>
      <c r="BU563" s="20">
        <v>27.422999999999998</v>
      </c>
      <c r="BV563" s="20">
        <v>27.34</v>
      </c>
      <c r="BW563" s="19">
        <v>72.985799999999998</v>
      </c>
      <c r="BX563">
        <v>26.13</v>
      </c>
      <c r="BY563" s="6">
        <v>3341188</v>
      </c>
      <c r="BZ563" s="5">
        <v>10252657</v>
      </c>
      <c r="CA563" s="7">
        <f t="shared" si="40"/>
        <v>3.0685663302992827</v>
      </c>
      <c r="CB563">
        <v>5386406</v>
      </c>
      <c r="CC563" s="8">
        <f t="shared" si="41"/>
        <v>1.9034318987465855</v>
      </c>
      <c r="CD563" s="8">
        <f t="shared" si="42"/>
        <v>0.62030006650074276</v>
      </c>
      <c r="CE563">
        <v>49035</v>
      </c>
      <c r="CF563" s="8">
        <f t="shared" si="43"/>
        <v>68.138839604364236</v>
      </c>
      <c r="CG563" s="8">
        <f t="shared" si="44"/>
        <v>209.08854899561538</v>
      </c>
      <c r="CH563">
        <v>100.02745</v>
      </c>
    </row>
    <row r="564" spans="1:86" ht="15.5" x14ac:dyDescent="0.35">
      <c r="A564" t="s">
        <v>109</v>
      </c>
      <c r="B564">
        <v>2010</v>
      </c>
      <c r="C564" s="2">
        <v>38.714300000000001</v>
      </c>
      <c r="D564">
        <v>65201.94</v>
      </c>
      <c r="E564">
        <v>0.24879999999999999</v>
      </c>
      <c r="F564">
        <v>7.4</v>
      </c>
      <c r="G564">
        <v>45700</v>
      </c>
      <c r="H564">
        <v>10</v>
      </c>
      <c r="I564" s="19">
        <v>91.691000000000003</v>
      </c>
      <c r="J564" s="19">
        <v>92.54</v>
      </c>
      <c r="K564" s="19">
        <v>4.1509999999999998</v>
      </c>
      <c r="L564" s="19">
        <v>63.8095</v>
      </c>
      <c r="M564" s="19">
        <v>-4224000000</v>
      </c>
      <c r="N564" s="19">
        <v>86.050799999999995</v>
      </c>
      <c r="O564">
        <v>34.880000000000003</v>
      </c>
      <c r="P564">
        <v>16.264399999999998</v>
      </c>
      <c r="Q564" s="19">
        <v>16916.439999999999</v>
      </c>
      <c r="R564" s="19">
        <v>14596.147800000001</v>
      </c>
      <c r="S564" s="19">
        <v>6.6910999999999996</v>
      </c>
      <c r="T564" s="19">
        <v>29745.8753</v>
      </c>
      <c r="U564" s="19">
        <v>25384.491099999999</v>
      </c>
      <c r="V564">
        <v>27.3</v>
      </c>
      <c r="W564" s="19">
        <v>75.119600000000005</v>
      </c>
      <c r="X564">
        <v>99</v>
      </c>
      <c r="Y564">
        <v>99</v>
      </c>
      <c r="Z564">
        <v>98</v>
      </c>
      <c r="AA564">
        <v>5.7</v>
      </c>
      <c r="AB564">
        <v>75.7</v>
      </c>
      <c r="AC564">
        <v>75.112200000000001</v>
      </c>
      <c r="AD564">
        <v>90.676000000000002</v>
      </c>
      <c r="AE564">
        <v>5</v>
      </c>
      <c r="AF564">
        <v>85.968699999999998</v>
      </c>
      <c r="AG564">
        <v>9</v>
      </c>
      <c r="AH564">
        <v>0.61</v>
      </c>
      <c r="AI564">
        <v>6.9</v>
      </c>
      <c r="AJ564">
        <v>6.2</v>
      </c>
      <c r="AK564">
        <v>7.6</v>
      </c>
      <c r="AL564">
        <v>58.0167</v>
      </c>
      <c r="AM564">
        <v>3.3</v>
      </c>
      <c r="AN564">
        <v>-1814</v>
      </c>
      <c r="AO564">
        <v>0</v>
      </c>
      <c r="AP564">
        <v>98.622299999999996</v>
      </c>
      <c r="AQ564">
        <v>98.3065</v>
      </c>
      <c r="AR564">
        <v>97.933099999999996</v>
      </c>
      <c r="AS564">
        <v>76.478300000000004</v>
      </c>
      <c r="AT564">
        <v>88.922899999999998</v>
      </c>
      <c r="AU564">
        <v>21.467700000000001</v>
      </c>
      <c r="AV564" s="19">
        <v>86.729900000000001</v>
      </c>
      <c r="AW564">
        <v>0.5</v>
      </c>
      <c r="AX564">
        <v>13</v>
      </c>
      <c r="AY564">
        <v>3</v>
      </c>
      <c r="AZ564">
        <v>4</v>
      </c>
      <c r="BA564">
        <v>83.283600000000007</v>
      </c>
      <c r="BB564">
        <v>15.333299999999999</v>
      </c>
      <c r="BC564">
        <v>5.4428999999999998</v>
      </c>
      <c r="BD564" s="19">
        <v>6.7910000000000004</v>
      </c>
      <c r="BE564" s="19">
        <v>79.904300000000006</v>
      </c>
      <c r="BF564">
        <v>22.736499999999999</v>
      </c>
      <c r="BG564">
        <v>10.3</v>
      </c>
      <c r="BH564" s="20">
        <v>0.60550000000000004</v>
      </c>
      <c r="BI564" s="20">
        <v>2817.3661999999999</v>
      </c>
      <c r="BJ564" s="19">
        <v>66.350700000000003</v>
      </c>
      <c r="BK564">
        <v>0.99129999999999996</v>
      </c>
      <c r="BL564">
        <v>1.0057</v>
      </c>
      <c r="BM564">
        <v>1.0114000000000001</v>
      </c>
      <c r="BN564">
        <v>9</v>
      </c>
      <c r="BO564">
        <v>14.569000000000001</v>
      </c>
      <c r="BP564">
        <v>13.74</v>
      </c>
      <c r="BQ564" s="19">
        <v>100.2697</v>
      </c>
      <c r="BR564">
        <v>55.8508</v>
      </c>
      <c r="BS564" s="20">
        <v>14.387</v>
      </c>
      <c r="BT564" s="20">
        <v>14.387</v>
      </c>
      <c r="BU564" s="20">
        <v>33.749000000000002</v>
      </c>
      <c r="BV564" s="20">
        <v>33.633000000000003</v>
      </c>
      <c r="BW564" s="19">
        <v>74.881500000000003</v>
      </c>
      <c r="BX564">
        <v>26.45</v>
      </c>
      <c r="BY564" s="6">
        <v>3355128</v>
      </c>
      <c r="BZ564" s="5">
        <v>10240479</v>
      </c>
      <c r="CA564" s="7">
        <f t="shared" si="40"/>
        <v>3.0521872786969677</v>
      </c>
      <c r="CB564">
        <v>5391428</v>
      </c>
      <c r="CC564" s="8">
        <f t="shared" si="41"/>
        <v>1.8994001218230123</v>
      </c>
      <c r="CD564" s="8">
        <f t="shared" si="42"/>
        <v>0.62230785610046169</v>
      </c>
      <c r="CE564">
        <v>49035</v>
      </c>
      <c r="CF564" s="8">
        <f t="shared" si="43"/>
        <v>68.423126338329766</v>
      </c>
      <c r="CG564" s="8">
        <f t="shared" si="44"/>
        <v>208.84019577852555</v>
      </c>
      <c r="CH564">
        <v>97.705410000000001</v>
      </c>
    </row>
    <row r="565" spans="1:86" ht="15.5" x14ac:dyDescent="0.35">
      <c r="A565" t="s">
        <v>109</v>
      </c>
      <c r="B565">
        <v>2011</v>
      </c>
      <c r="C565" s="2">
        <v>38.990099999999998</v>
      </c>
      <c r="D565">
        <v>65278.83</v>
      </c>
      <c r="E565">
        <v>0.2303</v>
      </c>
      <c r="F565">
        <v>7.0176999999999996</v>
      </c>
      <c r="G565">
        <v>44700</v>
      </c>
      <c r="H565">
        <v>10</v>
      </c>
      <c r="I565" s="19">
        <v>95.424999999999997</v>
      </c>
      <c r="J565" s="19">
        <v>96.79</v>
      </c>
      <c r="K565" s="19">
        <v>4.6689999999999996</v>
      </c>
      <c r="L565" s="19">
        <v>63.981000000000002</v>
      </c>
      <c r="M565" s="19">
        <v>-4867000000</v>
      </c>
      <c r="N565" s="19">
        <v>106.23399999999999</v>
      </c>
      <c r="O565">
        <v>28.634</v>
      </c>
      <c r="P565">
        <v>17.656099999999999</v>
      </c>
      <c r="Q565" s="19">
        <v>18486.537</v>
      </c>
      <c r="R565" s="19">
        <v>14950.873600000001</v>
      </c>
      <c r="S565" s="19">
        <v>2.4302999999999999</v>
      </c>
      <c r="T565" s="19">
        <v>30468.780200000001</v>
      </c>
      <c r="U565" s="19">
        <v>26201.650300000001</v>
      </c>
      <c r="V565">
        <v>26.5</v>
      </c>
      <c r="W565" s="19">
        <v>74.881500000000003</v>
      </c>
      <c r="X565">
        <v>99</v>
      </c>
      <c r="Y565">
        <v>99</v>
      </c>
      <c r="Z565">
        <v>98</v>
      </c>
      <c r="AA565">
        <v>5.5</v>
      </c>
      <c r="AB565">
        <v>74.400000000000006</v>
      </c>
      <c r="AC565">
        <v>75.958500000000001</v>
      </c>
      <c r="AD565">
        <v>88.761600000000001</v>
      </c>
      <c r="AE565">
        <v>5</v>
      </c>
      <c r="AF565">
        <v>86.1584</v>
      </c>
      <c r="AG565">
        <v>8.6999999999999993</v>
      </c>
      <c r="AH565">
        <v>0.62</v>
      </c>
      <c r="AI565">
        <v>6.7</v>
      </c>
      <c r="AJ565">
        <v>6</v>
      </c>
      <c r="AK565">
        <v>7.4</v>
      </c>
      <c r="AL565">
        <v>57.990400000000001</v>
      </c>
      <c r="AM565">
        <v>3.3</v>
      </c>
      <c r="AN565">
        <v>-2392</v>
      </c>
      <c r="AO565">
        <v>0</v>
      </c>
      <c r="AP565">
        <v>98.997500000000002</v>
      </c>
      <c r="AQ565">
        <v>98.1083</v>
      </c>
      <c r="AR565">
        <v>98.578999999999994</v>
      </c>
      <c r="AS565">
        <v>76.234499999999997</v>
      </c>
      <c r="AT565">
        <v>88.825699999999998</v>
      </c>
      <c r="AU565">
        <v>22.555900000000001</v>
      </c>
      <c r="AV565" s="19">
        <v>81.042699999999996</v>
      </c>
      <c r="AW565">
        <v>0.4</v>
      </c>
      <c r="AX565">
        <v>13.2</v>
      </c>
      <c r="AY565">
        <v>3</v>
      </c>
      <c r="AZ565">
        <v>4</v>
      </c>
      <c r="BA565">
        <v>83.086600000000004</v>
      </c>
      <c r="BB565">
        <v>16</v>
      </c>
      <c r="BC565">
        <v>5.2629000000000001</v>
      </c>
      <c r="BD565" s="19">
        <v>2.5619999999999998</v>
      </c>
      <c r="BE565" s="19">
        <v>79.620800000000003</v>
      </c>
      <c r="BF565">
        <v>18.729700000000001</v>
      </c>
      <c r="BG565">
        <v>10.4</v>
      </c>
      <c r="BH565" s="20">
        <v>0.65249999999999997</v>
      </c>
      <c r="BI565" s="20">
        <v>2840.9194000000002</v>
      </c>
      <c r="BJ565" s="19">
        <v>67.136099999999999</v>
      </c>
      <c r="BK565">
        <v>0.99129999999999996</v>
      </c>
      <c r="BL565">
        <v>1.0029999999999999</v>
      </c>
      <c r="BM565">
        <v>1.0076000000000001</v>
      </c>
      <c r="BN565">
        <v>9</v>
      </c>
      <c r="BO565">
        <v>14.31</v>
      </c>
      <c r="BP565">
        <v>12.28</v>
      </c>
      <c r="BQ565" s="19">
        <v>98.917599999999993</v>
      </c>
      <c r="BR565">
        <v>56.969299999999997</v>
      </c>
      <c r="BS565" s="20">
        <v>13.634</v>
      </c>
      <c r="BT565" s="20">
        <v>13.634</v>
      </c>
      <c r="BU565" s="20">
        <v>33.487000000000002</v>
      </c>
      <c r="BV565" s="20">
        <v>33.411000000000001</v>
      </c>
      <c r="BW565" s="19">
        <v>76.056299999999993</v>
      </c>
      <c r="BX565">
        <v>26.7</v>
      </c>
      <c r="BY565" s="6">
        <v>3536676</v>
      </c>
      <c r="BZ565" s="5">
        <v>10415637</v>
      </c>
      <c r="CA565" s="7">
        <f t="shared" si="40"/>
        <v>2.9450356775684288</v>
      </c>
      <c r="CB565">
        <v>5398384</v>
      </c>
      <c r="CC565" s="8">
        <f t="shared" si="41"/>
        <v>1.9293990571993396</v>
      </c>
      <c r="CD565" s="8">
        <f t="shared" si="42"/>
        <v>0.6551360555306921</v>
      </c>
      <c r="CE565">
        <v>49035</v>
      </c>
      <c r="CF565" s="8">
        <f t="shared" si="43"/>
        <v>72.125542979504431</v>
      </c>
      <c r="CG565" s="8">
        <f t="shared" si="44"/>
        <v>212.41229733863568</v>
      </c>
      <c r="CH565">
        <v>98.849959999999996</v>
      </c>
    </row>
    <row r="566" spans="1:86" ht="15.5" x14ac:dyDescent="0.35">
      <c r="A566" s="9" t="s">
        <v>109</v>
      </c>
      <c r="B566" s="9">
        <v>2012</v>
      </c>
      <c r="C566" s="10">
        <v>39.461199999999998</v>
      </c>
      <c r="D566" s="9">
        <v>63404.53</v>
      </c>
      <c r="E566" s="9">
        <v>0.21609999999999999</v>
      </c>
      <c r="F566" s="9">
        <v>6.6753999999999998</v>
      </c>
      <c r="G566" s="9">
        <v>42500</v>
      </c>
      <c r="H566" s="9">
        <v>10</v>
      </c>
      <c r="I566" s="21">
        <v>98.986999999999995</v>
      </c>
      <c r="J566" s="21">
        <v>100.04</v>
      </c>
      <c r="K566" s="21">
        <v>3.8420000000000001</v>
      </c>
      <c r="L566" s="21">
        <v>59.715600000000002</v>
      </c>
      <c r="M566" s="21">
        <v>879000000</v>
      </c>
      <c r="N566" s="21">
        <v>107.2735</v>
      </c>
      <c r="O566" s="9">
        <v>30.404</v>
      </c>
      <c r="P566" s="9">
        <v>19.343499999999999</v>
      </c>
      <c r="Q566" s="21">
        <v>17538.599999999999</v>
      </c>
      <c r="R566" s="21">
        <v>15159.6571</v>
      </c>
      <c r="S566" s="21">
        <v>1.3965000000000001</v>
      </c>
      <c r="T566" s="21">
        <v>30894.2657</v>
      </c>
      <c r="U566" s="21">
        <v>27022.774700000002</v>
      </c>
      <c r="V566" s="9">
        <v>26.1</v>
      </c>
      <c r="W566" s="21">
        <v>73.933599999999998</v>
      </c>
      <c r="X566" s="9">
        <v>99</v>
      </c>
      <c r="Y566" s="9">
        <v>99</v>
      </c>
      <c r="Z566" s="9">
        <v>99</v>
      </c>
      <c r="AA566" s="9">
        <v>5.4</v>
      </c>
      <c r="AB566" s="9">
        <v>76.7</v>
      </c>
      <c r="AC566" s="9">
        <v>76.109800000000007</v>
      </c>
      <c r="AD566" s="9">
        <v>86.936999999999998</v>
      </c>
      <c r="AE566" s="9">
        <v>5</v>
      </c>
      <c r="AF566" s="9">
        <v>86.280299999999997</v>
      </c>
      <c r="AG566" s="9">
        <v>7.9</v>
      </c>
      <c r="AH566" s="9">
        <v>0.56000000000000005</v>
      </c>
      <c r="AI566" s="9">
        <v>6.6</v>
      </c>
      <c r="AJ566" s="9">
        <v>5.9</v>
      </c>
      <c r="AK566" s="9">
        <v>7.2</v>
      </c>
      <c r="AL566" s="9">
        <v>57.713099999999997</v>
      </c>
      <c r="AM566" s="9">
        <v>3.2</v>
      </c>
      <c r="AN566" s="9">
        <v>871</v>
      </c>
      <c r="AO566" s="9">
        <v>0</v>
      </c>
      <c r="AP566" s="9">
        <v>99.375799999999998</v>
      </c>
      <c r="AQ566" s="9">
        <v>97.911500000000004</v>
      </c>
      <c r="AR566" s="9">
        <v>98.828699999999998</v>
      </c>
      <c r="AS566" s="9">
        <v>75.990600000000001</v>
      </c>
      <c r="AT566" s="9">
        <v>88.728499999999997</v>
      </c>
      <c r="AU566" s="9">
        <v>20.342199999999998</v>
      </c>
      <c r="AV566" s="21">
        <v>88.151700000000005</v>
      </c>
      <c r="AW566" s="9">
        <v>0.4</v>
      </c>
      <c r="AX566" s="9">
        <v>12.8</v>
      </c>
      <c r="AY566" s="9">
        <v>3</v>
      </c>
      <c r="AZ566" s="9">
        <v>4</v>
      </c>
      <c r="BA566" s="9">
        <v>82.904700000000005</v>
      </c>
      <c r="BB566" s="9">
        <v>18.666699999999999</v>
      </c>
      <c r="BC566" s="9">
        <v>5.3597000000000001</v>
      </c>
      <c r="BD566" s="21">
        <v>1.569</v>
      </c>
      <c r="BE566" s="21">
        <v>80.094800000000006</v>
      </c>
      <c r="BF566" s="9">
        <v>20.269300000000001</v>
      </c>
      <c r="BG566" s="9">
        <v>10.5</v>
      </c>
      <c r="BH566" s="22">
        <v>0.79459999999999997</v>
      </c>
      <c r="BI566" s="22">
        <v>2827.1487000000002</v>
      </c>
      <c r="BJ566" s="21">
        <v>64.788700000000006</v>
      </c>
      <c r="BK566" s="9">
        <v>0.99019999999999997</v>
      </c>
      <c r="BL566" s="9">
        <v>1.0011000000000001</v>
      </c>
      <c r="BM566" s="9">
        <v>1.0056</v>
      </c>
      <c r="BN566" s="9">
        <v>9</v>
      </c>
      <c r="BO566" s="9">
        <v>14.372</v>
      </c>
      <c r="BP566" s="9">
        <v>12.66</v>
      </c>
      <c r="BQ566" s="21">
        <v>97.844800000000006</v>
      </c>
      <c r="BR566" s="9">
        <v>56.0535</v>
      </c>
      <c r="BS566" s="22">
        <v>13.965999999999999</v>
      </c>
      <c r="BT566" s="22">
        <v>13.965999999999999</v>
      </c>
      <c r="BU566" s="22">
        <v>34.101999999999997</v>
      </c>
      <c r="BV566" s="22">
        <v>34.030999999999999</v>
      </c>
      <c r="BW566" s="21">
        <v>77.464799999999997</v>
      </c>
      <c r="BX566" s="9">
        <v>25.07</v>
      </c>
      <c r="BY566" s="14">
        <v>3730362</v>
      </c>
      <c r="BZ566" s="5">
        <v>10770328</v>
      </c>
      <c r="CA566" s="7">
        <f t="shared" si="40"/>
        <v>2.887207193296522</v>
      </c>
      <c r="CB566">
        <v>5407579</v>
      </c>
      <c r="CC566" s="8">
        <f t="shared" si="41"/>
        <v>1.9917097836203594</v>
      </c>
      <c r="CD566" s="8">
        <f t="shared" si="42"/>
        <v>0.68983957515923489</v>
      </c>
      <c r="CE566">
        <v>49035</v>
      </c>
      <c r="CF566" s="8">
        <f t="shared" si="43"/>
        <v>76.075497093912517</v>
      </c>
      <c r="CG566" s="8">
        <f t="shared" si="44"/>
        <v>219.64572244315286</v>
      </c>
      <c r="CH566" s="9">
        <v>100.26076</v>
      </c>
    </row>
    <row r="567" spans="1:86" ht="15.5" x14ac:dyDescent="0.35">
      <c r="A567" t="s">
        <v>109</v>
      </c>
      <c r="B567">
        <v>2013</v>
      </c>
      <c r="C567" s="2">
        <v>40.114400000000003</v>
      </c>
      <c r="D567">
        <v>61548.78</v>
      </c>
      <c r="E567">
        <v>0.2162</v>
      </c>
      <c r="F567">
        <v>6.7187000000000001</v>
      </c>
      <c r="G567">
        <v>42100</v>
      </c>
      <c r="H567">
        <v>10</v>
      </c>
      <c r="I567" s="19">
        <v>100.43</v>
      </c>
      <c r="J567" s="19">
        <v>100.4</v>
      </c>
      <c r="K567" s="19">
        <v>3.1909999999999998</v>
      </c>
      <c r="L567" s="19">
        <v>59.241700000000002</v>
      </c>
      <c r="M567" s="19">
        <v>2910000000</v>
      </c>
      <c r="N567" s="19">
        <v>114.1323</v>
      </c>
      <c r="O567">
        <v>29.881</v>
      </c>
      <c r="P567">
        <v>20.4986</v>
      </c>
      <c r="Q567" s="19">
        <v>18321.733</v>
      </c>
      <c r="R567" s="19">
        <v>15249.8825</v>
      </c>
      <c r="S567" s="19">
        <v>0.59519999999999995</v>
      </c>
      <c r="T567" s="19">
        <v>31078.1384</v>
      </c>
      <c r="U567" s="19">
        <v>28075.4326</v>
      </c>
      <c r="V567">
        <v>28.1</v>
      </c>
      <c r="W567" s="19">
        <v>72.037899999999993</v>
      </c>
      <c r="X567">
        <v>98</v>
      </c>
      <c r="Y567">
        <v>98</v>
      </c>
      <c r="Z567">
        <v>98</v>
      </c>
      <c r="AA567">
        <v>5.3</v>
      </c>
      <c r="AB567">
        <v>77.900000000000006</v>
      </c>
      <c r="AC567">
        <v>76.412199999999999</v>
      </c>
      <c r="AD567">
        <v>79.644099999999995</v>
      </c>
      <c r="AE567">
        <v>5</v>
      </c>
      <c r="AF567">
        <v>86.480400000000003</v>
      </c>
      <c r="AG567">
        <v>5.2</v>
      </c>
      <c r="AH567">
        <v>0.56000000000000005</v>
      </c>
      <c r="AI567">
        <v>6.4</v>
      </c>
      <c r="AJ567">
        <v>5.8</v>
      </c>
      <c r="AK567">
        <v>7</v>
      </c>
      <c r="AL567">
        <v>58.018900000000002</v>
      </c>
      <c r="AM567">
        <v>3.2</v>
      </c>
      <c r="AN567">
        <v>-1181</v>
      </c>
      <c r="AO567">
        <v>0</v>
      </c>
      <c r="AP567">
        <v>99.520200000000003</v>
      </c>
      <c r="AQ567">
        <v>97.714100000000002</v>
      </c>
      <c r="AR567">
        <v>98.8643</v>
      </c>
      <c r="AS567">
        <v>75.746700000000004</v>
      </c>
      <c r="AT567">
        <v>88.631299999999996</v>
      </c>
      <c r="AU567">
        <v>19.5809</v>
      </c>
      <c r="AV567" s="19">
        <v>89.099500000000006</v>
      </c>
      <c r="AW567">
        <v>0.3</v>
      </c>
      <c r="AX567">
        <v>12.6</v>
      </c>
      <c r="AY567">
        <v>3</v>
      </c>
      <c r="AZ567">
        <v>4</v>
      </c>
      <c r="BA567">
        <v>82.722399999999993</v>
      </c>
      <c r="BB567">
        <v>18.666699999999999</v>
      </c>
      <c r="BC567">
        <v>5.4950000000000001</v>
      </c>
      <c r="BD567" s="19">
        <v>0.70299999999999996</v>
      </c>
      <c r="BE567" s="19">
        <v>78.673000000000002</v>
      </c>
      <c r="BF567">
        <v>23.137499999999999</v>
      </c>
      <c r="BG567">
        <v>10.7</v>
      </c>
      <c r="BH567" s="20">
        <v>0.82010000000000005</v>
      </c>
      <c r="BI567" s="20">
        <v>2723.1500999999998</v>
      </c>
      <c r="BJ567" s="19">
        <v>64.319299999999998</v>
      </c>
      <c r="BK567">
        <v>0.98560000000000003</v>
      </c>
      <c r="BL567">
        <v>1.0074000000000001</v>
      </c>
      <c r="BM567">
        <v>1.0170999999999999</v>
      </c>
      <c r="BN567">
        <v>9</v>
      </c>
      <c r="BO567">
        <v>14.256</v>
      </c>
      <c r="BP567">
        <v>12.34</v>
      </c>
      <c r="BQ567" s="19">
        <v>97.794799999999995</v>
      </c>
      <c r="BR567">
        <v>55.994399999999999</v>
      </c>
      <c r="BS567" s="20">
        <v>14.226000000000001</v>
      </c>
      <c r="BT567" s="20">
        <v>14.227</v>
      </c>
      <c r="BU567" s="20">
        <v>33.710999999999999</v>
      </c>
      <c r="BV567" s="20">
        <v>33.646999999999998</v>
      </c>
      <c r="BW567" s="19">
        <v>76.525800000000004</v>
      </c>
      <c r="BX567">
        <v>21.41</v>
      </c>
      <c r="BY567" s="6">
        <v>4003100</v>
      </c>
      <c r="BZ567" s="5">
        <v>11345641</v>
      </c>
      <c r="CA567" s="7">
        <f t="shared" si="40"/>
        <v>2.834213734355874</v>
      </c>
      <c r="CB567">
        <v>5413393</v>
      </c>
      <c r="CC567" s="8">
        <f t="shared" si="41"/>
        <v>2.0958465420855275</v>
      </c>
      <c r="CD567" s="8">
        <f t="shared" si="42"/>
        <v>0.73948076557530551</v>
      </c>
      <c r="CE567">
        <v>49035</v>
      </c>
      <c r="CF567" s="8">
        <f t="shared" si="43"/>
        <v>81.637605791781382</v>
      </c>
      <c r="CG567" s="8">
        <f t="shared" si="44"/>
        <v>231.37842357499744</v>
      </c>
      <c r="CH567">
        <v>100.56356</v>
      </c>
    </row>
    <row r="568" spans="1:86" ht="15.5" x14ac:dyDescent="0.35">
      <c r="A568" t="s">
        <v>109</v>
      </c>
      <c r="B568">
        <v>2014</v>
      </c>
      <c r="C568" s="2">
        <v>40.890900000000002</v>
      </c>
      <c r="D568">
        <v>58170.49</v>
      </c>
      <c r="E568">
        <v>0.19670000000000001</v>
      </c>
      <c r="F568">
        <v>6.2716000000000003</v>
      </c>
      <c r="G568">
        <v>40000</v>
      </c>
      <c r="H568">
        <v>10</v>
      </c>
      <c r="I568" s="19">
        <v>100.336</v>
      </c>
      <c r="J568" s="19">
        <v>100.26</v>
      </c>
      <c r="K568" s="19">
        <v>2.8130000000000002</v>
      </c>
      <c r="L568" s="19">
        <v>60.096200000000003</v>
      </c>
      <c r="M568" s="19">
        <v>1769000000</v>
      </c>
      <c r="N568" s="19">
        <v>114.7467</v>
      </c>
      <c r="O568">
        <v>27.881</v>
      </c>
      <c r="P568">
        <v>21.997499999999999</v>
      </c>
      <c r="Q568" s="19">
        <v>18785.127</v>
      </c>
      <c r="R568" s="19">
        <v>15647.649100000001</v>
      </c>
      <c r="S568" s="19">
        <v>2.6082999999999998</v>
      </c>
      <c r="T568" s="19">
        <v>31888.7575</v>
      </c>
      <c r="U568" s="19">
        <v>29108.072199999999</v>
      </c>
      <c r="V568">
        <v>26.1</v>
      </c>
      <c r="W568" s="19">
        <v>75</v>
      </c>
      <c r="X568">
        <v>97</v>
      </c>
      <c r="Y568">
        <v>97</v>
      </c>
      <c r="Z568">
        <v>97</v>
      </c>
      <c r="AA568">
        <v>5.2</v>
      </c>
      <c r="AB568">
        <v>80</v>
      </c>
      <c r="AC568">
        <v>76.812200000000004</v>
      </c>
      <c r="AD568">
        <v>85.770899999999997</v>
      </c>
      <c r="AE568">
        <v>5</v>
      </c>
      <c r="AF568">
        <v>86.662899999999993</v>
      </c>
      <c r="AG568">
        <v>6.6</v>
      </c>
      <c r="AH568">
        <v>0.56000000000000005</v>
      </c>
      <c r="AI568">
        <v>6.3</v>
      </c>
      <c r="AJ568">
        <v>5.7</v>
      </c>
      <c r="AK568">
        <v>6.9</v>
      </c>
      <c r="AL568">
        <v>58.336799999999997</v>
      </c>
      <c r="AM568">
        <v>3.1</v>
      </c>
      <c r="AN568">
        <v>-1158</v>
      </c>
      <c r="AO568">
        <v>0</v>
      </c>
      <c r="AP568">
        <v>99.786799999999999</v>
      </c>
      <c r="AQ568">
        <v>97.516099999999994</v>
      </c>
      <c r="AR568">
        <v>98.899900000000002</v>
      </c>
      <c r="AS568">
        <v>75.502700000000004</v>
      </c>
      <c r="AT568">
        <v>88.534099999999995</v>
      </c>
      <c r="AU568">
        <v>19.266100000000002</v>
      </c>
      <c r="AV568" s="19">
        <v>85.714299999999994</v>
      </c>
      <c r="AW568">
        <v>0.7</v>
      </c>
      <c r="AX568">
        <v>12.3</v>
      </c>
      <c r="AY568">
        <v>3</v>
      </c>
      <c r="AZ568">
        <v>4</v>
      </c>
      <c r="BA568">
        <v>82.539699999999996</v>
      </c>
      <c r="BB568">
        <v>18.666699999999999</v>
      </c>
      <c r="BC568">
        <v>5.4615</v>
      </c>
      <c r="BD568" s="19">
        <v>2.7080000000000002</v>
      </c>
      <c r="BE568" s="19">
        <v>78.846199999999996</v>
      </c>
      <c r="BF568">
        <v>23.656099999999999</v>
      </c>
      <c r="BG568">
        <v>12.2</v>
      </c>
      <c r="BH568" s="20">
        <v>0.877</v>
      </c>
      <c r="BI568" s="20">
        <v>2723.6711</v>
      </c>
      <c r="BJ568" s="19">
        <v>69.230800000000002</v>
      </c>
      <c r="BK568">
        <v>0.99050000000000005</v>
      </c>
      <c r="BL568">
        <v>1.0047999999999999</v>
      </c>
      <c r="BM568">
        <v>1.0115000000000001</v>
      </c>
      <c r="BN568">
        <v>9</v>
      </c>
      <c r="BO568">
        <v>14.071</v>
      </c>
      <c r="BP568">
        <v>12.97</v>
      </c>
      <c r="BQ568" s="19">
        <v>100.68470000000001</v>
      </c>
      <c r="BR568">
        <v>60.3979</v>
      </c>
      <c r="BS568" s="20">
        <v>11.536</v>
      </c>
      <c r="BT568" s="20">
        <v>11.537000000000001</v>
      </c>
      <c r="BU568" s="20">
        <v>26.745000000000001</v>
      </c>
      <c r="BV568" s="20">
        <v>26.773</v>
      </c>
      <c r="BW568" s="19">
        <v>75.862099999999998</v>
      </c>
      <c r="BX568">
        <v>22.57</v>
      </c>
      <c r="BY568" s="6">
        <v>3689636</v>
      </c>
      <c r="BZ568" s="5">
        <v>10781015</v>
      </c>
      <c r="CA568" s="7">
        <f t="shared" si="40"/>
        <v>2.9219725197824391</v>
      </c>
      <c r="CB568">
        <v>5418649</v>
      </c>
      <c r="CC568" s="8">
        <f t="shared" si="41"/>
        <v>1.9896130935958392</v>
      </c>
      <c r="CD568" s="8">
        <f t="shared" si="42"/>
        <v>0.68091437552054024</v>
      </c>
      <c r="CE568">
        <v>49035</v>
      </c>
      <c r="CF568" s="8">
        <f t="shared" si="43"/>
        <v>75.244947486489238</v>
      </c>
      <c r="CG568" s="8">
        <f t="shared" si="44"/>
        <v>219.86366880799429</v>
      </c>
      <c r="CH568">
        <v>100.56100000000001</v>
      </c>
    </row>
    <row r="569" spans="1:86" ht="15.5" x14ac:dyDescent="0.35">
      <c r="A569" t="s">
        <v>109</v>
      </c>
      <c r="B569">
        <v>2015</v>
      </c>
      <c r="C569" s="2">
        <v>41.808100000000003</v>
      </c>
      <c r="D569">
        <v>59183.02</v>
      </c>
      <c r="E569">
        <v>0.18990000000000001</v>
      </c>
      <c r="F569">
        <v>6.3630000000000004</v>
      </c>
      <c r="G569">
        <v>40400</v>
      </c>
      <c r="H569">
        <v>10</v>
      </c>
      <c r="I569" s="19">
        <v>100.003</v>
      </c>
      <c r="J569" s="19">
        <v>99.81</v>
      </c>
      <c r="K569" s="19">
        <v>2.79</v>
      </c>
      <c r="L569" s="19">
        <v>59.523800000000001</v>
      </c>
      <c r="M569" s="19">
        <v>-1840000000</v>
      </c>
      <c r="N569" s="19">
        <v>100</v>
      </c>
      <c r="O569">
        <v>27.815999999999999</v>
      </c>
      <c r="P569">
        <v>23.500900000000001</v>
      </c>
      <c r="Q569" s="19">
        <v>16451.197</v>
      </c>
      <c r="R569" s="19">
        <v>16442.076099999998</v>
      </c>
      <c r="S569" s="19">
        <v>5.077</v>
      </c>
      <c r="T569" s="19">
        <v>33507.741199999997</v>
      </c>
      <c r="U569" s="19">
        <v>30156.027099999999</v>
      </c>
      <c r="V569">
        <v>26.5</v>
      </c>
      <c r="W569" s="19">
        <v>73.8095</v>
      </c>
      <c r="X569">
        <v>96</v>
      </c>
      <c r="Y569">
        <v>96</v>
      </c>
      <c r="Z569">
        <v>95</v>
      </c>
      <c r="AA569">
        <v>5.0999999999999996</v>
      </c>
      <c r="AB569">
        <v>77.599999999999994</v>
      </c>
      <c r="AC569">
        <v>76.563400000000001</v>
      </c>
      <c r="AD569">
        <v>85.307699999999997</v>
      </c>
      <c r="AE569">
        <v>5</v>
      </c>
      <c r="AF569">
        <v>88.064400000000006</v>
      </c>
      <c r="AG569">
        <v>6.4</v>
      </c>
      <c r="AH569">
        <v>0.49</v>
      </c>
      <c r="AI569">
        <v>6.2</v>
      </c>
      <c r="AJ569">
        <v>5.6</v>
      </c>
      <c r="AK569">
        <v>6.8</v>
      </c>
      <c r="AL569">
        <v>57.780799999999999</v>
      </c>
      <c r="AM569">
        <v>3.1</v>
      </c>
      <c r="AN569">
        <v>2549</v>
      </c>
      <c r="AO569">
        <v>0</v>
      </c>
      <c r="AP569">
        <v>99.787199999999999</v>
      </c>
      <c r="AQ569">
        <v>97.520799999999994</v>
      </c>
      <c r="AR569">
        <v>98.935500000000005</v>
      </c>
      <c r="AS569">
        <v>75.509399999999999</v>
      </c>
      <c r="AT569">
        <v>88.5291</v>
      </c>
      <c r="AU569">
        <v>19.186699999999998</v>
      </c>
      <c r="AV569" s="19">
        <v>75.238100000000003</v>
      </c>
      <c r="AW569">
        <v>0.7</v>
      </c>
      <c r="AX569">
        <v>12.7</v>
      </c>
      <c r="AY569">
        <v>3</v>
      </c>
      <c r="AZ569">
        <v>4</v>
      </c>
      <c r="BA569">
        <v>82.525599999999997</v>
      </c>
      <c r="BB569">
        <v>18.666699999999999</v>
      </c>
      <c r="BC569">
        <v>5.3246000000000002</v>
      </c>
      <c r="BD569" s="19">
        <v>5.1769999999999996</v>
      </c>
      <c r="BE569" s="19">
        <v>75.238100000000003</v>
      </c>
      <c r="BF569">
        <v>23.458400000000001</v>
      </c>
      <c r="BG569">
        <v>13.4</v>
      </c>
      <c r="BH569" s="20">
        <v>1.1573</v>
      </c>
      <c r="BI569" s="20">
        <v>2658.9009000000001</v>
      </c>
      <c r="BJ569" s="19">
        <v>67.619</v>
      </c>
      <c r="BK569">
        <v>0.99199999999999999</v>
      </c>
      <c r="BL569">
        <v>1.0044999999999999</v>
      </c>
      <c r="BM569">
        <v>1.0105</v>
      </c>
      <c r="BN569">
        <v>9</v>
      </c>
      <c r="BO569">
        <v>13.973000000000001</v>
      </c>
      <c r="BP569">
        <v>11.21</v>
      </c>
      <c r="BQ569" s="19">
        <v>100</v>
      </c>
      <c r="BR569">
        <v>65.100399999999993</v>
      </c>
      <c r="BS569" s="20">
        <v>11.492000000000001</v>
      </c>
      <c r="BT569" s="20">
        <v>11.492000000000001</v>
      </c>
      <c r="BU569" s="20">
        <v>26.571000000000002</v>
      </c>
      <c r="BV569" s="20">
        <v>26.521999999999998</v>
      </c>
      <c r="BW569" s="19">
        <v>76.354699999999994</v>
      </c>
      <c r="BX569">
        <v>25.93</v>
      </c>
      <c r="BY569" s="6">
        <v>4274035</v>
      </c>
      <c r="BZ569" s="5">
        <v>12176275</v>
      </c>
      <c r="CA569" s="7">
        <f t="shared" si="40"/>
        <v>2.8488945457863588</v>
      </c>
      <c r="CB569">
        <v>5423801</v>
      </c>
      <c r="CC569" s="8">
        <f t="shared" si="41"/>
        <v>2.2449708239664399</v>
      </c>
      <c r="CD569" s="8">
        <f t="shared" si="42"/>
        <v>0.78801471514165067</v>
      </c>
      <c r="CE569">
        <v>49035</v>
      </c>
      <c r="CF569" s="8">
        <f t="shared" si="43"/>
        <v>87.16294483532171</v>
      </c>
      <c r="CG569" s="8">
        <f t="shared" si="44"/>
        <v>248.31803813602528</v>
      </c>
      <c r="CH569">
        <v>100</v>
      </c>
    </row>
    <row r="570" spans="1:86" ht="15.5" x14ac:dyDescent="0.35">
      <c r="A570" t="s">
        <v>109</v>
      </c>
      <c r="B570">
        <v>2016</v>
      </c>
      <c r="C570" s="2">
        <v>42.997500000000002</v>
      </c>
      <c r="D570">
        <v>69553.960000000006</v>
      </c>
      <c r="E570">
        <v>0.1913</v>
      </c>
      <c r="F570">
        <v>6.5270000000000001</v>
      </c>
      <c r="G570">
        <v>40400</v>
      </c>
      <c r="H570">
        <v>10</v>
      </c>
      <c r="I570" s="19">
        <v>99.531999999999996</v>
      </c>
      <c r="J570" s="19">
        <v>100.11</v>
      </c>
      <c r="K570" s="19">
        <v>2.9319999999999999</v>
      </c>
      <c r="L570" s="19">
        <v>60.476199999999999</v>
      </c>
      <c r="M570" s="19">
        <v>-1314000000</v>
      </c>
      <c r="N570" s="19">
        <v>102.5471</v>
      </c>
      <c r="O570">
        <v>34.316000000000003</v>
      </c>
      <c r="P570">
        <v>24.6264</v>
      </c>
      <c r="Q570" s="19">
        <v>16645.424999999999</v>
      </c>
      <c r="R570" s="19">
        <v>16740.7415</v>
      </c>
      <c r="S570" s="19">
        <v>1.8165</v>
      </c>
      <c r="T570" s="19">
        <v>34116.399299999997</v>
      </c>
      <c r="U570" s="19">
        <v>29867.980299999999</v>
      </c>
      <c r="V570">
        <v>25.2</v>
      </c>
      <c r="W570" s="19">
        <v>74.761899999999997</v>
      </c>
      <c r="X570">
        <v>96</v>
      </c>
      <c r="Y570">
        <v>96</v>
      </c>
      <c r="Z570">
        <v>95</v>
      </c>
      <c r="AA570">
        <v>5.0999999999999996</v>
      </c>
      <c r="AB570">
        <v>80.5</v>
      </c>
      <c r="AC570">
        <v>77.165899999999993</v>
      </c>
      <c r="AD570">
        <v>79.716700000000003</v>
      </c>
      <c r="AE570">
        <v>5</v>
      </c>
      <c r="AF570">
        <v>88.221199999999996</v>
      </c>
      <c r="AG570">
        <v>6.3</v>
      </c>
      <c r="AH570">
        <v>0.45</v>
      </c>
      <c r="AI570">
        <v>6.1</v>
      </c>
      <c r="AJ570">
        <v>5.5</v>
      </c>
      <c r="AK570">
        <v>6.7</v>
      </c>
      <c r="AL570">
        <v>57.8812</v>
      </c>
      <c r="AM570">
        <v>3</v>
      </c>
      <c r="AN570">
        <v>3487</v>
      </c>
      <c r="AO570">
        <v>0</v>
      </c>
      <c r="AP570">
        <v>99.787499999999994</v>
      </c>
      <c r="AQ570">
        <v>97.526300000000006</v>
      </c>
      <c r="AR570">
        <v>98.971100000000007</v>
      </c>
      <c r="AS570">
        <v>75.516000000000005</v>
      </c>
      <c r="AT570">
        <v>88.524100000000004</v>
      </c>
      <c r="AU570">
        <v>17.878799999999998</v>
      </c>
      <c r="AV570" s="19">
        <v>70.476200000000006</v>
      </c>
      <c r="AW570">
        <v>1.4</v>
      </c>
      <c r="AX570">
        <v>12.4</v>
      </c>
      <c r="AY570">
        <v>3</v>
      </c>
      <c r="AZ570">
        <v>4</v>
      </c>
      <c r="BA570">
        <v>82.515100000000004</v>
      </c>
      <c r="BB570">
        <v>20</v>
      </c>
      <c r="BC570">
        <v>5.6710000000000003</v>
      </c>
      <c r="BD570" s="19">
        <v>1.948</v>
      </c>
      <c r="BE570" s="19">
        <v>79.047600000000003</v>
      </c>
      <c r="BF570">
        <v>25.406400000000001</v>
      </c>
      <c r="BG570">
        <v>13.1</v>
      </c>
      <c r="BH570" s="20">
        <v>0.78859999999999997</v>
      </c>
      <c r="BI570" s="20">
        <v>2609.1498999999999</v>
      </c>
      <c r="BJ570" s="19">
        <v>71.904799999999994</v>
      </c>
      <c r="BK570">
        <v>0.98870000000000002</v>
      </c>
      <c r="BL570">
        <v>1.0035000000000001</v>
      </c>
      <c r="BM570">
        <v>1.0107999999999999</v>
      </c>
      <c r="BN570">
        <v>9</v>
      </c>
      <c r="BO570">
        <v>12.688000000000001</v>
      </c>
      <c r="BP570">
        <v>9.49</v>
      </c>
      <c r="BQ570" s="19">
        <v>101.1503</v>
      </c>
      <c r="BR570">
        <v>70.728999999999999</v>
      </c>
      <c r="BS570" s="20">
        <v>9.6790000000000003</v>
      </c>
      <c r="BT570" s="20">
        <v>9.6790000000000003</v>
      </c>
      <c r="BU570" s="20">
        <v>22.274000000000001</v>
      </c>
      <c r="BV570" s="20">
        <v>22.231999999999999</v>
      </c>
      <c r="BW570" s="19">
        <v>76.354699999999994</v>
      </c>
      <c r="BX570">
        <v>26.19</v>
      </c>
      <c r="BY570" s="6">
        <v>4944310</v>
      </c>
      <c r="BZ570" s="5">
        <v>13894782</v>
      </c>
      <c r="CA570" s="7">
        <f t="shared" si="40"/>
        <v>2.8102570429443139</v>
      </c>
      <c r="CB570">
        <v>5430798</v>
      </c>
      <c r="CC570" s="8">
        <f t="shared" si="41"/>
        <v>2.5585157098459566</v>
      </c>
      <c r="CD570" s="8">
        <f t="shared" si="42"/>
        <v>0.91042053120001887</v>
      </c>
      <c r="CE570">
        <v>49035</v>
      </c>
      <c r="CF570" s="8">
        <f t="shared" si="43"/>
        <v>100.83226266952177</v>
      </c>
      <c r="CG570" s="8">
        <f t="shared" si="44"/>
        <v>283.36457632303456</v>
      </c>
      <c r="CH570">
        <v>99.601990000000001</v>
      </c>
    </row>
    <row r="571" spans="1:86" ht="15.5" x14ac:dyDescent="0.35">
      <c r="A571" t="s">
        <v>109</v>
      </c>
      <c r="B571">
        <v>2017</v>
      </c>
      <c r="C571" s="2">
        <v>44.393599999999999</v>
      </c>
      <c r="D571">
        <v>98259.34</v>
      </c>
      <c r="E571">
        <v>0.19789999999999999</v>
      </c>
      <c r="F571">
        <v>6.9345999999999997</v>
      </c>
      <c r="G571">
        <v>40400</v>
      </c>
      <c r="H571">
        <v>10</v>
      </c>
      <c r="I571" s="19">
        <v>100.91800000000001</v>
      </c>
      <c r="J571" s="19">
        <v>102.21</v>
      </c>
      <c r="K571" s="19">
        <v>3.3260000000000001</v>
      </c>
      <c r="L571" s="19">
        <v>59.047600000000003</v>
      </c>
      <c r="M571" s="19">
        <v>-1664000000</v>
      </c>
      <c r="N571" s="19">
        <v>111.0033</v>
      </c>
      <c r="O571">
        <v>30.585000000000001</v>
      </c>
      <c r="P571">
        <v>25.859100000000002</v>
      </c>
      <c r="Q571" s="19">
        <v>17651.93</v>
      </c>
      <c r="R571" s="19">
        <v>17195.288799999998</v>
      </c>
      <c r="S571" s="19">
        <v>2.7151999999999998</v>
      </c>
      <c r="T571" s="19">
        <v>35042.7333</v>
      </c>
      <c r="U571" s="19">
        <v>30245.782599999999</v>
      </c>
      <c r="V571">
        <v>23.2</v>
      </c>
      <c r="W571" s="19">
        <v>73.333299999999994</v>
      </c>
      <c r="X571">
        <v>96</v>
      </c>
      <c r="Y571">
        <v>96</v>
      </c>
      <c r="Z571">
        <v>96</v>
      </c>
      <c r="AA571">
        <v>5</v>
      </c>
      <c r="AB571">
        <v>81.599999999999994</v>
      </c>
      <c r="AC571">
        <v>77.165899999999993</v>
      </c>
      <c r="AD571">
        <v>83.225099999999998</v>
      </c>
      <c r="AE571">
        <v>5</v>
      </c>
      <c r="AF571">
        <v>88.258899999999997</v>
      </c>
      <c r="AG571">
        <v>6.2</v>
      </c>
      <c r="AH571">
        <v>0.32</v>
      </c>
      <c r="AI571">
        <v>6</v>
      </c>
      <c r="AJ571">
        <v>5.4</v>
      </c>
      <c r="AK571">
        <v>6.6</v>
      </c>
      <c r="AL571">
        <v>57.636499999999998</v>
      </c>
      <c r="AM571">
        <v>3</v>
      </c>
      <c r="AN571">
        <v>3279</v>
      </c>
      <c r="AO571">
        <v>0</v>
      </c>
      <c r="AP571">
        <v>99.787700000000001</v>
      </c>
      <c r="AQ571">
        <v>97.532399999999996</v>
      </c>
      <c r="AR571">
        <v>99.006699999999995</v>
      </c>
      <c r="AS571">
        <v>75.522599999999997</v>
      </c>
      <c r="AT571">
        <v>88.519000000000005</v>
      </c>
      <c r="AU571">
        <v>18.184699999999999</v>
      </c>
      <c r="AV571" s="19">
        <v>78.095200000000006</v>
      </c>
      <c r="AW571">
        <v>0.2</v>
      </c>
      <c r="AX571">
        <v>12.2</v>
      </c>
      <c r="AY571">
        <v>3</v>
      </c>
      <c r="AZ571">
        <v>4</v>
      </c>
      <c r="BA571">
        <v>82.508300000000006</v>
      </c>
      <c r="BB571">
        <v>20</v>
      </c>
      <c r="BC571">
        <v>5.3411</v>
      </c>
      <c r="BD571" s="19">
        <v>2.875</v>
      </c>
      <c r="BE571" s="19">
        <v>76.666700000000006</v>
      </c>
      <c r="BF571">
        <v>24.626899999999999</v>
      </c>
      <c r="BG571">
        <v>12.4</v>
      </c>
      <c r="BH571" s="20">
        <v>0.88460000000000005</v>
      </c>
      <c r="BI571" s="20">
        <v>2803.0513000000001</v>
      </c>
      <c r="BJ571" s="19">
        <v>68.571399999999997</v>
      </c>
      <c r="BK571">
        <v>0.99419999999999997</v>
      </c>
      <c r="BL571">
        <v>1.0061</v>
      </c>
      <c r="BM571">
        <v>1.0121</v>
      </c>
      <c r="BN571">
        <v>9</v>
      </c>
      <c r="BO571">
        <v>12.326000000000001</v>
      </c>
      <c r="BP571">
        <v>9.14</v>
      </c>
      <c r="BQ571" s="19">
        <v>102.82729999999999</v>
      </c>
      <c r="BR571">
        <v>75.256100000000004</v>
      </c>
      <c r="BS571" s="20">
        <v>8.1419999999999995</v>
      </c>
      <c r="BT571" s="20">
        <v>8.1419999999999995</v>
      </c>
      <c r="BU571" s="20">
        <v>18.962</v>
      </c>
      <c r="BV571" s="20">
        <v>18.928999999999998</v>
      </c>
      <c r="BW571" s="19">
        <v>76.354699999999994</v>
      </c>
      <c r="BX571">
        <v>25.64</v>
      </c>
      <c r="BY571" s="6">
        <v>5287773</v>
      </c>
      <c r="BZ571" s="5">
        <v>14667937</v>
      </c>
      <c r="CA571" s="7">
        <f t="shared" si="40"/>
        <v>2.77393469802883</v>
      </c>
      <c r="CB571">
        <v>5439232</v>
      </c>
      <c r="CC571" s="8">
        <f t="shared" si="41"/>
        <v>2.6966926580811408</v>
      </c>
      <c r="CD571" s="8">
        <f t="shared" si="42"/>
        <v>0.97215434090695152</v>
      </c>
      <c r="CE571">
        <v>49035</v>
      </c>
      <c r="CF571" s="8">
        <f t="shared" si="43"/>
        <v>107.8367084735393</v>
      </c>
      <c r="CG571" s="8">
        <f t="shared" si="44"/>
        <v>299.13198735597024</v>
      </c>
      <c r="CH571">
        <v>99.066059999999993</v>
      </c>
    </row>
    <row r="572" spans="1:86" ht="15.5" x14ac:dyDescent="0.35">
      <c r="A572" t="s">
        <v>109</v>
      </c>
      <c r="B572">
        <v>2018</v>
      </c>
      <c r="C572" s="2">
        <v>45.802</v>
      </c>
      <c r="D572">
        <v>62218.85</v>
      </c>
      <c r="E572">
        <v>0.18759999999999999</v>
      </c>
      <c r="F572">
        <v>6.8315999999999999</v>
      </c>
      <c r="G572">
        <v>40400</v>
      </c>
      <c r="H572">
        <v>10</v>
      </c>
      <c r="I572" s="19">
        <v>103.473</v>
      </c>
      <c r="J572" s="19">
        <v>104.27</v>
      </c>
      <c r="K572" s="19">
        <v>3.5790000000000002</v>
      </c>
      <c r="L572" s="19">
        <v>61.428600000000003</v>
      </c>
      <c r="M572" s="19">
        <v>-1742000000</v>
      </c>
      <c r="N572" s="19">
        <v>124.32510000000001</v>
      </c>
      <c r="O572">
        <v>30.367000000000001</v>
      </c>
      <c r="P572">
        <v>27.695399999999999</v>
      </c>
      <c r="Q572" s="19">
        <v>19595.393</v>
      </c>
      <c r="R572" s="19">
        <v>17869.014899999998</v>
      </c>
      <c r="S572" s="19">
        <v>3.9180999999999999</v>
      </c>
      <c r="T572" s="19">
        <v>36415.7376</v>
      </c>
      <c r="U572" s="19">
        <v>31509.8187</v>
      </c>
      <c r="V572">
        <v>25</v>
      </c>
      <c r="W572" s="19">
        <v>72.381</v>
      </c>
      <c r="X572">
        <v>96</v>
      </c>
      <c r="Y572">
        <v>96</v>
      </c>
      <c r="Z572">
        <v>96</v>
      </c>
      <c r="AA572">
        <v>5</v>
      </c>
      <c r="AB572">
        <v>80.400000000000006</v>
      </c>
      <c r="AC572">
        <v>77.265900000000002</v>
      </c>
      <c r="AD572">
        <v>81.751800000000003</v>
      </c>
      <c r="AE572">
        <v>5</v>
      </c>
      <c r="AF572">
        <v>88.359300000000005</v>
      </c>
      <c r="AG572">
        <v>6.1</v>
      </c>
      <c r="AH572">
        <v>0.5</v>
      </c>
      <c r="AI572">
        <v>6</v>
      </c>
      <c r="AJ572">
        <v>5.3</v>
      </c>
      <c r="AK572">
        <v>6.5</v>
      </c>
      <c r="AL572">
        <v>57.963500000000003</v>
      </c>
      <c r="AM572">
        <v>3</v>
      </c>
      <c r="AN572">
        <v>3446</v>
      </c>
      <c r="AO572">
        <v>0</v>
      </c>
      <c r="AP572">
        <v>99.787800000000004</v>
      </c>
      <c r="AQ572">
        <v>97.531800000000004</v>
      </c>
      <c r="AR572">
        <v>99.042299999999997</v>
      </c>
      <c r="AS572">
        <v>75.516499999999994</v>
      </c>
      <c r="AT572">
        <v>88.511099999999999</v>
      </c>
      <c r="AU572">
        <v>18.678799999999999</v>
      </c>
      <c r="AV572" s="19">
        <v>70.283000000000001</v>
      </c>
      <c r="AW572">
        <v>0.2</v>
      </c>
      <c r="AX572">
        <v>11.9</v>
      </c>
      <c r="AY572">
        <v>3</v>
      </c>
      <c r="AZ572">
        <v>4</v>
      </c>
      <c r="BA572">
        <v>82.498000000000005</v>
      </c>
      <c r="BB572">
        <v>20</v>
      </c>
      <c r="BC572">
        <v>5.2808000000000002</v>
      </c>
      <c r="BD572" s="19">
        <v>4.0620000000000003</v>
      </c>
      <c r="BE572" s="19">
        <v>75.714299999999994</v>
      </c>
      <c r="BF572">
        <v>22.598299999999998</v>
      </c>
      <c r="BG572">
        <v>12.4</v>
      </c>
      <c r="BH572" s="20">
        <v>0.83560000000000001</v>
      </c>
      <c r="BI572" s="20">
        <v>3003.3883999999998</v>
      </c>
      <c r="BJ572" s="19">
        <v>68.571399999999997</v>
      </c>
      <c r="BK572">
        <v>0.99680000000000002</v>
      </c>
      <c r="BL572">
        <v>1.0066999999999999</v>
      </c>
      <c r="BM572">
        <v>1.0118</v>
      </c>
      <c r="BN572">
        <v>9</v>
      </c>
      <c r="BO572">
        <v>10.404999999999999</v>
      </c>
      <c r="BP572">
        <v>10.23</v>
      </c>
      <c r="BQ572" s="19">
        <v>102.8184</v>
      </c>
      <c r="BR572">
        <v>80.389700000000005</v>
      </c>
      <c r="BS572" s="20">
        <v>6.5439999999999996</v>
      </c>
      <c r="BT572" s="20">
        <v>6.5439999999999996</v>
      </c>
      <c r="BU572" s="20">
        <v>14.971</v>
      </c>
      <c r="BV572" s="20">
        <v>14.946999999999999</v>
      </c>
      <c r="BW572" s="19">
        <v>75.242699999999999</v>
      </c>
      <c r="BX572">
        <v>25.12</v>
      </c>
      <c r="BY572" s="6">
        <v>5487207</v>
      </c>
      <c r="BZ572" s="5">
        <v>15188140</v>
      </c>
      <c r="CA572" s="7">
        <f t="shared" si="40"/>
        <v>2.7679181776812865</v>
      </c>
      <c r="CB572">
        <v>5446771</v>
      </c>
      <c r="CC572" s="8">
        <f t="shared" si="41"/>
        <v>2.7884667815114681</v>
      </c>
      <c r="CD572" s="8">
        <f t="shared" si="42"/>
        <v>1.0074238480009532</v>
      </c>
      <c r="CE572">
        <v>49035</v>
      </c>
      <c r="CF572" s="8">
        <f t="shared" si="43"/>
        <v>111.90388498011625</v>
      </c>
      <c r="CG572" s="8">
        <f t="shared" si="44"/>
        <v>309.74079738961967</v>
      </c>
      <c r="CH572">
        <v>99.882490000000004</v>
      </c>
    </row>
    <row r="573" spans="1:86" ht="15.5" x14ac:dyDescent="0.35">
      <c r="A573" t="s">
        <v>109</v>
      </c>
      <c r="B573">
        <v>2019</v>
      </c>
      <c r="C573" s="2">
        <v>47.174399999999999</v>
      </c>
      <c r="D573">
        <v>62070.9</v>
      </c>
      <c r="E573">
        <v>0.1714</v>
      </c>
      <c r="F573">
        <v>6.3769</v>
      </c>
      <c r="G573">
        <v>40400</v>
      </c>
      <c r="H573">
        <v>10</v>
      </c>
      <c r="I573" s="19">
        <v>106.34</v>
      </c>
      <c r="J573" s="19">
        <v>107.71</v>
      </c>
      <c r="K573" s="19">
        <v>3.831</v>
      </c>
      <c r="L573" s="19">
        <v>59.523800000000001</v>
      </c>
      <c r="M573" s="19">
        <v>-3734000000</v>
      </c>
      <c r="N573" s="19">
        <v>119.11369999999999</v>
      </c>
      <c r="O573">
        <v>33.35</v>
      </c>
      <c r="P573">
        <v>29.181100000000001</v>
      </c>
      <c r="Q573" s="19">
        <v>19421.472000000002</v>
      </c>
      <c r="R573" s="19">
        <v>18250.980299999999</v>
      </c>
      <c r="S573" s="19">
        <v>2.1375999999999999</v>
      </c>
      <c r="T573" s="19">
        <v>37194.154900000001</v>
      </c>
      <c r="U573" s="19">
        <v>33985.675799999997</v>
      </c>
      <c r="V573">
        <v>23.2</v>
      </c>
      <c r="W573" s="19">
        <v>71.428600000000003</v>
      </c>
      <c r="X573">
        <v>97</v>
      </c>
      <c r="Y573">
        <v>97</v>
      </c>
      <c r="Z573">
        <v>96</v>
      </c>
      <c r="AA573">
        <v>4.9000000000000004</v>
      </c>
      <c r="AB573">
        <v>82.9</v>
      </c>
      <c r="AC573">
        <v>77.665899999999993</v>
      </c>
      <c r="AD573">
        <v>80.8386</v>
      </c>
      <c r="AE573">
        <v>5</v>
      </c>
      <c r="AF573">
        <v>88.359300000000005</v>
      </c>
      <c r="AG573">
        <v>6.1</v>
      </c>
      <c r="AH573">
        <v>0.36</v>
      </c>
      <c r="AI573">
        <v>5.9</v>
      </c>
      <c r="AJ573">
        <v>5.3</v>
      </c>
      <c r="AK573">
        <v>6.5</v>
      </c>
      <c r="AL573">
        <v>57.836399999999998</v>
      </c>
      <c r="AM573">
        <v>3</v>
      </c>
      <c r="AN573">
        <v>3128</v>
      </c>
      <c r="AO573">
        <v>0</v>
      </c>
      <c r="AP573">
        <v>99.787800000000004</v>
      </c>
      <c r="AQ573">
        <v>97.531800000000004</v>
      </c>
      <c r="AR573">
        <v>99.0779</v>
      </c>
      <c r="AS573">
        <v>75.510499999999993</v>
      </c>
      <c r="AT573">
        <v>88.503100000000003</v>
      </c>
      <c r="AU573">
        <v>15.8371</v>
      </c>
      <c r="AV573" s="19">
        <v>68.867900000000006</v>
      </c>
      <c r="AW573">
        <v>0.1</v>
      </c>
      <c r="AX573">
        <v>11.4</v>
      </c>
      <c r="AY573">
        <v>3</v>
      </c>
      <c r="AZ573">
        <v>4</v>
      </c>
      <c r="BA573">
        <v>82.491299999999995</v>
      </c>
      <c r="BB573">
        <v>20</v>
      </c>
      <c r="BC573">
        <v>5.4538000000000002</v>
      </c>
      <c r="BD573" s="19">
        <v>2.2759999999999998</v>
      </c>
      <c r="BE573" s="19">
        <v>79.523799999999994</v>
      </c>
      <c r="BF573">
        <v>24.122499999999999</v>
      </c>
      <c r="BG573">
        <v>17.600000000000001</v>
      </c>
      <c r="BH573" s="20">
        <v>0.82240000000000002</v>
      </c>
      <c r="BI573" s="20">
        <v>3116.8247000000001</v>
      </c>
      <c r="BJ573" s="19">
        <v>69.047600000000003</v>
      </c>
      <c r="BK573">
        <v>0.99529999999999996</v>
      </c>
      <c r="BL573">
        <v>1.0072000000000001</v>
      </c>
      <c r="BM573">
        <v>1.0134000000000001</v>
      </c>
      <c r="BN573">
        <v>9</v>
      </c>
      <c r="BO573">
        <v>10.478999999999999</v>
      </c>
      <c r="BP573">
        <v>9.02</v>
      </c>
      <c r="BQ573" s="19">
        <v>101.7633</v>
      </c>
      <c r="BR573">
        <v>80.609099999999998</v>
      </c>
      <c r="BS573" s="20">
        <v>5.7610000000000001</v>
      </c>
      <c r="BT573" s="20">
        <v>5.7610000000000001</v>
      </c>
      <c r="BU573" s="20">
        <v>16.12</v>
      </c>
      <c r="BV573" s="20">
        <v>16.108000000000001</v>
      </c>
      <c r="BW573" s="19">
        <v>74.396100000000004</v>
      </c>
      <c r="BX573">
        <v>26.24</v>
      </c>
      <c r="BY573" s="6">
        <v>6267801</v>
      </c>
      <c r="BZ573" s="5">
        <v>17225333</v>
      </c>
      <c r="CA573" s="7">
        <f t="shared" si="40"/>
        <v>2.7482258929407619</v>
      </c>
      <c r="CB573">
        <v>5454147</v>
      </c>
      <c r="CC573" s="8">
        <f t="shared" si="41"/>
        <v>3.1582084237920247</v>
      </c>
      <c r="CD573" s="8">
        <f t="shared" si="42"/>
        <v>1.1491807976572688</v>
      </c>
      <c r="CE573">
        <v>49035</v>
      </c>
      <c r="CF573" s="8">
        <f t="shared" si="43"/>
        <v>127.82300397675129</v>
      </c>
      <c r="CG573" s="8">
        <f t="shared" si="44"/>
        <v>351.28648924237791</v>
      </c>
      <c r="CH573">
        <v>101.29752000000001</v>
      </c>
    </row>
    <row r="574" spans="1:86" ht="15.5" x14ac:dyDescent="0.35">
      <c r="A574" t="s">
        <v>109</v>
      </c>
      <c r="B574">
        <v>2020</v>
      </c>
      <c r="C574" s="2">
        <v>48.409399999999998</v>
      </c>
      <c r="D574">
        <v>62294.16</v>
      </c>
      <c r="E574">
        <v>0.1651</v>
      </c>
      <c r="F574">
        <v>5.9751000000000003</v>
      </c>
      <c r="G574">
        <v>40400</v>
      </c>
      <c r="H574">
        <v>10</v>
      </c>
      <c r="I574" s="19">
        <v>108.48099999999999</v>
      </c>
      <c r="J574" s="19">
        <v>109.58</v>
      </c>
      <c r="K574" s="19">
        <v>2.9140000000000001</v>
      </c>
      <c r="L574" s="19">
        <v>64.285700000000006</v>
      </c>
      <c r="M574" s="19">
        <v>-501000000</v>
      </c>
      <c r="N574" s="19">
        <v>115.29559999999999</v>
      </c>
      <c r="O574">
        <v>34.531999999999996</v>
      </c>
      <c r="P574">
        <v>31.192499999999999</v>
      </c>
      <c r="Q574" s="19">
        <v>19723.117999999999</v>
      </c>
      <c r="R574" s="19">
        <v>17763.856400000001</v>
      </c>
      <c r="S574" s="19">
        <v>-2.669</v>
      </c>
      <c r="T574" s="19">
        <v>36201.432200000003</v>
      </c>
      <c r="U574" s="19">
        <v>35327.943899999998</v>
      </c>
      <c r="V574">
        <v>24.2</v>
      </c>
      <c r="W574" s="19">
        <v>69.047600000000003</v>
      </c>
      <c r="X574">
        <v>97</v>
      </c>
      <c r="Y574">
        <v>97</v>
      </c>
      <c r="Z574">
        <v>96</v>
      </c>
      <c r="AA574">
        <v>4.9000000000000004</v>
      </c>
      <c r="AB574">
        <v>89.9</v>
      </c>
      <c r="AC574">
        <v>76.865899999999996</v>
      </c>
      <c r="AD574">
        <v>75.767600000000002</v>
      </c>
      <c r="AE574">
        <v>4</v>
      </c>
      <c r="AF574">
        <v>88.359300000000005</v>
      </c>
      <c r="AH574">
        <v>0.68</v>
      </c>
      <c r="AI574">
        <v>5.9</v>
      </c>
      <c r="AJ574">
        <v>5.3</v>
      </c>
      <c r="AK574">
        <v>6.5</v>
      </c>
      <c r="AL574">
        <v>58.2592</v>
      </c>
      <c r="AM574">
        <v>3</v>
      </c>
      <c r="AN574">
        <v>4350</v>
      </c>
      <c r="AO574">
        <v>0</v>
      </c>
      <c r="AP574">
        <v>99.787700000000001</v>
      </c>
      <c r="AQ574">
        <v>97.532600000000002</v>
      </c>
      <c r="AR574">
        <v>99.113500000000002</v>
      </c>
      <c r="AS574">
        <v>75.504400000000004</v>
      </c>
      <c r="AT574">
        <v>88.495099999999994</v>
      </c>
      <c r="AU574">
        <v>15.3916</v>
      </c>
      <c r="AV574" s="19">
        <v>67.452799999999996</v>
      </c>
      <c r="AW574">
        <v>0.2</v>
      </c>
      <c r="AX574">
        <v>12.3</v>
      </c>
      <c r="AY574">
        <v>3</v>
      </c>
      <c r="AZ574">
        <v>4</v>
      </c>
      <c r="BA574">
        <v>82.488200000000006</v>
      </c>
      <c r="BB574">
        <v>22.666699999999999</v>
      </c>
      <c r="BC574">
        <v>5.7205000000000004</v>
      </c>
      <c r="BD574" s="19">
        <v>-2.5859999999999999</v>
      </c>
      <c r="BE574" s="19">
        <v>74.285700000000006</v>
      </c>
      <c r="BF574">
        <v>24.755500000000001</v>
      </c>
      <c r="BG574">
        <v>17.600000000000001</v>
      </c>
      <c r="BH574" s="20">
        <v>0.89770000000000005</v>
      </c>
      <c r="BI574" s="20">
        <v>3167.4324000000001</v>
      </c>
      <c r="BJ574" s="19">
        <v>73.8095</v>
      </c>
      <c r="BK574">
        <v>0.99650000000000005</v>
      </c>
      <c r="BL574">
        <v>1.0065</v>
      </c>
      <c r="BM574">
        <v>1.0117</v>
      </c>
      <c r="BN574">
        <v>9</v>
      </c>
      <c r="BO574">
        <v>10.747999999999999</v>
      </c>
      <c r="BP574">
        <v>9.36</v>
      </c>
      <c r="BQ574" s="19">
        <v>104.1139</v>
      </c>
      <c r="BR574">
        <v>80.609099999999998</v>
      </c>
      <c r="BS574" s="20">
        <v>6.7190000000000003</v>
      </c>
      <c r="BT574" s="20">
        <v>6.7190000000000003</v>
      </c>
      <c r="BU574" s="20">
        <v>19.437999999999999</v>
      </c>
      <c r="BV574" s="20">
        <v>19.433</v>
      </c>
      <c r="BW574" s="19">
        <v>74.879199999999997</v>
      </c>
      <c r="BX574">
        <v>24.09</v>
      </c>
      <c r="BY574" s="6">
        <v>3095812</v>
      </c>
      <c r="BZ574" s="5">
        <v>9437786</v>
      </c>
      <c r="CA574" s="7">
        <f t="shared" si="40"/>
        <v>3.0485656105732519</v>
      </c>
      <c r="CB574">
        <v>5458827</v>
      </c>
      <c r="CC574" s="8">
        <f t="shared" si="41"/>
        <v>1.7289036637358173</v>
      </c>
      <c r="CD574" s="8">
        <f t="shared" si="42"/>
        <v>0.56712037219717715</v>
      </c>
      <c r="CE574">
        <v>49035</v>
      </c>
      <c r="CF574" s="8">
        <f t="shared" si="43"/>
        <v>63.134740491485672</v>
      </c>
      <c r="CG574" s="8">
        <f t="shared" si="44"/>
        <v>192.47039869480983</v>
      </c>
      <c r="CH574">
        <v>103.09057</v>
      </c>
    </row>
    <row r="575" spans="1:86" ht="15.5" x14ac:dyDescent="0.35">
      <c r="A575" t="s">
        <v>109</v>
      </c>
      <c r="B575">
        <v>2021</v>
      </c>
      <c r="C575" s="2">
        <v>49.456800000000001</v>
      </c>
      <c r="D575">
        <v>62240.01</v>
      </c>
      <c r="E575">
        <v>0.17530000000000001</v>
      </c>
      <c r="F575">
        <v>6.7224000000000004</v>
      </c>
      <c r="G575">
        <v>40400</v>
      </c>
      <c r="H575">
        <v>11</v>
      </c>
      <c r="I575" s="19">
        <v>111.545</v>
      </c>
      <c r="J575" s="19">
        <v>115.16</v>
      </c>
      <c r="K575" s="19">
        <v>6.2510000000000003</v>
      </c>
      <c r="L575" s="19">
        <v>60</v>
      </c>
      <c r="M575" s="19">
        <v>-5829000000</v>
      </c>
      <c r="N575" s="19">
        <v>137.80779999999999</v>
      </c>
      <c r="O575">
        <v>35.241999999999997</v>
      </c>
      <c r="P575">
        <v>32.606099999999998</v>
      </c>
      <c r="Q575" s="19">
        <v>22102.031999999999</v>
      </c>
      <c r="R575" s="19">
        <v>18821.116300000002</v>
      </c>
      <c r="S575" s="19">
        <v>5.9516999999999998</v>
      </c>
      <c r="T575" s="19">
        <v>38356.0501</v>
      </c>
      <c r="U575" s="19">
        <v>38356.0501</v>
      </c>
      <c r="V575">
        <v>24.1</v>
      </c>
      <c r="W575" s="19">
        <v>68.571399999999997</v>
      </c>
      <c r="X575">
        <v>97</v>
      </c>
      <c r="Y575">
        <v>97</v>
      </c>
      <c r="Z575">
        <v>95</v>
      </c>
      <c r="AA575">
        <v>5</v>
      </c>
      <c r="AB575">
        <v>88.9</v>
      </c>
      <c r="AC575">
        <v>74.614599999999996</v>
      </c>
      <c r="AD575">
        <v>83.194199999999995</v>
      </c>
      <c r="AE575">
        <v>12</v>
      </c>
      <c r="AH575">
        <v>0.57999999999999996</v>
      </c>
      <c r="AI575">
        <v>6</v>
      </c>
      <c r="AJ575">
        <v>5.3</v>
      </c>
      <c r="AK575">
        <v>6.5</v>
      </c>
      <c r="AL575">
        <v>58.222700000000003</v>
      </c>
      <c r="AM575">
        <v>3</v>
      </c>
      <c r="AN575">
        <v>-8172</v>
      </c>
      <c r="AO575">
        <v>0</v>
      </c>
      <c r="AP575">
        <v>99.787499999999994</v>
      </c>
      <c r="AQ575">
        <v>97.534099999999995</v>
      </c>
      <c r="AR575">
        <v>99.149100000000004</v>
      </c>
      <c r="AS575">
        <v>75.4983</v>
      </c>
      <c r="AT575">
        <v>88.487200000000001</v>
      </c>
      <c r="AV575" s="19">
        <v>65.566000000000003</v>
      </c>
      <c r="AW575">
        <v>0.1</v>
      </c>
      <c r="AX575">
        <v>13.7</v>
      </c>
      <c r="AY575">
        <v>3</v>
      </c>
      <c r="AZ575">
        <v>4</v>
      </c>
      <c r="BA575">
        <v>82.488900000000001</v>
      </c>
      <c r="BB575">
        <v>22.666699999999999</v>
      </c>
      <c r="BC575">
        <v>6.1844000000000001</v>
      </c>
      <c r="BD575" s="19">
        <v>5.7270000000000003</v>
      </c>
      <c r="BE575" s="19">
        <v>77.619</v>
      </c>
      <c r="BF575">
        <v>23.5608</v>
      </c>
      <c r="BG575">
        <v>17.899999999999999</v>
      </c>
      <c r="BH575" s="20">
        <v>0.91610000000000003</v>
      </c>
      <c r="BI575" s="20">
        <v>3211.1311000000001</v>
      </c>
      <c r="BJ575" s="19">
        <v>72.857100000000003</v>
      </c>
      <c r="BN575">
        <v>9</v>
      </c>
      <c r="BO575">
        <v>11.074999999999999</v>
      </c>
      <c r="BP575">
        <v>9.91</v>
      </c>
      <c r="BQ575" s="19">
        <v>102.1187</v>
      </c>
      <c r="BS575" s="20">
        <v>6.8940000000000001</v>
      </c>
      <c r="BT575" s="20">
        <v>6.8940000000000001</v>
      </c>
      <c r="BU575" s="20">
        <v>21.210999999999999</v>
      </c>
      <c r="BV575" s="20">
        <v>21.202000000000002</v>
      </c>
      <c r="BW575" s="19">
        <v>75.845399999999998</v>
      </c>
      <c r="BX575">
        <v>26.29</v>
      </c>
      <c r="BY575" s="6">
        <v>2639819</v>
      </c>
      <c r="BZ575" s="5">
        <v>7915947</v>
      </c>
      <c r="CA575" s="7">
        <f t="shared" si="40"/>
        <v>2.9986703633847624</v>
      </c>
      <c r="CB575">
        <v>5447247</v>
      </c>
      <c r="CC575" s="8">
        <f t="shared" si="41"/>
        <v>1.4532014061414875</v>
      </c>
      <c r="CD575" s="8">
        <f t="shared" si="42"/>
        <v>0.48461525611010481</v>
      </c>
      <c r="CE575">
        <v>49035</v>
      </c>
      <c r="CF575" s="8">
        <f t="shared" si="43"/>
        <v>53.835403283369025</v>
      </c>
      <c r="CG575" s="8">
        <f t="shared" si="44"/>
        <v>161.43462832670542</v>
      </c>
      <c r="CH575">
        <v>102.87538000000001</v>
      </c>
    </row>
    <row r="576" spans="1:86" ht="15.5" x14ac:dyDescent="0.35">
      <c r="A576" t="s">
        <v>109</v>
      </c>
      <c r="B576">
        <v>2022</v>
      </c>
      <c r="C576" s="2">
        <v>50.464100000000002</v>
      </c>
      <c r="E576">
        <v>0.1694</v>
      </c>
      <c r="F576">
        <v>6.5454999999999997</v>
      </c>
      <c r="H576">
        <v>11</v>
      </c>
      <c r="I576" s="19">
        <v>125.07299999999999</v>
      </c>
      <c r="J576" s="19">
        <v>132.47</v>
      </c>
      <c r="K576" s="19">
        <v>8.7970000000000006</v>
      </c>
      <c r="L576" s="19">
        <v>60.377400000000002</v>
      </c>
      <c r="M576" s="19">
        <v>-11159000000</v>
      </c>
      <c r="N576" s="19"/>
      <c r="O576">
        <v>35.588000000000001</v>
      </c>
      <c r="P576">
        <v>33.998800000000003</v>
      </c>
      <c r="Q576" s="19">
        <v>21347.911</v>
      </c>
      <c r="R576" s="19">
        <v>18959.681799999998</v>
      </c>
      <c r="S576" s="19">
        <v>0.73619999999999997</v>
      </c>
      <c r="T576" s="19">
        <v>38638.436500000003</v>
      </c>
      <c r="U576" s="19">
        <v>41111.747499999998</v>
      </c>
      <c r="W576" s="19">
        <v>63.679200000000002</v>
      </c>
      <c r="X576">
        <v>97</v>
      </c>
      <c r="Y576">
        <v>97</v>
      </c>
      <c r="Z576">
        <v>95</v>
      </c>
      <c r="AA576">
        <v>5</v>
      </c>
      <c r="AB576">
        <v>89.1</v>
      </c>
      <c r="AC576">
        <v>76.965900000000005</v>
      </c>
      <c r="AD576">
        <v>81.872799999999998</v>
      </c>
      <c r="AE576">
        <v>5</v>
      </c>
      <c r="AI576">
        <v>6</v>
      </c>
      <c r="AJ576">
        <v>5.4</v>
      </c>
      <c r="AK576">
        <v>6.6</v>
      </c>
      <c r="AL576">
        <v>57.863399999999999</v>
      </c>
      <c r="AM576">
        <v>3</v>
      </c>
      <c r="AN576">
        <v>92314</v>
      </c>
      <c r="AO576">
        <v>0</v>
      </c>
      <c r="AP576">
        <v>99.787099999999995</v>
      </c>
      <c r="AQ576">
        <v>97.5364</v>
      </c>
      <c r="AR576">
        <v>99.184700000000007</v>
      </c>
      <c r="AS576">
        <v>75.4923</v>
      </c>
      <c r="AT576">
        <v>88.479200000000006</v>
      </c>
      <c r="AV576" s="19">
        <v>59.433999999999997</v>
      </c>
      <c r="AY576">
        <v>3</v>
      </c>
      <c r="AZ576">
        <v>4</v>
      </c>
      <c r="BA576">
        <v>82.493399999999994</v>
      </c>
      <c r="BB576">
        <v>21.333300000000001</v>
      </c>
      <c r="BC576">
        <v>6.1752000000000002</v>
      </c>
      <c r="BD576" s="19">
        <v>0.45</v>
      </c>
      <c r="BE576" s="19">
        <v>76.886799999999994</v>
      </c>
      <c r="BH576" s="20">
        <v>0.97940000000000005</v>
      </c>
      <c r="BI576" s="20">
        <v>3387.4740999999999</v>
      </c>
      <c r="BJ576" s="19">
        <v>69.811300000000003</v>
      </c>
      <c r="BN576">
        <v>9</v>
      </c>
      <c r="BO576">
        <v>9.9949999999999992</v>
      </c>
      <c r="BQ576" s="19"/>
      <c r="BS576" s="20">
        <v>6.1429999999999998</v>
      </c>
      <c r="BT576" s="20">
        <v>6.1429999999999998</v>
      </c>
      <c r="BU576" s="20">
        <v>19.923999999999999</v>
      </c>
      <c r="BV576" s="20">
        <v>19.940999999999999</v>
      </c>
      <c r="BW576" s="19">
        <v>75.845399999999998</v>
      </c>
      <c r="BX576">
        <v>29.14</v>
      </c>
      <c r="BY576" s="6">
        <v>4701247</v>
      </c>
      <c r="BZ576" s="5">
        <v>12348809</v>
      </c>
      <c r="CA576" s="7">
        <f t="shared" si="40"/>
        <v>2.6267092539490053</v>
      </c>
      <c r="CB576">
        <v>5431752</v>
      </c>
      <c r="CC576" s="8">
        <f t="shared" si="41"/>
        <v>2.273448603691774</v>
      </c>
      <c r="CD576" s="8">
        <f t="shared" si="42"/>
        <v>0.8655120852351138</v>
      </c>
      <c r="CE576">
        <v>49035</v>
      </c>
      <c r="CF576" s="8">
        <f t="shared" si="43"/>
        <v>95.875333945141222</v>
      </c>
      <c r="CG576" s="8">
        <f t="shared" si="44"/>
        <v>251.83662689915366</v>
      </c>
      <c r="CH576">
        <v>105.44041</v>
      </c>
    </row>
    <row r="577" spans="1:86" ht="15.5" x14ac:dyDescent="0.35">
      <c r="A577" t="s">
        <v>109</v>
      </c>
      <c r="B577">
        <v>2023</v>
      </c>
      <c r="C577" s="2">
        <v>51.418799999999997</v>
      </c>
      <c r="E577">
        <v>0.1638</v>
      </c>
      <c r="F577">
        <v>6.4240000000000004</v>
      </c>
      <c r="H577">
        <v>11</v>
      </c>
      <c r="I577" s="19">
        <v>138.78399999999999</v>
      </c>
      <c r="J577" s="19">
        <v>141.16</v>
      </c>
      <c r="K577" s="19">
        <v>6.0270000000000001</v>
      </c>
      <c r="L577" s="19">
        <v>61.320799999999998</v>
      </c>
      <c r="M577" s="19">
        <v>-2240000000</v>
      </c>
      <c r="N577" s="19"/>
      <c r="O577">
        <v>34.109000000000002</v>
      </c>
      <c r="P577">
        <v>33.172600000000003</v>
      </c>
      <c r="Q577" s="19">
        <v>24489.184000000001</v>
      </c>
      <c r="R577" s="19">
        <v>19238.762200000001</v>
      </c>
      <c r="S577" s="19">
        <v>1.472</v>
      </c>
      <c r="T577" s="19">
        <v>39207.181799999998</v>
      </c>
      <c r="U577" s="19">
        <v>43625.364200000004</v>
      </c>
      <c r="W577" s="19">
        <v>58.962299999999999</v>
      </c>
      <c r="X577">
        <v>96</v>
      </c>
      <c r="Y577">
        <v>96</v>
      </c>
      <c r="Z577">
        <v>94</v>
      </c>
      <c r="AA577">
        <v>5.0999999999999996</v>
      </c>
      <c r="AB577">
        <v>87.2</v>
      </c>
      <c r="AC577">
        <v>78.017099999999999</v>
      </c>
      <c r="AE577">
        <v>4</v>
      </c>
      <c r="AI577">
        <v>6.1</v>
      </c>
      <c r="AJ577">
        <v>5.4</v>
      </c>
      <c r="AK577">
        <v>6.7</v>
      </c>
      <c r="AL577" s="24">
        <v>57.863399999999999</v>
      </c>
      <c r="AM577">
        <v>3</v>
      </c>
      <c r="AN577">
        <v>4933</v>
      </c>
      <c r="AV577" s="19">
        <v>64.454999999999998</v>
      </c>
      <c r="AY577" s="25">
        <v>3</v>
      </c>
      <c r="AZ577">
        <v>4</v>
      </c>
      <c r="BB577">
        <v>22</v>
      </c>
      <c r="BD577" s="19">
        <v>1.3779999999999999</v>
      </c>
      <c r="BE577" s="19">
        <v>71.226399999999998</v>
      </c>
      <c r="BH577" s="20"/>
      <c r="BI577" s="20"/>
      <c r="BJ577" s="19">
        <v>68.867900000000006</v>
      </c>
      <c r="BN577">
        <v>9</v>
      </c>
      <c r="BO577">
        <v>9.1660000000000004</v>
      </c>
      <c r="BQ577" s="19"/>
      <c r="BS577" s="20">
        <v>5.84</v>
      </c>
      <c r="BT577" s="20">
        <v>5.843</v>
      </c>
      <c r="BU577" s="20">
        <v>19.748000000000001</v>
      </c>
      <c r="BV577" s="20">
        <v>19.898</v>
      </c>
      <c r="BW577" s="19">
        <v>76.470600000000005</v>
      </c>
      <c r="BX577">
        <v>26.33</v>
      </c>
      <c r="BY577" s="6">
        <v>5549292</v>
      </c>
      <c r="BZ577" s="5">
        <v>14359854</v>
      </c>
      <c r="CA577" s="7">
        <f t="shared" si="40"/>
        <v>2.5876911865513654</v>
      </c>
      <c r="CB577">
        <v>5426740</v>
      </c>
      <c r="CC577" s="8">
        <f t="shared" si="41"/>
        <v>2.6461289835149646</v>
      </c>
      <c r="CD577" s="8">
        <f t="shared" si="42"/>
        <v>1.0225829872077896</v>
      </c>
      <c r="CE577">
        <v>49035</v>
      </c>
      <c r="CF577" s="8">
        <f t="shared" si="43"/>
        <v>113.17002141327623</v>
      </c>
      <c r="CG577" s="8">
        <f t="shared" si="44"/>
        <v>292.8490669929642</v>
      </c>
      <c r="CH577">
        <v>109.24065</v>
      </c>
    </row>
    <row r="578" spans="1:86" ht="15.5" x14ac:dyDescent="0.35">
      <c r="A578" t="s">
        <v>110</v>
      </c>
      <c r="B578">
        <v>2000</v>
      </c>
      <c r="C578" s="2">
        <v>42.564599999999999</v>
      </c>
      <c r="D578">
        <v>19856.2</v>
      </c>
      <c r="E578">
        <v>0.2515</v>
      </c>
      <c r="F578">
        <v>7.5606</v>
      </c>
      <c r="G578">
        <v>19400</v>
      </c>
      <c r="H578">
        <v>9</v>
      </c>
      <c r="I578" s="19">
        <v>62.801000000000002</v>
      </c>
      <c r="J578" s="19">
        <v>65.14</v>
      </c>
      <c r="K578" s="19">
        <v>4.9669999999999996</v>
      </c>
      <c r="L578" s="19">
        <v>77.127700000000004</v>
      </c>
      <c r="M578" s="19">
        <v>-564000000</v>
      </c>
      <c r="N578" s="19">
        <v>27.466100000000001</v>
      </c>
      <c r="O578">
        <v>34.612000000000002</v>
      </c>
      <c r="Q578" s="19">
        <v>10193.539000000001</v>
      </c>
      <c r="R578" s="19">
        <v>16146.1216</v>
      </c>
      <c r="S578" s="19">
        <v>3.1919</v>
      </c>
      <c r="T578" s="19">
        <v>30063.1185</v>
      </c>
      <c r="U578" s="19">
        <v>17887.779699999999</v>
      </c>
      <c r="W578" s="19">
        <v>75.409800000000004</v>
      </c>
      <c r="X578">
        <v>91</v>
      </c>
      <c r="Z578">
        <v>95</v>
      </c>
      <c r="AA578">
        <v>4.5</v>
      </c>
      <c r="AB578">
        <v>15.1</v>
      </c>
      <c r="AC578">
        <v>75.412199999999999</v>
      </c>
      <c r="AD578">
        <v>94.691999999999993</v>
      </c>
      <c r="AE578">
        <v>7</v>
      </c>
      <c r="AF578">
        <v>83.794799999999995</v>
      </c>
      <c r="AG578">
        <v>16.399999999999999</v>
      </c>
      <c r="AH578">
        <v>0.48</v>
      </c>
      <c r="AI578">
        <v>5.4</v>
      </c>
      <c r="AJ578">
        <v>4.9000000000000004</v>
      </c>
      <c r="AK578">
        <v>5.9</v>
      </c>
      <c r="AL578">
        <v>60.178800000000003</v>
      </c>
      <c r="AM578">
        <v>3.2</v>
      </c>
      <c r="AN578">
        <v>3124</v>
      </c>
      <c r="AO578">
        <v>0</v>
      </c>
      <c r="AP578">
        <v>99.5</v>
      </c>
      <c r="AQ578">
        <v>99.111699999999999</v>
      </c>
      <c r="AR578">
        <v>91.105199999999996</v>
      </c>
      <c r="AU578">
        <v>20.762899999999998</v>
      </c>
      <c r="AV578" s="19">
        <v>77.248699999999999</v>
      </c>
      <c r="AY578">
        <v>6</v>
      </c>
      <c r="AZ578">
        <v>4</v>
      </c>
      <c r="BA578">
        <v>39.754899999999999</v>
      </c>
      <c r="BC578">
        <v>5.5713999999999997</v>
      </c>
      <c r="BD578" s="19">
        <v>3.4980000000000002</v>
      </c>
      <c r="BE578" s="19">
        <v>70.108699999999999</v>
      </c>
      <c r="BF578">
        <v>28.660599999999999</v>
      </c>
      <c r="BG578">
        <v>18</v>
      </c>
      <c r="BH578" s="20">
        <v>1.3597999999999999</v>
      </c>
      <c r="BI578" s="20">
        <v>2183.7260999999999</v>
      </c>
      <c r="BJ578" s="19">
        <v>81.591999999999999</v>
      </c>
      <c r="BK578">
        <v>1.0227999999999999</v>
      </c>
      <c r="BL578">
        <v>1.0302</v>
      </c>
      <c r="BM578">
        <v>1.0330999999999999</v>
      </c>
      <c r="BN578">
        <v>8</v>
      </c>
      <c r="BO578">
        <v>9.8330000000000002</v>
      </c>
      <c r="BP578">
        <v>31.93</v>
      </c>
      <c r="BQ578" s="19">
        <v>102.4346</v>
      </c>
      <c r="BR578">
        <v>78.815399999999997</v>
      </c>
      <c r="BS578" s="20">
        <v>6.92</v>
      </c>
      <c r="BT578" s="20">
        <v>6.92</v>
      </c>
      <c r="BU578" s="20">
        <v>16.376999999999999</v>
      </c>
      <c r="BV578" s="20">
        <v>16.364999999999998</v>
      </c>
      <c r="BW578" s="19">
        <v>83.084599999999995</v>
      </c>
      <c r="BX578">
        <v>25.08</v>
      </c>
      <c r="BY578" s="5">
        <v>1884327</v>
      </c>
      <c r="BZ578" s="6">
        <v>6508940</v>
      </c>
      <c r="CA578" s="7">
        <f t="shared" si="40"/>
        <v>3.4542518363320167</v>
      </c>
      <c r="CB578">
        <v>1988925</v>
      </c>
      <c r="CC578" s="8">
        <f t="shared" si="41"/>
        <v>3.2725919780786104</v>
      </c>
      <c r="CD578" s="8">
        <f t="shared" si="42"/>
        <v>0.94740978166597534</v>
      </c>
      <c r="CE578">
        <v>20273</v>
      </c>
      <c r="CF578" s="8">
        <f t="shared" si="43"/>
        <v>92.947615054505988</v>
      </c>
      <c r="CG578" s="8">
        <f t="shared" si="44"/>
        <v>321.06446998470875</v>
      </c>
      <c r="CH578">
        <v>96.054739999999995</v>
      </c>
    </row>
    <row r="579" spans="1:86" ht="15.5" x14ac:dyDescent="0.35">
      <c r="A579" t="s">
        <v>110</v>
      </c>
      <c r="B579">
        <v>2001</v>
      </c>
      <c r="C579" s="2">
        <v>42.424500000000002</v>
      </c>
      <c r="D579">
        <v>20510.07</v>
      </c>
      <c r="E579">
        <v>0.27479999999999999</v>
      </c>
      <c r="F579">
        <v>8.4816000000000003</v>
      </c>
      <c r="G579">
        <v>20300</v>
      </c>
      <c r="H579">
        <v>9</v>
      </c>
      <c r="I579" s="19">
        <v>68.063000000000002</v>
      </c>
      <c r="J579" s="19">
        <v>69.73</v>
      </c>
      <c r="K579" s="19">
        <v>3.9790000000000001</v>
      </c>
      <c r="L579" s="19"/>
      <c r="M579" s="19">
        <v>8000000</v>
      </c>
      <c r="N579" s="19">
        <v>29.021999999999998</v>
      </c>
      <c r="O579">
        <v>36.432000000000002</v>
      </c>
      <c r="P579">
        <v>0.27639999999999998</v>
      </c>
      <c r="Q579" s="19">
        <v>10397.982</v>
      </c>
      <c r="R579" s="19">
        <v>16576.716100000001</v>
      </c>
      <c r="S579" s="19">
        <v>2.6669</v>
      </c>
      <c r="T579" s="19">
        <v>30864.859799999998</v>
      </c>
      <c r="U579" s="19">
        <v>18765.448100000001</v>
      </c>
      <c r="W579" s="19"/>
      <c r="X579">
        <v>92</v>
      </c>
      <c r="Z579">
        <v>94</v>
      </c>
      <c r="AA579">
        <v>4.3</v>
      </c>
      <c r="AB579">
        <v>30.2</v>
      </c>
      <c r="AC579">
        <v>75.758499999999998</v>
      </c>
      <c r="AD579">
        <v>102.6592</v>
      </c>
      <c r="AE579">
        <v>6</v>
      </c>
      <c r="AF579">
        <v>84.174899999999994</v>
      </c>
      <c r="AG579">
        <v>15</v>
      </c>
      <c r="AH579">
        <v>0.88</v>
      </c>
      <c r="AI579">
        <v>5.2</v>
      </c>
      <c r="AJ579">
        <v>4.7</v>
      </c>
      <c r="AK579">
        <v>5.6</v>
      </c>
      <c r="AL579">
        <v>60.627099999999999</v>
      </c>
      <c r="AM579">
        <v>3.1</v>
      </c>
      <c r="AN579">
        <v>4527</v>
      </c>
      <c r="AO579">
        <v>0</v>
      </c>
      <c r="AP579">
        <v>99.5</v>
      </c>
      <c r="AQ579">
        <v>99.111699999999999</v>
      </c>
      <c r="AR579">
        <v>91.105199999999996</v>
      </c>
      <c r="AU579">
        <v>20.934200000000001</v>
      </c>
      <c r="AV579" s="19"/>
      <c r="AY579">
        <v>6</v>
      </c>
      <c r="AZ579">
        <v>4</v>
      </c>
      <c r="BA579">
        <v>41.923299999999998</v>
      </c>
      <c r="BB579">
        <v>12.222200000000001</v>
      </c>
      <c r="BC579">
        <v>5.5574000000000003</v>
      </c>
      <c r="BD579" s="19">
        <v>2.8290000000000002</v>
      </c>
      <c r="BE579" s="19"/>
      <c r="BF579">
        <v>26.736799999999999</v>
      </c>
      <c r="BG579">
        <v>18.7</v>
      </c>
      <c r="BH579" s="20">
        <v>1.4677</v>
      </c>
      <c r="BI579" s="20">
        <v>2262.5356000000002</v>
      </c>
      <c r="BJ579" s="19"/>
      <c r="BK579">
        <v>0.99380000000000002</v>
      </c>
      <c r="BL579">
        <v>1.0118</v>
      </c>
      <c r="BM579">
        <v>1.0186999999999999</v>
      </c>
      <c r="BN579">
        <v>8</v>
      </c>
      <c r="BO579">
        <v>9.8330000000000002</v>
      </c>
      <c r="BP579">
        <v>30.65</v>
      </c>
      <c r="BQ579" s="19">
        <v>104.07559999999999</v>
      </c>
      <c r="BR579">
        <v>80.912199999999999</v>
      </c>
      <c r="BS579" s="20">
        <v>5.6820000000000004</v>
      </c>
      <c r="BT579" s="20">
        <v>5.6820000000000004</v>
      </c>
      <c r="BU579" s="20">
        <v>15.73</v>
      </c>
      <c r="BV579" s="20">
        <v>15.725</v>
      </c>
      <c r="BW579" s="19"/>
      <c r="BX579">
        <v>20.56</v>
      </c>
      <c r="BY579" s="5">
        <v>2020158</v>
      </c>
      <c r="BZ579" s="6">
        <v>6858092</v>
      </c>
      <c r="CA579" s="7">
        <f t="shared" ref="CA579:CA642" si="45">BZ579/BY579</f>
        <v>3.3948295133350954</v>
      </c>
      <c r="CB579">
        <v>1992060</v>
      </c>
      <c r="CC579" s="8">
        <f t="shared" ref="CC579:CC642" si="46">BZ579/CB579</f>
        <v>3.442713572884351</v>
      </c>
      <c r="CD579" s="8">
        <f t="shared" ref="CD579:CD642" si="47">BY579/CB579</f>
        <v>1.0141049968374447</v>
      </c>
      <c r="CE579">
        <v>20273</v>
      </c>
      <c r="CF579" s="8">
        <f t="shared" ref="CF579:CF642" si="48">BY579/CE579</f>
        <v>99.647708775218277</v>
      </c>
      <c r="CG579" s="8">
        <f t="shared" ref="CG579:CG642" si="49">BZ579/CE579</f>
        <v>338.28698268633156</v>
      </c>
      <c r="CH579">
        <v>96.056219999999996</v>
      </c>
    </row>
    <row r="580" spans="1:86" ht="15.5" x14ac:dyDescent="0.35">
      <c r="A580" t="s">
        <v>110</v>
      </c>
      <c r="B580">
        <v>2002</v>
      </c>
      <c r="C580" s="2">
        <v>42.255699999999997</v>
      </c>
      <c r="D580">
        <v>20804.91</v>
      </c>
      <c r="E580">
        <v>0.27089999999999997</v>
      </c>
      <c r="F580">
        <v>8.6265000000000001</v>
      </c>
      <c r="G580">
        <v>20500</v>
      </c>
      <c r="H580">
        <v>9</v>
      </c>
      <c r="I580" s="19">
        <v>73.155000000000001</v>
      </c>
      <c r="J580" s="19">
        <v>74.790000000000006</v>
      </c>
      <c r="K580" s="19">
        <v>4.1139999999999999</v>
      </c>
      <c r="L580" s="19">
        <v>76.7196</v>
      </c>
      <c r="M580" s="19">
        <v>206000000</v>
      </c>
      <c r="N580" s="19">
        <v>32.464300000000001</v>
      </c>
      <c r="O580">
        <v>35.765999999999998</v>
      </c>
      <c r="P580">
        <v>2.8488000000000002</v>
      </c>
      <c r="Q580" s="19">
        <v>11666.411</v>
      </c>
      <c r="R580" s="19">
        <v>17099.6584</v>
      </c>
      <c r="S580" s="19">
        <v>3.1547000000000001</v>
      </c>
      <c r="T580" s="19">
        <v>31838.547299999998</v>
      </c>
      <c r="U580" s="19">
        <v>20004.2991</v>
      </c>
      <c r="W580" s="19">
        <v>75.675700000000006</v>
      </c>
      <c r="X580">
        <v>93</v>
      </c>
      <c r="Z580">
        <v>93</v>
      </c>
      <c r="AA580">
        <v>4.0999999999999996</v>
      </c>
      <c r="AB580">
        <v>27.8</v>
      </c>
      <c r="AC580">
        <v>76.007300000000001</v>
      </c>
      <c r="AD580">
        <v>100.41459999999999</v>
      </c>
      <c r="AE580">
        <v>6</v>
      </c>
      <c r="AF580">
        <v>84.235399999999998</v>
      </c>
      <c r="AG580">
        <v>14.1</v>
      </c>
      <c r="AH580">
        <v>0.36</v>
      </c>
      <c r="AI580">
        <v>4.9000000000000004</v>
      </c>
      <c r="AJ580">
        <v>4.5</v>
      </c>
      <c r="AK580">
        <v>5.3</v>
      </c>
      <c r="AL580">
        <v>60.895299999999999</v>
      </c>
      <c r="AM580">
        <v>2.9</v>
      </c>
      <c r="AN580">
        <v>1975</v>
      </c>
      <c r="AO580">
        <v>0</v>
      </c>
      <c r="AP580">
        <v>99.5</v>
      </c>
      <c r="AQ580">
        <v>99.111699999999999</v>
      </c>
      <c r="AR580">
        <v>91.105199999999996</v>
      </c>
      <c r="AU580">
        <v>21.2682</v>
      </c>
      <c r="AV580" s="19">
        <v>93.650800000000004</v>
      </c>
      <c r="AY580">
        <v>6</v>
      </c>
      <c r="AZ580">
        <v>4</v>
      </c>
      <c r="BA580">
        <v>44.150500000000001</v>
      </c>
      <c r="BB580">
        <v>12.222200000000001</v>
      </c>
      <c r="BC580">
        <v>5.8097000000000003</v>
      </c>
      <c r="BD580" s="19">
        <v>3.2829999999999999</v>
      </c>
      <c r="BE580" s="19">
        <v>72.972999999999999</v>
      </c>
      <c r="BF580">
        <v>23.390599999999999</v>
      </c>
      <c r="BG580">
        <v>16.3</v>
      </c>
      <c r="BH580" s="20">
        <v>1.4432</v>
      </c>
      <c r="BI580" s="20">
        <v>2331.1134999999999</v>
      </c>
      <c r="BJ580" s="19">
        <v>79.602000000000004</v>
      </c>
      <c r="BK580">
        <v>0.99109999999999998</v>
      </c>
      <c r="BL580">
        <v>0.99880000000000002</v>
      </c>
      <c r="BM580">
        <v>1.0017</v>
      </c>
      <c r="BN580">
        <v>8</v>
      </c>
      <c r="BO580">
        <v>8.0649999999999995</v>
      </c>
      <c r="BP580">
        <v>29.1</v>
      </c>
      <c r="BQ580" s="19">
        <v>105.8712</v>
      </c>
      <c r="BR580">
        <v>81.253600000000006</v>
      </c>
      <c r="BS580" s="20">
        <v>5.9219999999999997</v>
      </c>
      <c r="BT580" s="20">
        <v>5.9219999999999997</v>
      </c>
      <c r="BU580" s="20">
        <v>14.904</v>
      </c>
      <c r="BV580" s="20">
        <v>14.846</v>
      </c>
      <c r="BW580" s="19">
        <v>85.074600000000004</v>
      </c>
      <c r="BX580">
        <v>20.12</v>
      </c>
      <c r="BY580" s="5">
        <v>2089519</v>
      </c>
      <c r="BZ580" s="6">
        <v>7027990</v>
      </c>
      <c r="CA580" s="7">
        <f t="shared" si="45"/>
        <v>3.3634487171449505</v>
      </c>
      <c r="CB580">
        <v>1994530</v>
      </c>
      <c r="CC580" s="8">
        <f t="shared" si="46"/>
        <v>3.5236321338861787</v>
      </c>
      <c r="CD580" s="8">
        <f t="shared" si="47"/>
        <v>1.0476247537013732</v>
      </c>
      <c r="CE580">
        <v>20273</v>
      </c>
      <c r="CF580" s="8">
        <f t="shared" si="48"/>
        <v>103.06905736694125</v>
      </c>
      <c r="CG580" s="8">
        <f t="shared" si="49"/>
        <v>346.66748877817787</v>
      </c>
      <c r="CH580">
        <v>97.313559999999995</v>
      </c>
    </row>
    <row r="581" spans="1:86" ht="15.5" x14ac:dyDescent="0.35">
      <c r="A581" t="s">
        <v>110</v>
      </c>
      <c r="B581">
        <v>2003</v>
      </c>
      <c r="C581" s="2">
        <v>42.016199999999998</v>
      </c>
      <c r="D581">
        <v>21543.59</v>
      </c>
      <c r="E581">
        <v>0.26019999999999999</v>
      </c>
      <c r="F581">
        <v>8.5451999999999995</v>
      </c>
      <c r="G581">
        <v>20200</v>
      </c>
      <c r="H581">
        <v>9</v>
      </c>
      <c r="I581" s="19">
        <v>77.210999999999999</v>
      </c>
      <c r="J581" s="19">
        <v>78.239999999999995</v>
      </c>
      <c r="K581" s="19">
        <v>3.5779999999999998</v>
      </c>
      <c r="L581" s="19">
        <v>79.894199999999998</v>
      </c>
      <c r="M581" s="19">
        <v>-240000000</v>
      </c>
      <c r="N581" s="19">
        <v>39.980499999999999</v>
      </c>
      <c r="O581">
        <v>41.915999999999997</v>
      </c>
      <c r="P581">
        <v>2.9104999999999999</v>
      </c>
      <c r="Q581" s="19">
        <v>14736.002</v>
      </c>
      <c r="R581" s="19">
        <v>17635.361000000001</v>
      </c>
      <c r="S581" s="19">
        <v>3.1328</v>
      </c>
      <c r="T581" s="19">
        <v>32835.993699999999</v>
      </c>
      <c r="U581" s="19">
        <v>20918.243299999998</v>
      </c>
      <c r="W581" s="19">
        <v>80.540499999999994</v>
      </c>
      <c r="X581">
        <v>95</v>
      </c>
      <c r="Z581">
        <v>94</v>
      </c>
      <c r="AA581">
        <v>3.9</v>
      </c>
      <c r="AB581">
        <v>31.9</v>
      </c>
      <c r="AC581">
        <v>76.858500000000006</v>
      </c>
      <c r="AD581">
        <v>94.562600000000003</v>
      </c>
      <c r="AE581">
        <v>6</v>
      </c>
      <c r="AF581">
        <v>84.643199999999993</v>
      </c>
      <c r="AG581">
        <v>13</v>
      </c>
      <c r="AH581">
        <v>0.59</v>
      </c>
      <c r="AI581">
        <v>4.7</v>
      </c>
      <c r="AJ581">
        <v>4.2</v>
      </c>
      <c r="AK581">
        <v>5.0999999999999996</v>
      </c>
      <c r="AL581">
        <v>61.031599999999997</v>
      </c>
      <c r="AM581">
        <v>2.8</v>
      </c>
      <c r="AN581">
        <v>3218</v>
      </c>
      <c r="AO581">
        <v>0</v>
      </c>
      <c r="AP581">
        <v>99.5</v>
      </c>
      <c r="AQ581">
        <v>99.111699999999999</v>
      </c>
      <c r="AR581">
        <v>91.105199999999996</v>
      </c>
      <c r="AU581">
        <v>21.649699999999999</v>
      </c>
      <c r="AV581" s="19">
        <v>92.964799999999997</v>
      </c>
      <c r="AY581">
        <v>6</v>
      </c>
      <c r="AZ581">
        <v>4</v>
      </c>
      <c r="BA581">
        <v>46.436900000000001</v>
      </c>
      <c r="BB581">
        <v>12.222200000000001</v>
      </c>
      <c r="BC581">
        <v>5.8285999999999998</v>
      </c>
      <c r="BD581" s="19">
        <v>3.1949999999999998</v>
      </c>
      <c r="BE581" s="19">
        <v>73.513499999999993</v>
      </c>
      <c r="BF581">
        <v>22.281400000000001</v>
      </c>
      <c r="BG581">
        <v>16.899999999999999</v>
      </c>
      <c r="BH581" s="20">
        <v>1.2479</v>
      </c>
      <c r="BI581" s="20">
        <v>1895.2516000000001</v>
      </c>
      <c r="BJ581" s="19">
        <v>79.104500000000002</v>
      </c>
      <c r="BK581">
        <v>0.99270000000000003</v>
      </c>
      <c r="BL581">
        <v>0.99209999999999998</v>
      </c>
      <c r="BM581">
        <v>0.9919</v>
      </c>
      <c r="BN581">
        <v>8</v>
      </c>
      <c r="BO581">
        <v>7.2629999999999999</v>
      </c>
      <c r="BP581">
        <v>29.65</v>
      </c>
      <c r="BQ581" s="19">
        <v>106.2637</v>
      </c>
      <c r="BR581">
        <v>80.175700000000006</v>
      </c>
      <c r="BS581" s="20">
        <v>6.4790000000000001</v>
      </c>
      <c r="BT581" s="20">
        <v>6.4790000000000001</v>
      </c>
      <c r="BU581" s="20">
        <v>15.346</v>
      </c>
      <c r="BV581" s="20">
        <v>15.287000000000001</v>
      </c>
      <c r="BW581" s="19">
        <v>85.572100000000006</v>
      </c>
      <c r="BX581">
        <v>20.62</v>
      </c>
      <c r="BY581" s="5">
        <v>2168735</v>
      </c>
      <c r="BZ581" s="6">
        <v>7198373</v>
      </c>
      <c r="CA581" s="7">
        <f t="shared" si="45"/>
        <v>3.3191574812044808</v>
      </c>
      <c r="CB581">
        <v>1995733</v>
      </c>
      <c r="CC581" s="8">
        <f t="shared" si="46"/>
        <v>3.6068817822824997</v>
      </c>
      <c r="CD581" s="8">
        <f t="shared" si="47"/>
        <v>1.0866859444625108</v>
      </c>
      <c r="CE581">
        <v>20273</v>
      </c>
      <c r="CF581" s="8">
        <f t="shared" si="48"/>
        <v>106.97652049523998</v>
      </c>
      <c r="CG581" s="8">
        <f t="shared" si="49"/>
        <v>355.07191831500023</v>
      </c>
      <c r="CH581">
        <v>98.166380000000004</v>
      </c>
    </row>
    <row r="582" spans="1:86" ht="15.5" x14ac:dyDescent="0.35">
      <c r="A582" t="s">
        <v>110</v>
      </c>
      <c r="B582">
        <v>2004</v>
      </c>
      <c r="C582" s="2">
        <v>41.931399999999996</v>
      </c>
      <c r="D582">
        <v>22385.61</v>
      </c>
      <c r="E582">
        <v>0.254</v>
      </c>
      <c r="F582">
        <v>8.7124000000000006</v>
      </c>
      <c r="G582">
        <v>20500</v>
      </c>
      <c r="H582">
        <v>9</v>
      </c>
      <c r="I582" s="19">
        <v>79.984999999999999</v>
      </c>
      <c r="J582" s="19">
        <v>80.739999999999995</v>
      </c>
      <c r="K582" s="19">
        <v>4.0730000000000004</v>
      </c>
      <c r="L582" s="19">
        <v>83.251199999999997</v>
      </c>
      <c r="M582" s="19">
        <v>-927000000</v>
      </c>
      <c r="N582" s="19">
        <v>51.242199999999997</v>
      </c>
      <c r="O582">
        <v>40.198999999999998</v>
      </c>
      <c r="P582">
        <v>5.7721</v>
      </c>
      <c r="Q582" s="19">
        <v>17125.36</v>
      </c>
      <c r="R582" s="19">
        <v>18425.2598</v>
      </c>
      <c r="S582" s="19">
        <v>4.4790999999999999</v>
      </c>
      <c r="T582" s="19">
        <v>34306.738400000002</v>
      </c>
      <c r="U582" s="19">
        <v>22590.792099999999</v>
      </c>
      <c r="V582">
        <v>24.8</v>
      </c>
      <c r="W582" s="19">
        <v>79.602000000000004</v>
      </c>
      <c r="X582">
        <v>94</v>
      </c>
      <c r="Z582">
        <v>94</v>
      </c>
      <c r="AA582">
        <v>3.7</v>
      </c>
      <c r="AB582">
        <v>40.799999999999997</v>
      </c>
      <c r="AC582">
        <v>77.207300000000004</v>
      </c>
      <c r="AE582">
        <v>6</v>
      </c>
      <c r="AF582">
        <v>84.641599999999997</v>
      </c>
      <c r="AG582">
        <v>14.4</v>
      </c>
      <c r="AH582">
        <v>0.65</v>
      </c>
      <c r="AI582">
        <v>4.4000000000000004</v>
      </c>
      <c r="AJ582">
        <v>4</v>
      </c>
      <c r="AK582">
        <v>4.8</v>
      </c>
      <c r="AL582">
        <v>61.839399999999998</v>
      </c>
      <c r="AM582">
        <v>2.6</v>
      </c>
      <c r="AN582">
        <v>1759</v>
      </c>
      <c r="AO582">
        <v>0</v>
      </c>
      <c r="AP582">
        <v>99.5</v>
      </c>
      <c r="AQ582">
        <v>99.111699999999999</v>
      </c>
      <c r="AR582">
        <v>91.105199999999996</v>
      </c>
      <c r="AU582">
        <v>21.963100000000001</v>
      </c>
      <c r="AV582" s="19">
        <v>83.495099999999994</v>
      </c>
      <c r="AW582">
        <v>0</v>
      </c>
      <c r="AX582">
        <v>12.2</v>
      </c>
      <c r="AY582">
        <v>5</v>
      </c>
      <c r="AZ582">
        <v>5</v>
      </c>
      <c r="BA582">
        <v>48.783200000000001</v>
      </c>
      <c r="BB582">
        <v>12.222200000000001</v>
      </c>
      <c r="BC582">
        <v>5.7156000000000002</v>
      </c>
      <c r="BD582" s="19">
        <v>4.5460000000000003</v>
      </c>
      <c r="BE582" s="19">
        <v>77.114400000000003</v>
      </c>
      <c r="BF582">
        <v>27.6022</v>
      </c>
      <c r="BG582">
        <v>17.8</v>
      </c>
      <c r="BH582" s="20">
        <v>1.3703000000000001</v>
      </c>
      <c r="BI582" s="20">
        <v>2021.9149</v>
      </c>
      <c r="BJ582" s="19">
        <v>79.807699999999997</v>
      </c>
      <c r="BK582">
        <v>0.99660000000000004</v>
      </c>
      <c r="BL582">
        <v>0.99660000000000004</v>
      </c>
      <c r="BM582">
        <v>0.99670000000000003</v>
      </c>
      <c r="BN582">
        <v>8</v>
      </c>
      <c r="BO582">
        <v>6.8860000000000001</v>
      </c>
      <c r="BP582">
        <v>28.57</v>
      </c>
      <c r="BQ582" s="19">
        <v>104.9456</v>
      </c>
      <c r="BR582">
        <v>81.747299999999996</v>
      </c>
      <c r="BS582" s="20">
        <v>6.0119999999999996</v>
      </c>
      <c r="BT582" s="20">
        <v>6.0119999999999996</v>
      </c>
      <c r="BU582" s="20">
        <v>14.1</v>
      </c>
      <c r="BV582" s="20">
        <v>14.045</v>
      </c>
      <c r="BW582" s="19">
        <v>84.615399999999994</v>
      </c>
      <c r="BX582">
        <v>20.82</v>
      </c>
      <c r="BY582" s="5">
        <v>2267272</v>
      </c>
      <c r="BZ582" s="6">
        <v>7301691</v>
      </c>
      <c r="CA582" s="7">
        <f t="shared" si="45"/>
        <v>3.2204742086525129</v>
      </c>
      <c r="CB582">
        <v>1997012</v>
      </c>
      <c r="CC582" s="8">
        <f t="shared" si="46"/>
        <v>3.6563080241881369</v>
      </c>
      <c r="CD582" s="8">
        <f t="shared" si="47"/>
        <v>1.1353321862863117</v>
      </c>
      <c r="CE582">
        <v>20273</v>
      </c>
      <c r="CF582" s="8">
        <f t="shared" si="48"/>
        <v>111.83702461401865</v>
      </c>
      <c r="CG582" s="8">
        <f t="shared" si="49"/>
        <v>360.16825334188331</v>
      </c>
      <c r="CH582">
        <v>97.363870000000006</v>
      </c>
    </row>
    <row r="583" spans="1:86" ht="15.5" x14ac:dyDescent="0.35">
      <c r="A583" t="s">
        <v>110</v>
      </c>
      <c r="B583">
        <v>2005</v>
      </c>
      <c r="C583" s="2">
        <v>42.045099999999998</v>
      </c>
      <c r="D583">
        <v>22621.14</v>
      </c>
      <c r="E583">
        <v>0.24790000000000001</v>
      </c>
      <c r="F583">
        <v>8.8160000000000007</v>
      </c>
      <c r="G583">
        <v>20800</v>
      </c>
      <c r="H583">
        <v>9</v>
      </c>
      <c r="I583" s="19">
        <v>81.945999999999998</v>
      </c>
      <c r="J583" s="19">
        <v>82.57</v>
      </c>
      <c r="K583" s="19">
        <v>3.875</v>
      </c>
      <c r="L583" s="19">
        <v>80</v>
      </c>
      <c r="M583" s="19">
        <v>-653000000</v>
      </c>
      <c r="N583" s="19">
        <v>60.281999999999996</v>
      </c>
      <c r="O583">
        <v>42.021999999999998</v>
      </c>
      <c r="P583">
        <v>9.8476999999999997</v>
      </c>
      <c r="Q583" s="19">
        <v>18022.5</v>
      </c>
      <c r="R583" s="19">
        <v>19102.2772</v>
      </c>
      <c r="S583" s="19">
        <v>3.6743999999999999</v>
      </c>
      <c r="T583" s="19">
        <v>35567.304400000001</v>
      </c>
      <c r="U583" s="19">
        <v>23682.3711</v>
      </c>
      <c r="V583">
        <v>24.6</v>
      </c>
      <c r="W583" s="19">
        <v>76.470600000000005</v>
      </c>
      <c r="X583">
        <v>95</v>
      </c>
      <c r="Z583">
        <v>94</v>
      </c>
      <c r="AA583">
        <v>3.5</v>
      </c>
      <c r="AB583">
        <v>46.8</v>
      </c>
      <c r="AC583">
        <v>77.612200000000001</v>
      </c>
      <c r="AE583">
        <v>6</v>
      </c>
      <c r="AF583">
        <v>87.550600000000003</v>
      </c>
      <c r="AG583">
        <v>13.5</v>
      </c>
      <c r="AH583">
        <v>0.55000000000000004</v>
      </c>
      <c r="AI583">
        <v>4.2</v>
      </c>
      <c r="AJ583">
        <v>3.8</v>
      </c>
      <c r="AK583">
        <v>4.5</v>
      </c>
      <c r="AL583">
        <v>62.199399999999997</v>
      </c>
      <c r="AM583">
        <v>2.4</v>
      </c>
      <c r="AN583">
        <v>6317</v>
      </c>
      <c r="AO583">
        <v>0</v>
      </c>
      <c r="AP583">
        <v>99.5</v>
      </c>
      <c r="AQ583">
        <v>99.111699999999999</v>
      </c>
      <c r="AR583">
        <v>91.105199999999996</v>
      </c>
      <c r="AU583">
        <v>22.0932</v>
      </c>
      <c r="AV583" s="19">
        <v>85.922300000000007</v>
      </c>
      <c r="AW583">
        <v>0.1</v>
      </c>
      <c r="AX583">
        <v>11.6</v>
      </c>
      <c r="AY583">
        <v>5</v>
      </c>
      <c r="AZ583">
        <v>5</v>
      </c>
      <c r="BA583">
        <v>51.189799999999998</v>
      </c>
      <c r="BB583">
        <v>12.222200000000001</v>
      </c>
      <c r="BC583">
        <v>5.7747999999999999</v>
      </c>
      <c r="BD583" s="19">
        <v>3.8540000000000001</v>
      </c>
      <c r="BE583" s="19">
        <v>75.980400000000003</v>
      </c>
      <c r="BF583">
        <v>23.648900000000001</v>
      </c>
      <c r="BG583">
        <v>18.600000000000001</v>
      </c>
      <c r="BH583" s="20">
        <v>1.4177999999999999</v>
      </c>
      <c r="BI583" s="20">
        <v>2634.4956000000002</v>
      </c>
      <c r="BJ583" s="19">
        <v>79.904300000000006</v>
      </c>
      <c r="BK583">
        <v>0.98970000000000002</v>
      </c>
      <c r="BL583">
        <v>0.99319999999999997</v>
      </c>
      <c r="BM583">
        <v>0.99509999999999998</v>
      </c>
      <c r="BN583">
        <v>8</v>
      </c>
      <c r="BO583">
        <v>8.9350000000000005</v>
      </c>
      <c r="BP583">
        <v>26.95</v>
      </c>
      <c r="BQ583" s="19">
        <v>101.7253</v>
      </c>
      <c r="BR583">
        <v>79.667000000000002</v>
      </c>
      <c r="BS583" s="20">
        <v>6.5060000000000002</v>
      </c>
      <c r="BT583" s="20">
        <v>6.5060000000000002</v>
      </c>
      <c r="BU583" s="20">
        <v>15.968</v>
      </c>
      <c r="BV583" s="20">
        <v>15.945</v>
      </c>
      <c r="BW583" s="19">
        <v>83.173100000000005</v>
      </c>
      <c r="BX583">
        <v>21.91</v>
      </c>
      <c r="BY583" s="5">
        <v>2327394</v>
      </c>
      <c r="BZ583" s="6">
        <v>7307667</v>
      </c>
      <c r="CA583" s="7">
        <f t="shared" si="45"/>
        <v>3.1398495484649356</v>
      </c>
      <c r="CB583">
        <v>2000474</v>
      </c>
      <c r="CC583" s="8">
        <f t="shared" si="46"/>
        <v>3.6529677466440456</v>
      </c>
      <c r="CD583" s="8">
        <f t="shared" si="47"/>
        <v>1.1634212691592092</v>
      </c>
      <c r="CE583">
        <v>20273</v>
      </c>
      <c r="CF583" s="8">
        <f t="shared" si="48"/>
        <v>114.80264391062003</v>
      </c>
      <c r="CG583" s="8">
        <f t="shared" si="49"/>
        <v>360.46302964534107</v>
      </c>
      <c r="CH583">
        <v>96.646680000000003</v>
      </c>
    </row>
    <row r="584" spans="1:86" ht="15.5" x14ac:dyDescent="0.35">
      <c r="A584" t="s">
        <v>110</v>
      </c>
      <c r="B584">
        <v>2006</v>
      </c>
      <c r="C584" s="2">
        <v>42.2209</v>
      </c>
      <c r="D584">
        <v>23317.3</v>
      </c>
      <c r="E584">
        <v>0.23810000000000001</v>
      </c>
      <c r="F584">
        <v>8.9415999999999993</v>
      </c>
      <c r="G584">
        <v>21000</v>
      </c>
      <c r="H584">
        <v>9</v>
      </c>
      <c r="I584" s="19">
        <v>83.96</v>
      </c>
      <c r="J584" s="19">
        <v>84.87</v>
      </c>
      <c r="K584" s="19">
        <v>3.7789999999999999</v>
      </c>
      <c r="L584" s="19">
        <v>81.9512</v>
      </c>
      <c r="M584" s="19">
        <v>-725000000</v>
      </c>
      <c r="N584" s="19">
        <v>72.753699999999995</v>
      </c>
      <c r="O584">
        <v>41.972999999999999</v>
      </c>
      <c r="P584">
        <v>13.968999999999999</v>
      </c>
      <c r="Q584" s="19">
        <v>19613.552</v>
      </c>
      <c r="R584" s="19">
        <v>20166.5324</v>
      </c>
      <c r="S584" s="19">
        <v>5.5713999999999997</v>
      </c>
      <c r="T584" s="19">
        <v>37548.884400000003</v>
      </c>
      <c r="U584" s="19">
        <v>25576.5193</v>
      </c>
      <c r="V584">
        <v>24.4</v>
      </c>
      <c r="W584" s="19">
        <v>80</v>
      </c>
      <c r="X584">
        <v>97</v>
      </c>
      <c r="Z584">
        <v>96</v>
      </c>
      <c r="AA584">
        <v>3.3</v>
      </c>
      <c r="AB584">
        <v>54</v>
      </c>
      <c r="AC584">
        <v>78.086600000000004</v>
      </c>
      <c r="AD584">
        <v>95.874600000000001</v>
      </c>
      <c r="AE584">
        <v>6</v>
      </c>
      <c r="AF584">
        <v>87.896699999999996</v>
      </c>
      <c r="AG584">
        <v>13.7</v>
      </c>
      <c r="AH584">
        <v>0.83</v>
      </c>
      <c r="AI584">
        <v>4</v>
      </c>
      <c r="AJ584">
        <v>3.6</v>
      </c>
      <c r="AK584">
        <v>4.3</v>
      </c>
      <c r="AL584">
        <v>62.091799999999999</v>
      </c>
      <c r="AM584">
        <v>2.2999999999999998</v>
      </c>
      <c r="AN584">
        <v>6081</v>
      </c>
      <c r="AO584">
        <v>0</v>
      </c>
      <c r="AP584">
        <v>99.5</v>
      </c>
      <c r="AQ584">
        <v>99.111699999999999</v>
      </c>
      <c r="AR584">
        <v>91.105199999999996</v>
      </c>
      <c r="AU584">
        <v>21.765499999999999</v>
      </c>
      <c r="AV584" s="19">
        <v>86.956500000000005</v>
      </c>
      <c r="AW584">
        <v>0.1</v>
      </c>
      <c r="AX584">
        <v>11.5</v>
      </c>
      <c r="AY584">
        <v>5</v>
      </c>
      <c r="AZ584">
        <v>5</v>
      </c>
      <c r="BA584">
        <v>53.668100000000003</v>
      </c>
      <c r="BB584">
        <v>12.222200000000001</v>
      </c>
      <c r="BC584">
        <v>5.6125999999999996</v>
      </c>
      <c r="BD584" s="19">
        <v>5.9089999999999998</v>
      </c>
      <c r="BE584" s="19">
        <v>73.039199999999994</v>
      </c>
      <c r="BF584">
        <v>24.499199999999998</v>
      </c>
      <c r="BG584">
        <v>17.399999999999999</v>
      </c>
      <c r="BH584" s="20">
        <v>1.5370999999999999</v>
      </c>
      <c r="BI584" s="20">
        <v>2928.6509000000001</v>
      </c>
      <c r="BJ584" s="19">
        <v>77.512</v>
      </c>
      <c r="BK584">
        <v>0.99360000000000004</v>
      </c>
      <c r="BL584">
        <v>0.99619999999999997</v>
      </c>
      <c r="BM584">
        <v>0.99770000000000003</v>
      </c>
      <c r="BN584">
        <v>8</v>
      </c>
      <c r="BO584">
        <v>8.5180000000000007</v>
      </c>
      <c r="BP584">
        <v>28.21</v>
      </c>
      <c r="BQ584" s="19">
        <v>101.6203</v>
      </c>
      <c r="BR584">
        <v>81.994600000000005</v>
      </c>
      <c r="BS584" s="20">
        <v>5.95</v>
      </c>
      <c r="BT584" s="20">
        <v>5.95</v>
      </c>
      <c r="BU584" s="20">
        <v>13.887</v>
      </c>
      <c r="BV584" s="20">
        <v>13.853999999999999</v>
      </c>
      <c r="BW584" s="19">
        <v>85.096199999999996</v>
      </c>
      <c r="BX584">
        <v>22.64</v>
      </c>
      <c r="BY584" s="5">
        <v>2410575</v>
      </c>
      <c r="BZ584" s="6">
        <v>7448076</v>
      </c>
      <c r="CA584" s="7">
        <f t="shared" si="45"/>
        <v>3.0897507856009456</v>
      </c>
      <c r="CB584">
        <v>2006868</v>
      </c>
      <c r="CC584" s="8">
        <f t="shared" si="46"/>
        <v>3.7112934184012101</v>
      </c>
      <c r="CD584" s="8">
        <f t="shared" si="47"/>
        <v>1.201162707263258</v>
      </c>
      <c r="CE584">
        <v>20273</v>
      </c>
      <c r="CF584" s="8">
        <f t="shared" si="48"/>
        <v>118.90568736743452</v>
      </c>
      <c r="CG584" s="8">
        <f t="shared" si="49"/>
        <v>367.38894095595128</v>
      </c>
      <c r="CH584">
        <v>96.734679999999997</v>
      </c>
    </row>
    <row r="585" spans="1:86" ht="15.5" x14ac:dyDescent="0.35">
      <c r="A585" t="s">
        <v>110</v>
      </c>
      <c r="B585">
        <v>2007</v>
      </c>
      <c r="C585" s="2">
        <v>42.465200000000003</v>
      </c>
      <c r="D585">
        <v>24383.47</v>
      </c>
      <c r="E585">
        <v>0.222</v>
      </c>
      <c r="F585">
        <v>8.8805999999999994</v>
      </c>
      <c r="G585">
        <v>21200</v>
      </c>
      <c r="H585">
        <v>9</v>
      </c>
      <c r="I585" s="19">
        <v>87.031000000000006</v>
      </c>
      <c r="J585" s="19">
        <v>89.69</v>
      </c>
      <c r="K585" s="19">
        <v>5.1950000000000003</v>
      </c>
      <c r="L585" s="19">
        <v>80.582499999999996</v>
      </c>
      <c r="M585" s="19">
        <v>-1989000000</v>
      </c>
      <c r="N585" s="19">
        <v>94.275800000000004</v>
      </c>
      <c r="O585">
        <v>37.548999999999999</v>
      </c>
      <c r="P585">
        <v>17.1127</v>
      </c>
      <c r="Q585" s="19">
        <v>23819.362000000001</v>
      </c>
      <c r="R585" s="19">
        <v>21485.781200000001</v>
      </c>
      <c r="S585" s="19">
        <v>6.5418000000000003</v>
      </c>
      <c r="T585" s="19">
        <v>40005.247100000001</v>
      </c>
      <c r="U585" s="19">
        <v>27469.041300000001</v>
      </c>
      <c r="V585">
        <v>24.4</v>
      </c>
      <c r="W585" s="19">
        <v>78.155299999999997</v>
      </c>
      <c r="X585">
        <v>97</v>
      </c>
      <c r="Z585">
        <v>96</v>
      </c>
      <c r="AA585">
        <v>3.1</v>
      </c>
      <c r="AB585">
        <v>56.7</v>
      </c>
      <c r="AC585">
        <v>78.561000000000007</v>
      </c>
      <c r="AE585">
        <v>6</v>
      </c>
      <c r="AF585">
        <v>87.933899999999994</v>
      </c>
      <c r="AG585">
        <v>15.6</v>
      </c>
      <c r="AH585">
        <v>0.32</v>
      </c>
      <c r="AI585">
        <v>3.8</v>
      </c>
      <c r="AJ585">
        <v>3.4</v>
      </c>
      <c r="AK585">
        <v>4.0999999999999996</v>
      </c>
      <c r="AL585">
        <v>62.615299999999998</v>
      </c>
      <c r="AM585">
        <v>2.2000000000000002</v>
      </c>
      <c r="AN585">
        <v>14191</v>
      </c>
      <c r="AO585">
        <v>0</v>
      </c>
      <c r="AP585">
        <v>99.5</v>
      </c>
      <c r="AQ585">
        <v>99.058300000000003</v>
      </c>
      <c r="AR585">
        <v>91.105199999999996</v>
      </c>
      <c r="AU585">
        <v>20.983899999999998</v>
      </c>
      <c r="AV585" s="19">
        <v>89.855099999999993</v>
      </c>
      <c r="AW585">
        <v>0</v>
      </c>
      <c r="AX585">
        <v>12.3</v>
      </c>
      <c r="AY585">
        <v>5</v>
      </c>
      <c r="AZ585">
        <v>6</v>
      </c>
      <c r="BA585">
        <v>56.166899999999998</v>
      </c>
      <c r="BB585">
        <v>12.222200000000001</v>
      </c>
      <c r="BC585">
        <v>5.2759</v>
      </c>
      <c r="BD585" s="19">
        <v>7.1390000000000002</v>
      </c>
      <c r="BE585" s="19">
        <v>74.271799999999999</v>
      </c>
      <c r="BF585">
        <v>22.465</v>
      </c>
      <c r="BG585">
        <v>18.399999999999999</v>
      </c>
      <c r="BH585" s="20">
        <v>1.427</v>
      </c>
      <c r="BI585" s="20">
        <v>3115.1388999999999</v>
      </c>
      <c r="BJ585" s="19">
        <v>80.861199999999997</v>
      </c>
      <c r="BK585">
        <v>0.99260000000000004</v>
      </c>
      <c r="BL585">
        <v>0.99380000000000002</v>
      </c>
      <c r="BM585">
        <v>0.99470000000000003</v>
      </c>
      <c r="BN585">
        <v>7</v>
      </c>
      <c r="BO585">
        <v>6.6970000000000001</v>
      </c>
      <c r="BP585">
        <v>23.03</v>
      </c>
      <c r="BQ585" s="19">
        <v>100.6755</v>
      </c>
      <c r="BR585">
        <v>86.350499999999997</v>
      </c>
      <c r="BS585" s="20">
        <v>4.8179999999999996</v>
      </c>
      <c r="BT585" s="20">
        <v>4.8179999999999996</v>
      </c>
      <c r="BU585" s="20">
        <v>10.127000000000001</v>
      </c>
      <c r="BV585" s="20">
        <v>10.098000000000001</v>
      </c>
      <c r="BW585" s="19">
        <v>83.173100000000005</v>
      </c>
      <c r="BX585">
        <v>22.19</v>
      </c>
      <c r="BY585" s="5">
        <v>2604752</v>
      </c>
      <c r="BZ585" s="6">
        <v>7992710</v>
      </c>
      <c r="CA585" s="7">
        <f t="shared" si="45"/>
        <v>3.0685109369337273</v>
      </c>
      <c r="CB585">
        <v>2018122</v>
      </c>
      <c r="CC585" s="8">
        <f t="shared" si="46"/>
        <v>3.9604691886813583</v>
      </c>
      <c r="CD585" s="8">
        <f t="shared" si="47"/>
        <v>1.2906811382067089</v>
      </c>
      <c r="CE585">
        <v>20273</v>
      </c>
      <c r="CF585" s="8">
        <f t="shared" si="48"/>
        <v>128.48379618211413</v>
      </c>
      <c r="CG585" s="8">
        <f t="shared" si="49"/>
        <v>394.25393380358111</v>
      </c>
      <c r="CH585">
        <v>97.644469999999998</v>
      </c>
    </row>
    <row r="586" spans="1:86" ht="15.5" x14ac:dyDescent="0.35">
      <c r="A586" t="s">
        <v>110</v>
      </c>
      <c r="B586">
        <v>2008</v>
      </c>
      <c r="C586" s="2">
        <v>43.005200000000002</v>
      </c>
      <c r="D586">
        <v>25028.01</v>
      </c>
      <c r="E586">
        <v>0.2263</v>
      </c>
      <c r="F586">
        <v>9.3445</v>
      </c>
      <c r="G586">
        <v>21900</v>
      </c>
      <c r="H586">
        <v>9</v>
      </c>
      <c r="I586" s="19">
        <v>91.945999999999998</v>
      </c>
      <c r="J586" s="19">
        <v>91.55</v>
      </c>
      <c r="K586" s="19">
        <v>4.5810000000000004</v>
      </c>
      <c r="L586" s="19">
        <v>79.611599999999996</v>
      </c>
      <c r="M586" s="19">
        <v>-2967000000</v>
      </c>
      <c r="N586" s="19">
        <v>106.8854</v>
      </c>
      <c r="O586">
        <v>43.290999999999997</v>
      </c>
      <c r="P586">
        <v>21.001300000000001</v>
      </c>
      <c r="Q586" s="19">
        <v>27609.896000000001</v>
      </c>
      <c r="R586" s="19">
        <v>22175.237000000001</v>
      </c>
      <c r="S586" s="19">
        <v>3.2088999999999999</v>
      </c>
      <c r="T586" s="19">
        <v>41288.972900000001</v>
      </c>
      <c r="U586" s="19">
        <v>29460.9414</v>
      </c>
      <c r="V586">
        <v>23.7</v>
      </c>
      <c r="W586" s="19">
        <v>83.009699999999995</v>
      </c>
      <c r="X586">
        <v>97</v>
      </c>
      <c r="Z586">
        <v>96</v>
      </c>
      <c r="AA586">
        <v>2.9</v>
      </c>
      <c r="AB586">
        <v>58</v>
      </c>
      <c r="AC586">
        <v>78.765900000000002</v>
      </c>
      <c r="AE586">
        <v>7</v>
      </c>
      <c r="AF586">
        <v>88.108099999999993</v>
      </c>
      <c r="AG586">
        <v>11.1</v>
      </c>
      <c r="AH586">
        <v>0.46</v>
      </c>
      <c r="AI586">
        <v>3.6</v>
      </c>
      <c r="AJ586">
        <v>3.3</v>
      </c>
      <c r="AK586">
        <v>3.8</v>
      </c>
      <c r="AL586">
        <v>62.237000000000002</v>
      </c>
      <c r="AM586">
        <v>2</v>
      </c>
      <c r="AN586">
        <v>2971</v>
      </c>
      <c r="AO586">
        <v>0</v>
      </c>
      <c r="AP586">
        <v>99.5</v>
      </c>
      <c r="AQ586">
        <v>99.004900000000006</v>
      </c>
      <c r="AR586">
        <v>91.105199999999996</v>
      </c>
      <c r="AU586">
        <v>20.051100000000002</v>
      </c>
      <c r="AV586" s="19">
        <v>91.346199999999996</v>
      </c>
      <c r="AW586">
        <v>0</v>
      </c>
      <c r="AX586">
        <v>11.3</v>
      </c>
      <c r="AY586">
        <v>5</v>
      </c>
      <c r="AZ586">
        <v>6</v>
      </c>
      <c r="BA586">
        <v>58.7301</v>
      </c>
      <c r="BB586">
        <v>13.333299999999999</v>
      </c>
      <c r="BC586">
        <v>5.6680000000000001</v>
      </c>
      <c r="BD586" s="19">
        <v>3.3719999999999999</v>
      </c>
      <c r="BE586" s="19">
        <v>75.242699999999999</v>
      </c>
      <c r="BF586">
        <v>26.267499999999998</v>
      </c>
      <c r="BG586">
        <v>17.600000000000001</v>
      </c>
      <c r="BH586" s="20">
        <v>1.6267</v>
      </c>
      <c r="BI586" s="20">
        <v>3477.7721999999999</v>
      </c>
      <c r="BJ586" s="19">
        <v>83.173100000000005</v>
      </c>
      <c r="BK586">
        <v>0.99619999999999997</v>
      </c>
      <c r="BL586">
        <v>0.99619999999999997</v>
      </c>
      <c r="BM586">
        <v>0.99619999999999997</v>
      </c>
      <c r="BN586">
        <v>7</v>
      </c>
      <c r="BO586">
        <v>6.4980000000000002</v>
      </c>
      <c r="BP586">
        <v>20.47</v>
      </c>
      <c r="BQ586" s="19">
        <v>98.968100000000007</v>
      </c>
      <c r="BR586">
        <v>86.653400000000005</v>
      </c>
      <c r="BS586" s="20">
        <v>4.3710000000000004</v>
      </c>
      <c r="BT586" s="20">
        <v>4.3710000000000004</v>
      </c>
      <c r="BU586" s="20">
        <v>10.506</v>
      </c>
      <c r="BV586" s="20">
        <v>10.436999999999999</v>
      </c>
      <c r="BW586" s="19">
        <v>80.769199999999998</v>
      </c>
      <c r="BX586">
        <v>23.56</v>
      </c>
      <c r="BY586" s="5">
        <v>2941948</v>
      </c>
      <c r="BZ586" s="6">
        <v>8870148</v>
      </c>
      <c r="CA586" s="7">
        <f t="shared" si="45"/>
        <v>3.0150594096156698</v>
      </c>
      <c r="CB586">
        <v>2021316</v>
      </c>
      <c r="CC586" s="8">
        <f t="shared" si="46"/>
        <v>4.3883034617051466</v>
      </c>
      <c r="CD586" s="8">
        <f t="shared" si="47"/>
        <v>1.4554616893152779</v>
      </c>
      <c r="CE586">
        <v>20273</v>
      </c>
      <c r="CF586" s="8">
        <f t="shared" si="48"/>
        <v>145.11655897005869</v>
      </c>
      <c r="CG586" s="8">
        <f t="shared" si="49"/>
        <v>437.53504661372267</v>
      </c>
      <c r="CH586">
        <v>98.833870000000005</v>
      </c>
    </row>
    <row r="587" spans="1:86" ht="15.5" x14ac:dyDescent="0.35">
      <c r="A587" t="s">
        <v>110</v>
      </c>
      <c r="B587">
        <v>2009</v>
      </c>
      <c r="C587" s="2">
        <v>43.571399999999997</v>
      </c>
      <c r="D587">
        <v>22006.880000000001</v>
      </c>
      <c r="E587">
        <v>0.219</v>
      </c>
      <c r="F587">
        <v>8.2809000000000008</v>
      </c>
      <c r="G587">
        <v>20000</v>
      </c>
      <c r="H587">
        <v>9</v>
      </c>
      <c r="I587" s="19">
        <v>92.718000000000004</v>
      </c>
      <c r="J587" s="19">
        <v>93.17</v>
      </c>
      <c r="K587" s="19">
        <v>3.16</v>
      </c>
      <c r="L587" s="19">
        <v>80.861199999999997</v>
      </c>
      <c r="M587" s="19">
        <v>-515000000</v>
      </c>
      <c r="N587" s="19">
        <v>81.984200000000001</v>
      </c>
      <c r="O587">
        <v>44.692999999999998</v>
      </c>
      <c r="P587">
        <v>22.058800000000002</v>
      </c>
      <c r="Q587" s="19">
        <v>24563.148000000001</v>
      </c>
      <c r="R587" s="19">
        <v>20307.618600000002</v>
      </c>
      <c r="S587" s="19">
        <v>-8.4221000000000004</v>
      </c>
      <c r="T587" s="19">
        <v>37811.578399999999</v>
      </c>
      <c r="U587" s="19">
        <v>27214.4653</v>
      </c>
      <c r="V587">
        <v>24.8</v>
      </c>
      <c r="W587" s="19">
        <v>82.775099999999995</v>
      </c>
      <c r="X587">
        <v>96</v>
      </c>
      <c r="Z587">
        <v>95</v>
      </c>
      <c r="AA587">
        <v>2.8</v>
      </c>
      <c r="AB587">
        <v>64</v>
      </c>
      <c r="AC587">
        <v>78.970699999999994</v>
      </c>
      <c r="AD587">
        <v>98.910600000000002</v>
      </c>
      <c r="AE587">
        <v>7</v>
      </c>
      <c r="AF587">
        <v>88.164000000000001</v>
      </c>
      <c r="AG587">
        <v>8.9</v>
      </c>
      <c r="AH587">
        <v>0.4</v>
      </c>
      <c r="AI587">
        <v>3.4</v>
      </c>
      <c r="AJ587">
        <v>3.1</v>
      </c>
      <c r="AK587">
        <v>3.6</v>
      </c>
      <c r="AL587">
        <v>63.4681</v>
      </c>
      <c r="AM587">
        <v>1.9</v>
      </c>
      <c r="AN587">
        <v>11594</v>
      </c>
      <c r="AO587">
        <v>0</v>
      </c>
      <c r="AP587">
        <v>99.5</v>
      </c>
      <c r="AQ587">
        <v>98.951599999999999</v>
      </c>
      <c r="AR587">
        <v>91.105199999999996</v>
      </c>
      <c r="AU587">
        <v>19.269500000000001</v>
      </c>
      <c r="AV587" s="19">
        <v>81.042699999999996</v>
      </c>
      <c r="AW587">
        <v>0</v>
      </c>
      <c r="AX587">
        <v>12.7</v>
      </c>
      <c r="AY587">
        <v>5</v>
      </c>
      <c r="AZ587">
        <v>6</v>
      </c>
      <c r="BA587">
        <v>61.476999999999997</v>
      </c>
      <c r="BB587">
        <v>14.4444</v>
      </c>
      <c r="BC587">
        <v>6.1506999999999996</v>
      </c>
      <c r="BD587" s="19">
        <v>-7.59</v>
      </c>
      <c r="BE587" s="19">
        <v>77.033500000000004</v>
      </c>
      <c r="BF587">
        <v>29.912600000000001</v>
      </c>
      <c r="BG587">
        <v>19.600000000000001</v>
      </c>
      <c r="BH587" s="20">
        <v>1.8118000000000001</v>
      </c>
      <c r="BI587" s="20">
        <v>3671.259</v>
      </c>
      <c r="BJ587" s="19">
        <v>83.886300000000006</v>
      </c>
      <c r="BK587">
        <v>0.998</v>
      </c>
      <c r="BL587">
        <v>0.99909999999999999</v>
      </c>
      <c r="BM587">
        <v>0.99990000000000001</v>
      </c>
      <c r="BN587">
        <v>7</v>
      </c>
      <c r="BO587">
        <v>7.4569999999999999</v>
      </c>
      <c r="BP587">
        <v>22.23</v>
      </c>
      <c r="BQ587" s="19">
        <v>102.9284</v>
      </c>
      <c r="BR587">
        <v>82.284499999999994</v>
      </c>
      <c r="BS587" s="20">
        <v>5.8579999999999997</v>
      </c>
      <c r="BT587" s="20">
        <v>5.8579999999999997</v>
      </c>
      <c r="BU587" s="20">
        <v>13.661</v>
      </c>
      <c r="BV587" s="20">
        <v>13.601000000000001</v>
      </c>
      <c r="BW587" s="19">
        <v>81.990499999999997</v>
      </c>
      <c r="BX587">
        <v>21.52</v>
      </c>
      <c r="BY587" s="5">
        <v>2835169</v>
      </c>
      <c r="BZ587" s="6">
        <v>8556122</v>
      </c>
      <c r="CA587" s="7">
        <f t="shared" si="45"/>
        <v>3.0178525512941206</v>
      </c>
      <c r="CB587">
        <v>2039669</v>
      </c>
      <c r="CC587" s="8">
        <f t="shared" si="46"/>
        <v>4.1948580872680816</v>
      </c>
      <c r="CD587" s="8">
        <f t="shared" si="47"/>
        <v>1.39001426211802</v>
      </c>
      <c r="CE587">
        <v>20273</v>
      </c>
      <c r="CF587" s="8">
        <f t="shared" si="48"/>
        <v>139.84950426675874</v>
      </c>
      <c r="CG587" s="8">
        <f t="shared" si="49"/>
        <v>422.04518324865586</v>
      </c>
      <c r="CH587">
        <v>100.71535</v>
      </c>
    </row>
    <row r="588" spans="1:86" ht="15.5" x14ac:dyDescent="0.35">
      <c r="A588" t="s">
        <v>110</v>
      </c>
      <c r="B588">
        <v>2010</v>
      </c>
      <c r="C588" s="2">
        <v>43.8964</v>
      </c>
      <c r="D588">
        <v>22341.98</v>
      </c>
      <c r="E588">
        <v>0.22009999999999999</v>
      </c>
      <c r="F588">
        <v>8.3778000000000006</v>
      </c>
      <c r="G588">
        <v>20000</v>
      </c>
      <c r="H588">
        <v>9</v>
      </c>
      <c r="I588" s="19">
        <v>94.388000000000005</v>
      </c>
      <c r="J588" s="19">
        <v>94.9</v>
      </c>
      <c r="K588" s="19">
        <v>4.1509999999999998</v>
      </c>
      <c r="L588" s="19">
        <v>79.047600000000003</v>
      </c>
      <c r="M588" s="19">
        <v>-333000000</v>
      </c>
      <c r="N588" s="19">
        <v>91.451999999999998</v>
      </c>
      <c r="O588">
        <v>43.253999999999998</v>
      </c>
      <c r="P588">
        <v>23.013000000000002</v>
      </c>
      <c r="Q588" s="19">
        <v>23367.241000000002</v>
      </c>
      <c r="R588" s="19">
        <v>20444.119900000002</v>
      </c>
      <c r="S588" s="19">
        <v>0.67220000000000002</v>
      </c>
      <c r="T588" s="19">
        <v>38065.735800000002</v>
      </c>
      <c r="U588" s="19">
        <v>27582.4977</v>
      </c>
      <c r="V588">
        <v>24.9</v>
      </c>
      <c r="W588" s="19">
        <v>80.861199999999997</v>
      </c>
      <c r="X588">
        <v>96</v>
      </c>
      <c r="Z588">
        <v>95</v>
      </c>
      <c r="AA588">
        <v>2.6</v>
      </c>
      <c r="AB588">
        <v>70</v>
      </c>
      <c r="AC588">
        <v>79.421999999999997</v>
      </c>
      <c r="AD588">
        <v>98.0441</v>
      </c>
      <c r="AE588">
        <v>7</v>
      </c>
      <c r="AF588">
        <v>91.529799999999994</v>
      </c>
      <c r="AG588">
        <v>7.2</v>
      </c>
      <c r="AH588">
        <v>0.45</v>
      </c>
      <c r="AI588">
        <v>3.2</v>
      </c>
      <c r="AJ588">
        <v>2.9</v>
      </c>
      <c r="AK588">
        <v>3.5</v>
      </c>
      <c r="AL588">
        <v>64.657700000000006</v>
      </c>
      <c r="AM588">
        <v>1.9</v>
      </c>
      <c r="AN588">
        <v>-410</v>
      </c>
      <c r="AO588">
        <v>0</v>
      </c>
      <c r="AP588">
        <v>99.5</v>
      </c>
      <c r="AQ588">
        <v>98.898200000000003</v>
      </c>
      <c r="AR588">
        <v>91.785300000000007</v>
      </c>
      <c r="AU588">
        <v>18.941800000000001</v>
      </c>
      <c r="AV588" s="19">
        <v>77.251199999999997</v>
      </c>
      <c r="AW588">
        <v>0</v>
      </c>
      <c r="AX588">
        <v>13.6</v>
      </c>
      <c r="AY588">
        <v>5</v>
      </c>
      <c r="AZ588">
        <v>6</v>
      </c>
      <c r="BA588">
        <v>64.284300000000002</v>
      </c>
      <c r="BB588">
        <v>14.4444</v>
      </c>
      <c r="BC588">
        <v>6.1981000000000002</v>
      </c>
      <c r="BD588" s="19">
        <v>1.1120000000000001</v>
      </c>
      <c r="BE588" s="19">
        <v>75.119600000000005</v>
      </c>
      <c r="BF588">
        <v>30.011099999999999</v>
      </c>
      <c r="BG588">
        <v>20.100000000000001</v>
      </c>
      <c r="BH588" s="20">
        <v>2.0512999999999999</v>
      </c>
      <c r="BI588" s="20">
        <v>3770.3820999999998</v>
      </c>
      <c r="BJ588" s="19">
        <v>81.516599999999997</v>
      </c>
      <c r="BK588">
        <v>0.99950000000000006</v>
      </c>
      <c r="BL588">
        <v>0.99580000000000002</v>
      </c>
      <c r="BM588">
        <v>0.99299999999999999</v>
      </c>
      <c r="BN588">
        <v>7</v>
      </c>
      <c r="BO588">
        <v>7.11</v>
      </c>
      <c r="BP588">
        <v>20.58</v>
      </c>
      <c r="BQ588" s="19">
        <v>99.669300000000007</v>
      </c>
      <c r="BR588">
        <v>79.6815</v>
      </c>
      <c r="BS588" s="20">
        <v>7.2359999999999998</v>
      </c>
      <c r="BT588" s="20">
        <v>7.2359999999999998</v>
      </c>
      <c r="BU588" s="20">
        <v>14.7</v>
      </c>
      <c r="BV588" s="20">
        <v>14.651999999999999</v>
      </c>
      <c r="BW588" s="19">
        <v>81.516599999999997</v>
      </c>
      <c r="BX588">
        <v>20.99</v>
      </c>
      <c r="BY588" s="5">
        <v>2851020</v>
      </c>
      <c r="BZ588" s="6">
        <v>8424741</v>
      </c>
      <c r="CA588" s="7">
        <f t="shared" si="45"/>
        <v>2.9549918976366354</v>
      </c>
      <c r="CB588">
        <v>2048583</v>
      </c>
      <c r="CC588" s="8">
        <f t="shared" si="46"/>
        <v>4.1124723772480785</v>
      </c>
      <c r="CD588" s="8">
        <f t="shared" si="47"/>
        <v>1.3917034359847757</v>
      </c>
      <c r="CE588">
        <v>20273</v>
      </c>
      <c r="CF588" s="8">
        <f t="shared" si="48"/>
        <v>140.63138164060572</v>
      </c>
      <c r="CG588" s="8">
        <f t="shared" si="49"/>
        <v>415.56459330143542</v>
      </c>
      <c r="CH588">
        <v>100.34763</v>
      </c>
    </row>
    <row r="589" spans="1:86" ht="15.5" x14ac:dyDescent="0.35">
      <c r="A589" t="s">
        <v>110</v>
      </c>
      <c r="B589">
        <v>2011</v>
      </c>
      <c r="C589" s="2">
        <v>44.450299999999999</v>
      </c>
      <c r="D589">
        <v>22376.1</v>
      </c>
      <c r="E589">
        <v>0.2049</v>
      </c>
      <c r="F589">
        <v>7.8342000000000001</v>
      </c>
      <c r="G589">
        <v>20000</v>
      </c>
      <c r="H589">
        <v>9</v>
      </c>
      <c r="I589" s="19">
        <v>96.088999999999999</v>
      </c>
      <c r="J589" s="19">
        <v>96.8</v>
      </c>
      <c r="K589" s="19">
        <v>4.6689999999999996</v>
      </c>
      <c r="L589" s="19">
        <v>79.146900000000002</v>
      </c>
      <c r="M589" s="19">
        <v>-395000000</v>
      </c>
      <c r="N589" s="19">
        <v>108.6202</v>
      </c>
      <c r="O589">
        <v>38.915999999999997</v>
      </c>
      <c r="P589">
        <v>24.129799999999999</v>
      </c>
      <c r="Q589" s="19">
        <v>24968.510999999999</v>
      </c>
      <c r="R589" s="19">
        <v>20535.415700000001</v>
      </c>
      <c r="S589" s="19">
        <v>0.4466</v>
      </c>
      <c r="T589" s="19">
        <v>38235.7232</v>
      </c>
      <c r="U589" s="19">
        <v>28715.633999999998</v>
      </c>
      <c r="V589">
        <v>24.9</v>
      </c>
      <c r="W589" s="19">
        <v>79.146900000000002</v>
      </c>
      <c r="X589">
        <v>96</v>
      </c>
      <c r="Z589">
        <v>96</v>
      </c>
      <c r="AA589">
        <v>2.5</v>
      </c>
      <c r="AB589">
        <v>67.3</v>
      </c>
      <c r="AC589">
        <v>79.970699999999994</v>
      </c>
      <c r="AD589">
        <v>95.517200000000003</v>
      </c>
      <c r="AE589">
        <v>6</v>
      </c>
      <c r="AF589">
        <v>91.719200000000001</v>
      </c>
      <c r="AG589">
        <v>7.1</v>
      </c>
      <c r="AH589">
        <v>0.55000000000000004</v>
      </c>
      <c r="AI589">
        <v>3.1</v>
      </c>
      <c r="AJ589">
        <v>2.8</v>
      </c>
      <c r="AK589">
        <v>3.3</v>
      </c>
      <c r="AL589">
        <v>65.190799999999996</v>
      </c>
      <c r="AM589">
        <v>1.8</v>
      </c>
      <c r="AN589">
        <v>2190</v>
      </c>
      <c r="AO589">
        <v>0</v>
      </c>
      <c r="AP589">
        <v>99.5</v>
      </c>
      <c r="AQ589">
        <v>98.844800000000006</v>
      </c>
      <c r="AR589">
        <v>92.465299999999999</v>
      </c>
      <c r="AU589">
        <v>20.697399999999998</v>
      </c>
      <c r="AV589" s="19">
        <v>80.568700000000007</v>
      </c>
      <c r="AW589">
        <v>0</v>
      </c>
      <c r="AX589">
        <v>13.5</v>
      </c>
      <c r="AY589">
        <v>5</v>
      </c>
      <c r="AZ589">
        <v>6</v>
      </c>
      <c r="BA589">
        <v>67.152500000000003</v>
      </c>
      <c r="BB589">
        <v>32.222200000000001</v>
      </c>
      <c r="BC589">
        <v>6.1688999999999998</v>
      </c>
      <c r="BD589" s="19">
        <v>0.65500000000000003</v>
      </c>
      <c r="BE589" s="19">
        <v>74.407600000000002</v>
      </c>
      <c r="BF589">
        <v>25.061800000000002</v>
      </c>
      <c r="BG589">
        <v>19.100000000000001</v>
      </c>
      <c r="BH589" s="20">
        <v>2.4129999999999998</v>
      </c>
      <c r="BI589" s="20">
        <v>4287.9589999999998</v>
      </c>
      <c r="BJ589" s="19">
        <v>82.629099999999994</v>
      </c>
      <c r="BK589">
        <v>1.004</v>
      </c>
      <c r="BL589">
        <v>0.99660000000000004</v>
      </c>
      <c r="BM589">
        <v>0.99080000000000001</v>
      </c>
      <c r="BN589">
        <v>7</v>
      </c>
      <c r="BO589">
        <v>7.0759999999999996</v>
      </c>
      <c r="BP589">
        <v>21.67</v>
      </c>
      <c r="BQ589" s="19">
        <v>98.2363</v>
      </c>
      <c r="BR589">
        <v>77.648600000000002</v>
      </c>
      <c r="BS589" s="20">
        <v>8.1660000000000004</v>
      </c>
      <c r="BT589" s="20">
        <v>8.1660000000000004</v>
      </c>
      <c r="BU589" s="20">
        <v>15.763999999999999</v>
      </c>
      <c r="BV589" s="20">
        <v>15.718999999999999</v>
      </c>
      <c r="BW589" s="19">
        <v>81.690100000000001</v>
      </c>
      <c r="BX589">
        <v>19.96</v>
      </c>
      <c r="BY589" s="5">
        <v>3045139</v>
      </c>
      <c r="BZ589" s="6">
        <v>8860328</v>
      </c>
      <c r="CA589" s="7">
        <f t="shared" si="45"/>
        <v>2.9096629086554011</v>
      </c>
      <c r="CB589">
        <v>2052843</v>
      </c>
      <c r="CC589" s="8">
        <f t="shared" si="46"/>
        <v>4.3161254903565442</v>
      </c>
      <c r="CD589" s="8">
        <f t="shared" si="47"/>
        <v>1.4833764686339872</v>
      </c>
      <c r="CE589">
        <v>20273</v>
      </c>
      <c r="CF589" s="8">
        <f t="shared" si="48"/>
        <v>150.20662950722635</v>
      </c>
      <c r="CG589" s="8">
        <f t="shared" si="49"/>
        <v>437.05065851132048</v>
      </c>
      <c r="CH589">
        <v>99.718119999999999</v>
      </c>
    </row>
    <row r="590" spans="1:86" ht="15.5" x14ac:dyDescent="0.35">
      <c r="A590" s="9" t="s">
        <v>110</v>
      </c>
      <c r="B590" s="9">
        <v>2012</v>
      </c>
      <c r="C590" s="10">
        <v>45.374000000000002</v>
      </c>
      <c r="D590" s="9">
        <v>21377.64</v>
      </c>
      <c r="E590" s="9">
        <v>0.20369999999999999</v>
      </c>
      <c r="F590" s="9">
        <v>7.5439999999999996</v>
      </c>
      <c r="G590" s="9">
        <v>19400</v>
      </c>
      <c r="H590" s="9">
        <v>9</v>
      </c>
      <c r="I590" s="21">
        <v>98.584999999999994</v>
      </c>
      <c r="J590" s="21">
        <v>99.39</v>
      </c>
      <c r="K590" s="21">
        <v>3.8420000000000001</v>
      </c>
      <c r="L590" s="21">
        <v>76.777299999999997</v>
      </c>
      <c r="M590" s="21">
        <v>651000000</v>
      </c>
      <c r="N590" s="21">
        <v>100.7304</v>
      </c>
      <c r="O590" s="9">
        <v>40.26</v>
      </c>
      <c r="P590" s="9">
        <v>24.805499999999999</v>
      </c>
      <c r="Q590" s="21">
        <v>22474.535</v>
      </c>
      <c r="R590" s="21">
        <v>19894.8698</v>
      </c>
      <c r="S590" s="21">
        <v>-3.1192000000000002</v>
      </c>
      <c r="T590" s="21">
        <v>37043.064700000003</v>
      </c>
      <c r="U590" s="21">
        <v>28786.710599999999</v>
      </c>
      <c r="V590" s="9">
        <v>25.6</v>
      </c>
      <c r="W590" s="21">
        <v>80.568700000000007</v>
      </c>
      <c r="X590" s="9">
        <v>96</v>
      </c>
      <c r="Y590" s="9"/>
      <c r="Z590" s="9">
        <v>95</v>
      </c>
      <c r="AA590" s="9">
        <v>2.4</v>
      </c>
      <c r="AB590" s="9">
        <v>68.400000000000006</v>
      </c>
      <c r="AC590" s="9">
        <v>80.124399999999994</v>
      </c>
      <c r="AD590" s="9">
        <v>96.670400000000001</v>
      </c>
      <c r="AE590" s="9">
        <v>6</v>
      </c>
      <c r="AF590" s="9">
        <v>91.881900000000002</v>
      </c>
      <c r="AG590" s="9">
        <v>6.6</v>
      </c>
      <c r="AH590" s="9">
        <v>0.28999999999999998</v>
      </c>
      <c r="AI590" s="9">
        <v>2.9</v>
      </c>
      <c r="AJ590" s="9">
        <v>2.7</v>
      </c>
      <c r="AK590" s="9">
        <v>3.2</v>
      </c>
      <c r="AL590" s="9">
        <v>65.299700000000001</v>
      </c>
      <c r="AM590" s="9">
        <v>1.7</v>
      </c>
      <c r="AN590" s="9">
        <v>1117</v>
      </c>
      <c r="AO590" s="9">
        <v>0</v>
      </c>
      <c r="AP590" s="9">
        <v>99.5</v>
      </c>
      <c r="AQ590" s="9">
        <v>98.791499999999999</v>
      </c>
      <c r="AR590" s="9">
        <v>93.145399999999995</v>
      </c>
      <c r="AS590" s="9"/>
      <c r="AT590" s="9"/>
      <c r="AU590" s="9">
        <v>18.343</v>
      </c>
      <c r="AV590" s="21">
        <v>77.251199999999997</v>
      </c>
      <c r="AW590" s="9">
        <v>0</v>
      </c>
      <c r="AX590" s="9">
        <v>14.5</v>
      </c>
      <c r="AY590" s="9">
        <v>5</v>
      </c>
      <c r="AZ590" s="9">
        <v>6</v>
      </c>
      <c r="BA590" s="9">
        <v>70.082099999999997</v>
      </c>
      <c r="BB590" s="9">
        <v>32.222200000000001</v>
      </c>
      <c r="BC590" s="9">
        <v>6.1748000000000003</v>
      </c>
      <c r="BD590" s="21">
        <v>-2.9159999999999999</v>
      </c>
      <c r="BE590" s="21">
        <v>71.563999999999993</v>
      </c>
      <c r="BF590" s="9">
        <v>28.701000000000001</v>
      </c>
      <c r="BG590" s="9">
        <v>20.2</v>
      </c>
      <c r="BH590" s="22">
        <v>2.5606</v>
      </c>
      <c r="BI590" s="22">
        <v>4330.6733000000004</v>
      </c>
      <c r="BJ590" s="21">
        <v>80.751199999999997</v>
      </c>
      <c r="BK590" s="9">
        <v>1.0061</v>
      </c>
      <c r="BL590" s="9">
        <v>1.0016</v>
      </c>
      <c r="BM590" s="9">
        <v>0.998</v>
      </c>
      <c r="BN590" s="9">
        <v>7</v>
      </c>
      <c r="BO590" s="9">
        <v>9.2769999999999992</v>
      </c>
      <c r="BP590" s="9">
        <v>21.76</v>
      </c>
      <c r="BQ590" s="21">
        <v>97.554299999999998</v>
      </c>
      <c r="BR590" s="9">
        <v>73.034099999999995</v>
      </c>
      <c r="BS590" s="22">
        <v>8.8409999999999993</v>
      </c>
      <c r="BT590" s="22">
        <v>8.8409999999999993</v>
      </c>
      <c r="BU590" s="22">
        <v>20.649000000000001</v>
      </c>
      <c r="BV590" s="22">
        <v>20.582999999999998</v>
      </c>
      <c r="BW590" s="21">
        <v>78.403800000000004</v>
      </c>
      <c r="BX590" s="9">
        <v>19.079999999999998</v>
      </c>
      <c r="BY590" s="14">
        <v>3255882</v>
      </c>
      <c r="BZ590" s="6">
        <v>9406009</v>
      </c>
      <c r="CA590" s="7">
        <f t="shared" si="45"/>
        <v>2.8889280999741391</v>
      </c>
      <c r="CB590">
        <v>2057159</v>
      </c>
      <c r="CC590" s="8">
        <f t="shared" si="46"/>
        <v>4.5723296060246197</v>
      </c>
      <c r="CD590" s="8">
        <f t="shared" si="47"/>
        <v>1.5827079968053028</v>
      </c>
      <c r="CE590">
        <v>20273</v>
      </c>
      <c r="CF590" s="8">
        <f t="shared" si="48"/>
        <v>160.60188427958369</v>
      </c>
      <c r="CG590" s="8">
        <f t="shared" si="49"/>
        <v>463.96729640408427</v>
      </c>
      <c r="CH590" s="9">
        <v>100.08475</v>
      </c>
    </row>
    <row r="591" spans="1:86" ht="15.5" x14ac:dyDescent="0.35">
      <c r="A591" t="s">
        <v>110</v>
      </c>
      <c r="B591">
        <v>2013</v>
      </c>
      <c r="C591" s="2">
        <v>46.4465</v>
      </c>
      <c r="D591">
        <v>20632.169999999998</v>
      </c>
      <c r="E591">
        <v>0.20530000000000001</v>
      </c>
      <c r="F591">
        <v>7.5312000000000001</v>
      </c>
      <c r="G591">
        <v>18700</v>
      </c>
      <c r="H591">
        <v>9</v>
      </c>
      <c r="I591" s="19">
        <v>100.32899999999999</v>
      </c>
      <c r="J591" s="19">
        <v>100.06</v>
      </c>
      <c r="K591" s="19">
        <v>3.1909999999999998</v>
      </c>
      <c r="L591" s="19">
        <v>74.407600000000002</v>
      </c>
      <c r="M591" s="19">
        <v>1688000000</v>
      </c>
      <c r="N591" s="19">
        <v>106.5112</v>
      </c>
      <c r="O591">
        <v>38.545000000000002</v>
      </c>
      <c r="P591">
        <v>25.511099999999999</v>
      </c>
      <c r="Q591" s="19">
        <v>23250.101999999999</v>
      </c>
      <c r="R591" s="19">
        <v>19704.218400000002</v>
      </c>
      <c r="S591" s="19">
        <v>-0.95830000000000004</v>
      </c>
      <c r="T591" s="19">
        <v>36688.083200000001</v>
      </c>
      <c r="U591" s="19">
        <v>29634.0658</v>
      </c>
      <c r="V591">
        <v>26.2</v>
      </c>
      <c r="W591" s="19">
        <v>79.146900000000002</v>
      </c>
      <c r="X591">
        <v>95</v>
      </c>
      <c r="Z591">
        <v>94</v>
      </c>
      <c r="AA591">
        <v>2.2999999999999998</v>
      </c>
      <c r="AB591">
        <v>72.7</v>
      </c>
      <c r="AC591">
        <v>80.322000000000003</v>
      </c>
      <c r="AD591">
        <v>95.565700000000007</v>
      </c>
      <c r="AE591">
        <v>6</v>
      </c>
      <c r="AF591">
        <v>91.745400000000004</v>
      </c>
      <c r="AG591">
        <v>6.3</v>
      </c>
      <c r="AH591">
        <v>0.49</v>
      </c>
      <c r="AI591">
        <v>2.8</v>
      </c>
      <c r="AJ591">
        <v>2.6</v>
      </c>
      <c r="AK591">
        <v>3</v>
      </c>
      <c r="AL591">
        <v>65.304000000000002</v>
      </c>
      <c r="AM591">
        <v>1.7</v>
      </c>
      <c r="AN591">
        <v>639</v>
      </c>
      <c r="AO591">
        <v>0</v>
      </c>
      <c r="AP591">
        <v>99.5</v>
      </c>
      <c r="AQ591">
        <v>98.738100000000003</v>
      </c>
      <c r="AR591">
        <v>93.825400000000002</v>
      </c>
      <c r="AU591">
        <v>18.1632</v>
      </c>
      <c r="AV591" s="19">
        <v>74.407600000000002</v>
      </c>
      <c r="AW591">
        <v>0</v>
      </c>
      <c r="AX591">
        <v>14.5</v>
      </c>
      <c r="AY591">
        <v>5</v>
      </c>
      <c r="AZ591">
        <v>6</v>
      </c>
      <c r="BA591">
        <v>73.073499999999996</v>
      </c>
      <c r="BB591">
        <v>32.222200000000001</v>
      </c>
      <c r="BC591">
        <v>6.1447000000000003</v>
      </c>
      <c r="BD591" s="19">
        <v>-0.82399999999999995</v>
      </c>
      <c r="BE591" s="19">
        <v>70.616100000000003</v>
      </c>
      <c r="BF591">
        <v>33.563400000000001</v>
      </c>
      <c r="BG591">
        <v>22.5</v>
      </c>
      <c r="BH591" s="20">
        <v>2.5649000000000002</v>
      </c>
      <c r="BI591" s="20">
        <v>4236.5106999999998</v>
      </c>
      <c r="BJ591" s="19">
        <v>81.220699999999994</v>
      </c>
      <c r="BK591">
        <v>1.0066999999999999</v>
      </c>
      <c r="BL591">
        <v>1.0058</v>
      </c>
      <c r="BM591">
        <v>1.0052000000000001</v>
      </c>
      <c r="BN591">
        <v>7</v>
      </c>
      <c r="BO591">
        <v>9.2390000000000008</v>
      </c>
      <c r="BP591">
        <v>22.17</v>
      </c>
      <c r="BQ591" s="19">
        <v>98.342100000000002</v>
      </c>
      <c r="BR591">
        <v>70.605599999999995</v>
      </c>
      <c r="BS591" s="20">
        <v>10.103</v>
      </c>
      <c r="BT591" s="20">
        <v>10.103</v>
      </c>
      <c r="BU591" s="20">
        <v>21.664999999999999</v>
      </c>
      <c r="BV591" s="20">
        <v>21.602</v>
      </c>
      <c r="BW591" s="19">
        <v>79.812200000000004</v>
      </c>
      <c r="BX591">
        <v>18.239999999999998</v>
      </c>
      <c r="BY591" s="5">
        <v>3340320</v>
      </c>
      <c r="BZ591" s="6">
        <v>9471571</v>
      </c>
      <c r="CA591" s="7">
        <f t="shared" si="45"/>
        <v>2.8355280332423241</v>
      </c>
      <c r="CB591">
        <v>2059953</v>
      </c>
      <c r="CC591" s="8">
        <f t="shared" si="46"/>
        <v>4.5979549047963717</v>
      </c>
      <c r="CD591" s="8">
        <f t="shared" si="47"/>
        <v>1.6215515596715071</v>
      </c>
      <c r="CE591">
        <v>20273</v>
      </c>
      <c r="CF591" s="8">
        <f t="shared" si="48"/>
        <v>164.76693138657328</v>
      </c>
      <c r="CG591" s="8">
        <f t="shared" si="49"/>
        <v>467.20125289794305</v>
      </c>
      <c r="CH591">
        <v>100.69449</v>
      </c>
    </row>
    <row r="592" spans="1:86" ht="15.5" x14ac:dyDescent="0.35">
      <c r="A592" t="s">
        <v>110</v>
      </c>
      <c r="B592">
        <v>2014</v>
      </c>
      <c r="C592" s="2">
        <v>47.605499999999999</v>
      </c>
      <c r="D592">
        <v>19131.099999999999</v>
      </c>
      <c r="E592">
        <v>0.18190000000000001</v>
      </c>
      <c r="F592">
        <v>6.8526999999999996</v>
      </c>
      <c r="G592">
        <v>17000</v>
      </c>
      <c r="H592">
        <v>9</v>
      </c>
      <c r="I592" s="19">
        <v>100.529</v>
      </c>
      <c r="J592" s="19">
        <v>100.2</v>
      </c>
      <c r="K592" s="19">
        <v>2.8130000000000002</v>
      </c>
      <c r="L592" s="19">
        <v>74.519199999999998</v>
      </c>
      <c r="M592" s="19">
        <v>2639000000</v>
      </c>
      <c r="N592" s="19">
        <v>112.6095</v>
      </c>
      <c r="O592">
        <v>36.466999999999999</v>
      </c>
      <c r="P592">
        <v>27.002300000000002</v>
      </c>
      <c r="Q592" s="19">
        <v>24029.664000000001</v>
      </c>
      <c r="R592" s="19">
        <v>20228.707699999999</v>
      </c>
      <c r="S592" s="19">
        <v>2.6617999999999999</v>
      </c>
      <c r="T592" s="19">
        <v>37664.651100000003</v>
      </c>
      <c r="U592" s="19">
        <v>30571.975299999998</v>
      </c>
      <c r="V592">
        <v>25.7</v>
      </c>
      <c r="W592" s="19">
        <v>79.807699999999997</v>
      </c>
      <c r="X592">
        <v>95</v>
      </c>
      <c r="Z592">
        <v>94</v>
      </c>
      <c r="AA592">
        <v>2.2000000000000002</v>
      </c>
      <c r="AB592">
        <v>71.599999999999994</v>
      </c>
      <c r="AC592">
        <v>81.078000000000003</v>
      </c>
      <c r="AD592">
        <v>95.856800000000007</v>
      </c>
      <c r="AE592">
        <v>6</v>
      </c>
      <c r="AF592">
        <v>91.895700000000005</v>
      </c>
      <c r="AG592">
        <v>5.5</v>
      </c>
      <c r="AH592">
        <v>0.44</v>
      </c>
      <c r="AI592">
        <v>2.7</v>
      </c>
      <c r="AJ592">
        <v>2.5</v>
      </c>
      <c r="AK592">
        <v>2.9</v>
      </c>
      <c r="AL592">
        <v>65.924700000000001</v>
      </c>
      <c r="AM592">
        <v>1.6</v>
      </c>
      <c r="AN592">
        <v>-70</v>
      </c>
      <c r="AO592">
        <v>0</v>
      </c>
      <c r="AP592">
        <v>99.5</v>
      </c>
      <c r="AQ592">
        <v>98.684700000000007</v>
      </c>
      <c r="AR592">
        <v>94.505399999999995</v>
      </c>
      <c r="AU592">
        <v>17.797000000000001</v>
      </c>
      <c r="AV592" s="19">
        <v>79.523799999999994</v>
      </c>
      <c r="AW592">
        <v>0</v>
      </c>
      <c r="AX592">
        <v>14.3</v>
      </c>
      <c r="AY592">
        <v>5</v>
      </c>
      <c r="AZ592">
        <v>6</v>
      </c>
      <c r="BA592">
        <v>76.127200000000002</v>
      </c>
      <c r="BB592">
        <v>35.555599999999998</v>
      </c>
      <c r="BC592">
        <v>5.9960000000000004</v>
      </c>
      <c r="BD592" s="19">
        <v>2.7629999999999999</v>
      </c>
      <c r="BE592" s="19">
        <v>72.115399999999994</v>
      </c>
      <c r="BF592">
        <v>39.485199999999999</v>
      </c>
      <c r="BG592">
        <v>22.9</v>
      </c>
      <c r="BH592" s="20">
        <v>2.3654999999999999</v>
      </c>
      <c r="BI592" s="20">
        <v>4166.8813</v>
      </c>
      <c r="BJ592" s="19">
        <v>80.769199999999998</v>
      </c>
      <c r="BK592">
        <v>1.0045999999999999</v>
      </c>
      <c r="BL592">
        <v>1.0057</v>
      </c>
      <c r="BM592">
        <v>1.0067999999999999</v>
      </c>
      <c r="BN592">
        <v>7</v>
      </c>
      <c r="BO592">
        <v>9.4169999999999998</v>
      </c>
      <c r="BP592">
        <v>19.54</v>
      </c>
      <c r="BQ592" s="19">
        <v>98.870900000000006</v>
      </c>
      <c r="BR592">
        <v>72.261399999999995</v>
      </c>
      <c r="BS592" s="20">
        <v>9.6679999999999993</v>
      </c>
      <c r="BT592" s="20">
        <v>9.6679999999999993</v>
      </c>
      <c r="BU592" s="20">
        <v>20.236000000000001</v>
      </c>
      <c r="BV592" s="20">
        <v>20.204999999999998</v>
      </c>
      <c r="BW592" s="19">
        <v>75.369500000000002</v>
      </c>
      <c r="BX592">
        <v>20.170000000000002</v>
      </c>
      <c r="BY592" s="5">
        <v>3474852</v>
      </c>
      <c r="BZ592" s="6">
        <v>9470452</v>
      </c>
      <c r="CA592" s="7">
        <f t="shared" si="45"/>
        <v>2.72542600375498</v>
      </c>
      <c r="CB592">
        <v>2061980</v>
      </c>
      <c r="CC592" s="8">
        <f t="shared" si="46"/>
        <v>4.5928922685962039</v>
      </c>
      <c r="CD592" s="8">
        <f t="shared" si="47"/>
        <v>1.6852016023433787</v>
      </c>
      <c r="CE592">
        <v>20273</v>
      </c>
      <c r="CF592" s="8">
        <f t="shared" si="48"/>
        <v>171.40294973610222</v>
      </c>
      <c r="CG592" s="8">
        <f t="shared" si="49"/>
        <v>467.14605633108073</v>
      </c>
      <c r="CH592">
        <v>100.98464</v>
      </c>
    </row>
    <row r="593" spans="1:86" ht="15.5" x14ac:dyDescent="0.35">
      <c r="A593" t="s">
        <v>110</v>
      </c>
      <c r="B593">
        <v>2015</v>
      </c>
      <c r="C593" s="2">
        <v>48.9026</v>
      </c>
      <c r="D593">
        <v>19463.45</v>
      </c>
      <c r="E593">
        <v>0.17979999999999999</v>
      </c>
      <c r="F593">
        <v>6.9294000000000002</v>
      </c>
      <c r="G593">
        <v>17200</v>
      </c>
      <c r="H593">
        <v>9</v>
      </c>
      <c r="I593" s="19">
        <v>100.001</v>
      </c>
      <c r="J593" s="19">
        <v>99.75</v>
      </c>
      <c r="K593" s="19">
        <v>2.79</v>
      </c>
      <c r="L593" s="19">
        <v>75.714299999999994</v>
      </c>
      <c r="M593" s="19">
        <v>1758000000</v>
      </c>
      <c r="N593" s="19">
        <v>100</v>
      </c>
      <c r="O593">
        <v>36.984000000000002</v>
      </c>
      <c r="P593">
        <v>27.6233</v>
      </c>
      <c r="Q593" s="19">
        <v>20705.968000000001</v>
      </c>
      <c r="R593" s="19">
        <v>20697.2749</v>
      </c>
      <c r="S593" s="19">
        <v>2.3163</v>
      </c>
      <c r="T593" s="19">
        <v>38537.095300000001</v>
      </c>
      <c r="U593" s="19">
        <v>31344.629000000001</v>
      </c>
      <c r="V593">
        <v>25.4</v>
      </c>
      <c r="W593" s="19">
        <v>77.142899999999997</v>
      </c>
      <c r="X593">
        <v>95</v>
      </c>
      <c r="Z593">
        <v>94</v>
      </c>
      <c r="AA593">
        <v>2.1</v>
      </c>
      <c r="AB593">
        <v>73.099999999999994</v>
      </c>
      <c r="AC593">
        <v>80.775599999999997</v>
      </c>
      <c r="AD593">
        <v>94.981800000000007</v>
      </c>
      <c r="AE593">
        <v>5</v>
      </c>
      <c r="AF593">
        <v>91.907300000000006</v>
      </c>
      <c r="AG593">
        <v>6</v>
      </c>
      <c r="AH593">
        <v>0.39</v>
      </c>
      <c r="AI593">
        <v>2.6</v>
      </c>
      <c r="AJ593">
        <v>2.4</v>
      </c>
      <c r="AK593">
        <v>2.8</v>
      </c>
      <c r="AL593">
        <v>65.4148</v>
      </c>
      <c r="AM593">
        <v>1.6</v>
      </c>
      <c r="AN593">
        <v>712</v>
      </c>
      <c r="AO593">
        <v>0</v>
      </c>
      <c r="AP593">
        <v>99.5</v>
      </c>
      <c r="AQ593">
        <v>98.631399999999999</v>
      </c>
      <c r="AR593">
        <v>95.185500000000005</v>
      </c>
      <c r="AU593">
        <v>17.7209</v>
      </c>
      <c r="AV593" s="19">
        <v>80</v>
      </c>
      <c r="AW593">
        <v>0</v>
      </c>
      <c r="AX593">
        <v>13.9</v>
      </c>
      <c r="AY593">
        <v>5</v>
      </c>
      <c r="AZ593">
        <v>6</v>
      </c>
      <c r="BA593">
        <v>79.243700000000004</v>
      </c>
      <c r="BB593">
        <v>36.666699999999999</v>
      </c>
      <c r="BC593">
        <v>6.0639000000000003</v>
      </c>
      <c r="BD593" s="19">
        <v>2.3929999999999998</v>
      </c>
      <c r="BE593" s="19">
        <v>71.428600000000003</v>
      </c>
      <c r="BF593">
        <v>30.711500000000001</v>
      </c>
      <c r="BG593">
        <v>21.4</v>
      </c>
      <c r="BH593" s="20">
        <v>2.1957</v>
      </c>
      <c r="BI593" s="20">
        <v>3836.54</v>
      </c>
      <c r="BJ593" s="19">
        <v>80</v>
      </c>
      <c r="BK593">
        <v>1.0074000000000001</v>
      </c>
      <c r="BL593">
        <v>1.0097</v>
      </c>
      <c r="BM593">
        <v>1.0119</v>
      </c>
      <c r="BN593">
        <v>7</v>
      </c>
      <c r="BO593">
        <v>9.5060000000000002</v>
      </c>
      <c r="BP593">
        <v>21</v>
      </c>
      <c r="BQ593" s="19">
        <v>100</v>
      </c>
      <c r="BR593">
        <v>76.191299999999998</v>
      </c>
      <c r="BS593" s="20">
        <v>8.9619999999999997</v>
      </c>
      <c r="BT593" s="20">
        <v>8.9619999999999997</v>
      </c>
      <c r="BU593" s="20">
        <v>16.298999999999999</v>
      </c>
      <c r="BV593" s="20">
        <v>16.286999999999999</v>
      </c>
      <c r="BW593" s="19">
        <v>78.325100000000006</v>
      </c>
      <c r="BX593">
        <v>21.57</v>
      </c>
      <c r="BY593" s="5">
        <v>3878223</v>
      </c>
      <c r="BZ593" s="6">
        <v>10224207</v>
      </c>
      <c r="CA593" s="7">
        <f t="shared" si="45"/>
        <v>2.6363123007624885</v>
      </c>
      <c r="CB593">
        <v>2063531</v>
      </c>
      <c r="CC593" s="8">
        <f t="shared" si="46"/>
        <v>4.9547145160407089</v>
      </c>
      <c r="CD593" s="8">
        <f t="shared" si="47"/>
        <v>1.8794110677280835</v>
      </c>
      <c r="CE593">
        <v>20273</v>
      </c>
      <c r="CF593" s="8">
        <f t="shared" si="48"/>
        <v>191.29990627928771</v>
      </c>
      <c r="CG593" s="8">
        <f t="shared" si="49"/>
        <v>504.32629605879742</v>
      </c>
      <c r="CH593">
        <v>100</v>
      </c>
    </row>
    <row r="594" spans="1:86" ht="15.5" x14ac:dyDescent="0.35">
      <c r="A594" t="s">
        <v>110</v>
      </c>
      <c r="B594">
        <v>2016</v>
      </c>
      <c r="C594" s="2">
        <v>50.216299999999997</v>
      </c>
      <c r="D594">
        <v>20176.099999999999</v>
      </c>
      <c r="E594">
        <v>0.18340000000000001</v>
      </c>
      <c r="F594">
        <v>7.2759999999999998</v>
      </c>
      <c r="G594">
        <v>17200</v>
      </c>
      <c r="H594">
        <v>9</v>
      </c>
      <c r="I594" s="19">
        <v>99.945999999999998</v>
      </c>
      <c r="J594" s="19">
        <v>100.26</v>
      </c>
      <c r="K594" s="19">
        <v>2.9319999999999999</v>
      </c>
      <c r="L594" s="19">
        <v>76.1905</v>
      </c>
      <c r="M594" s="19">
        <v>2339000000</v>
      </c>
      <c r="N594" s="19">
        <v>103.0917</v>
      </c>
      <c r="O594">
        <v>41.771000000000001</v>
      </c>
      <c r="P594">
        <v>28.588899999999999</v>
      </c>
      <c r="Q594" s="19">
        <v>21450.813999999998</v>
      </c>
      <c r="R594" s="19">
        <v>21309.712</v>
      </c>
      <c r="S594" s="19">
        <v>2.9590000000000001</v>
      </c>
      <c r="T594" s="19">
        <v>39677.416899999997</v>
      </c>
      <c r="U594" s="19">
        <v>33575.177499999998</v>
      </c>
      <c r="V594">
        <v>24.8</v>
      </c>
      <c r="W594" s="19">
        <v>82.857100000000003</v>
      </c>
      <c r="X594">
        <v>94</v>
      </c>
      <c r="Z594">
        <v>92</v>
      </c>
      <c r="AA594">
        <v>2.1</v>
      </c>
      <c r="AB594">
        <v>75.5</v>
      </c>
      <c r="AC594">
        <v>81.175600000000003</v>
      </c>
      <c r="AD594">
        <v>95.115799999999993</v>
      </c>
      <c r="AE594">
        <v>5</v>
      </c>
      <c r="AF594">
        <v>92.607799999999997</v>
      </c>
      <c r="AG594">
        <v>6.5</v>
      </c>
      <c r="AH594">
        <v>0.4</v>
      </c>
      <c r="AI594">
        <v>2.6</v>
      </c>
      <c r="AJ594">
        <v>2.2999999999999998</v>
      </c>
      <c r="AK594">
        <v>2.8</v>
      </c>
      <c r="AL594">
        <v>65.243399999999994</v>
      </c>
      <c r="AM594">
        <v>1.5</v>
      </c>
      <c r="AN594">
        <v>1195</v>
      </c>
      <c r="AO594">
        <v>0</v>
      </c>
      <c r="AP594">
        <v>99.5</v>
      </c>
      <c r="AQ594">
        <v>98.578000000000003</v>
      </c>
      <c r="AR594">
        <v>95.865499999999997</v>
      </c>
      <c r="AU594">
        <v>16.451799999999999</v>
      </c>
      <c r="AV594" s="19">
        <v>83.8095</v>
      </c>
      <c r="AW594">
        <v>0</v>
      </c>
      <c r="AX594">
        <v>13.3</v>
      </c>
      <c r="AY594">
        <v>5</v>
      </c>
      <c r="AZ594">
        <v>6</v>
      </c>
      <c r="BA594">
        <v>80.974100000000007</v>
      </c>
      <c r="BB594">
        <v>36.666699999999999</v>
      </c>
      <c r="BC594">
        <v>6.1326999999999998</v>
      </c>
      <c r="BD594" s="19">
        <v>3.0350000000000001</v>
      </c>
      <c r="BE594" s="19">
        <v>71.428600000000003</v>
      </c>
      <c r="BF594">
        <v>32.342599999999997</v>
      </c>
      <c r="BG594">
        <v>21</v>
      </c>
      <c r="BH594" s="20">
        <v>2.0076000000000001</v>
      </c>
      <c r="BI594" s="20">
        <v>3939.8335000000002</v>
      </c>
      <c r="BJ594" s="19">
        <v>84.285700000000006</v>
      </c>
      <c r="BK594">
        <v>1.0074000000000001</v>
      </c>
      <c r="BL594">
        <v>1.0176000000000001</v>
      </c>
      <c r="BM594">
        <v>1.0266</v>
      </c>
      <c r="BN594">
        <v>7</v>
      </c>
      <c r="BO594">
        <v>8.032</v>
      </c>
      <c r="BP594">
        <v>18.809999999999999</v>
      </c>
      <c r="BQ594" s="19">
        <v>100.2291</v>
      </c>
      <c r="BR594">
        <v>78.256600000000006</v>
      </c>
      <c r="BS594" s="20">
        <v>8</v>
      </c>
      <c r="BT594" s="20">
        <v>8</v>
      </c>
      <c r="BU594" s="20">
        <v>15.243</v>
      </c>
      <c r="BV594" s="20">
        <v>15.225</v>
      </c>
      <c r="BW594" s="19">
        <v>80.295599999999993</v>
      </c>
      <c r="BX594">
        <v>22.32</v>
      </c>
      <c r="BY594" s="5">
        <v>4263811</v>
      </c>
      <c r="BZ594" s="6">
        <v>11057731</v>
      </c>
      <c r="CA594" s="7">
        <f t="shared" si="45"/>
        <v>2.5933914519194214</v>
      </c>
      <c r="CB594">
        <v>2065042</v>
      </c>
      <c r="CC594" s="8">
        <f t="shared" si="46"/>
        <v>5.3547245043926468</v>
      </c>
      <c r="CD594" s="8">
        <f t="shared" si="47"/>
        <v>2.0647575206702817</v>
      </c>
      <c r="CE594">
        <v>20273</v>
      </c>
      <c r="CF594" s="8">
        <f t="shared" si="48"/>
        <v>210.31968628224732</v>
      </c>
      <c r="CG594" s="8">
        <f t="shared" si="49"/>
        <v>545.44127657475462</v>
      </c>
      <c r="CH594">
        <v>99.792569999999998</v>
      </c>
    </row>
    <row r="595" spans="1:86" ht="15.5" x14ac:dyDescent="0.35">
      <c r="A595" t="s">
        <v>110</v>
      </c>
      <c r="B595">
        <v>2017</v>
      </c>
      <c r="C595" s="2">
        <v>51.5486</v>
      </c>
      <c r="D595">
        <v>20687.080000000002</v>
      </c>
      <c r="E595">
        <v>0.17810000000000001</v>
      </c>
      <c r="F595">
        <v>7.4275000000000002</v>
      </c>
      <c r="G595">
        <v>17200</v>
      </c>
      <c r="H595">
        <v>9</v>
      </c>
      <c r="I595" s="19">
        <v>101.374</v>
      </c>
      <c r="J595" s="19">
        <v>102.01</v>
      </c>
      <c r="K595" s="19">
        <v>3.3260000000000001</v>
      </c>
      <c r="L595" s="19">
        <v>78.095200000000006</v>
      </c>
      <c r="M595" s="19">
        <v>3270000000</v>
      </c>
      <c r="N595" s="19">
        <v>120.3993</v>
      </c>
      <c r="O595">
        <v>41.893000000000001</v>
      </c>
      <c r="P595">
        <v>29.180399999999999</v>
      </c>
      <c r="Q595" s="19">
        <v>23300.424999999999</v>
      </c>
      <c r="R595" s="19">
        <v>22397.763800000001</v>
      </c>
      <c r="S595" s="19">
        <v>5.1059000000000001</v>
      </c>
      <c r="T595" s="19">
        <v>41703.304600000003</v>
      </c>
      <c r="U595" s="19">
        <v>36180.038500000002</v>
      </c>
      <c r="V595">
        <v>24.2</v>
      </c>
      <c r="W595" s="19">
        <v>83.8095</v>
      </c>
      <c r="X595">
        <v>94</v>
      </c>
      <c r="Z595">
        <v>93</v>
      </c>
      <c r="AA595">
        <v>2</v>
      </c>
      <c r="AB595">
        <v>78.900000000000006</v>
      </c>
      <c r="AC595">
        <v>81.029300000000006</v>
      </c>
      <c r="AD595">
        <v>95.474000000000004</v>
      </c>
      <c r="AE595">
        <v>5</v>
      </c>
      <c r="AF595">
        <v>92.558199999999999</v>
      </c>
      <c r="AG595">
        <v>5.2</v>
      </c>
      <c r="AH595">
        <v>0.35</v>
      </c>
      <c r="AI595">
        <v>2.5</v>
      </c>
      <c r="AJ595">
        <v>2.2999999999999998</v>
      </c>
      <c r="AK595">
        <v>2.7</v>
      </c>
      <c r="AL595">
        <v>64.759600000000006</v>
      </c>
      <c r="AM595">
        <v>1.5</v>
      </c>
      <c r="AN595">
        <v>1359</v>
      </c>
      <c r="AO595">
        <v>0</v>
      </c>
      <c r="AP595">
        <v>99.5</v>
      </c>
      <c r="AQ595">
        <v>98.524600000000007</v>
      </c>
      <c r="AR595">
        <v>96.545599999999993</v>
      </c>
      <c r="AU595">
        <v>16.502700000000001</v>
      </c>
      <c r="AV595" s="19">
        <v>76.666700000000006</v>
      </c>
      <c r="AW595">
        <v>0</v>
      </c>
      <c r="AX595">
        <v>13.3</v>
      </c>
      <c r="AY595">
        <v>5</v>
      </c>
      <c r="AZ595">
        <v>6</v>
      </c>
      <c r="BA595">
        <v>82.013300000000001</v>
      </c>
      <c r="BB595">
        <v>36.666699999999999</v>
      </c>
      <c r="BC595">
        <v>5.8765000000000001</v>
      </c>
      <c r="BD595" s="19">
        <v>5.1740000000000004</v>
      </c>
      <c r="BE595" s="19">
        <v>71.428600000000003</v>
      </c>
      <c r="BF595">
        <v>28.913599999999999</v>
      </c>
      <c r="BG595">
        <v>19.7</v>
      </c>
      <c r="BH595" s="20">
        <v>1.8653</v>
      </c>
      <c r="BI595" s="20">
        <v>4510.8130000000001</v>
      </c>
      <c r="BJ595" s="19">
        <v>81.428600000000003</v>
      </c>
      <c r="BK595">
        <v>1.0033000000000001</v>
      </c>
      <c r="BL595">
        <v>1.0145999999999999</v>
      </c>
      <c r="BM595">
        <v>1.0246999999999999</v>
      </c>
      <c r="BN595">
        <v>7</v>
      </c>
      <c r="BO595">
        <v>6.5179999999999998</v>
      </c>
      <c r="BP595">
        <v>20.43</v>
      </c>
      <c r="BQ595" s="19">
        <v>99.039599999999993</v>
      </c>
      <c r="BR595">
        <v>83.197299999999998</v>
      </c>
      <c r="BS595" s="20">
        <v>6.5640000000000001</v>
      </c>
      <c r="BT595" s="20">
        <v>6.5650000000000004</v>
      </c>
      <c r="BU595" s="20">
        <v>11.24</v>
      </c>
      <c r="BV595" s="20">
        <v>11.23</v>
      </c>
      <c r="BW595" s="19">
        <v>80.788200000000003</v>
      </c>
      <c r="BX595">
        <v>20.59</v>
      </c>
      <c r="BY595" s="5">
        <v>4891986</v>
      </c>
      <c r="BZ595" s="6">
        <v>12460084</v>
      </c>
      <c r="CA595" s="7">
        <f t="shared" si="45"/>
        <v>2.5470399956173218</v>
      </c>
      <c r="CB595">
        <v>2066388</v>
      </c>
      <c r="CC595" s="8">
        <f t="shared" si="46"/>
        <v>6.029885965268865</v>
      </c>
      <c r="CD595" s="8">
        <f t="shared" si="47"/>
        <v>2.3674092184042879</v>
      </c>
      <c r="CE595">
        <v>20273</v>
      </c>
      <c r="CF595" s="8">
        <f t="shared" si="48"/>
        <v>241.3054801953337</v>
      </c>
      <c r="CG595" s="8">
        <f t="shared" si="49"/>
        <v>614.6147092191585</v>
      </c>
      <c r="CH595">
        <v>99.528289999999998</v>
      </c>
    </row>
    <row r="596" spans="1:86" ht="15.5" x14ac:dyDescent="0.35">
      <c r="A596" t="s">
        <v>110</v>
      </c>
      <c r="B596">
        <v>2018</v>
      </c>
      <c r="C596" s="2">
        <v>52.782499999999999</v>
      </c>
      <c r="D596">
        <v>19564.07</v>
      </c>
      <c r="E596">
        <v>0.1706</v>
      </c>
      <c r="F596">
        <v>7.3982999999999999</v>
      </c>
      <c r="G596">
        <v>17200</v>
      </c>
      <c r="H596">
        <v>9</v>
      </c>
      <c r="I596" s="19">
        <v>103.137</v>
      </c>
      <c r="J596" s="19">
        <v>103.46</v>
      </c>
      <c r="K596" s="19">
        <v>3.5790000000000002</v>
      </c>
      <c r="L596" s="19">
        <v>79.523799999999994</v>
      </c>
      <c r="M596" s="19">
        <v>3497000000</v>
      </c>
      <c r="N596" s="19">
        <v>138.43039999999999</v>
      </c>
      <c r="O596">
        <v>38.223999999999997</v>
      </c>
      <c r="P596">
        <v>29.608599999999999</v>
      </c>
      <c r="Q596" s="19">
        <v>25987.659</v>
      </c>
      <c r="R596" s="19">
        <v>23293.9666</v>
      </c>
      <c r="S596" s="19">
        <v>4.0012999999999996</v>
      </c>
      <c r="T596" s="19">
        <v>43371.980900000002</v>
      </c>
      <c r="U596" s="19">
        <v>38620.2045</v>
      </c>
      <c r="V596">
        <v>24.6</v>
      </c>
      <c r="W596" s="19">
        <v>82.381</v>
      </c>
      <c r="X596">
        <v>93</v>
      </c>
      <c r="Z596">
        <v>93</v>
      </c>
      <c r="AA596">
        <v>2</v>
      </c>
      <c r="AB596">
        <v>79.8</v>
      </c>
      <c r="AC596">
        <v>81.378</v>
      </c>
      <c r="AD596">
        <v>95.502499999999998</v>
      </c>
      <c r="AE596">
        <v>4</v>
      </c>
      <c r="AF596">
        <v>92.664400000000001</v>
      </c>
      <c r="AG596">
        <v>4.5</v>
      </c>
      <c r="AH596">
        <v>0.25</v>
      </c>
      <c r="AI596">
        <v>2.4</v>
      </c>
      <c r="AJ596">
        <v>2.2000000000000002</v>
      </c>
      <c r="AK596">
        <v>2.6</v>
      </c>
      <c r="AL596">
        <v>64.515699999999995</v>
      </c>
      <c r="AM596">
        <v>1.4</v>
      </c>
      <c r="AN596">
        <v>14640</v>
      </c>
      <c r="AO596">
        <v>0</v>
      </c>
      <c r="AP596">
        <v>99.5</v>
      </c>
      <c r="AQ596">
        <v>98.471299999999999</v>
      </c>
      <c r="AR596">
        <v>97.2256</v>
      </c>
      <c r="AU596">
        <v>18.180199999999999</v>
      </c>
      <c r="AV596" s="19">
        <v>78.301900000000003</v>
      </c>
      <c r="AW596">
        <v>0</v>
      </c>
      <c r="AX596">
        <v>12</v>
      </c>
      <c r="AY596">
        <v>5</v>
      </c>
      <c r="AZ596">
        <v>6</v>
      </c>
      <c r="BA596">
        <v>83.0565</v>
      </c>
      <c r="BB596">
        <v>24.444400000000002</v>
      </c>
      <c r="BC596">
        <v>5.9931999999999999</v>
      </c>
      <c r="BD596" s="19">
        <v>4.3789999999999996</v>
      </c>
      <c r="BE596" s="19">
        <v>73.8095</v>
      </c>
      <c r="BF596">
        <v>33.2074</v>
      </c>
      <c r="BG596">
        <v>20.6</v>
      </c>
      <c r="BH596" s="20">
        <v>1.9459</v>
      </c>
      <c r="BI596" s="20">
        <v>4880.4902000000002</v>
      </c>
      <c r="BJ596" s="19">
        <v>82.381</v>
      </c>
      <c r="BK596">
        <v>1.0014000000000001</v>
      </c>
      <c r="BL596">
        <v>1.0134000000000001</v>
      </c>
      <c r="BM596">
        <v>1.0243</v>
      </c>
      <c r="BN596">
        <v>7</v>
      </c>
      <c r="BO596">
        <v>6.6189999999999998</v>
      </c>
      <c r="BP596">
        <v>17.399999999999999</v>
      </c>
      <c r="BQ596" s="19">
        <v>98.058099999999996</v>
      </c>
      <c r="BR596">
        <v>86.953900000000004</v>
      </c>
      <c r="BS596" s="20">
        <v>5.1079999999999997</v>
      </c>
      <c r="BT596" s="20">
        <v>5.1079999999999997</v>
      </c>
      <c r="BU596" s="20">
        <v>8.8170000000000002</v>
      </c>
      <c r="BV596" s="20">
        <v>8.8140000000000001</v>
      </c>
      <c r="BW596" s="19">
        <v>78.640799999999999</v>
      </c>
      <c r="BX596">
        <v>18.399999999999999</v>
      </c>
      <c r="BY596" s="27">
        <v>6221841</v>
      </c>
      <c r="BZ596" s="27">
        <v>15758691</v>
      </c>
      <c r="CA596" s="7">
        <f t="shared" si="45"/>
        <v>2.5328019472050154</v>
      </c>
      <c r="CB596">
        <v>2073894</v>
      </c>
      <c r="CC596" s="8">
        <f t="shared" si="46"/>
        <v>7.5986000248807315</v>
      </c>
      <c r="CD596" s="8">
        <f t="shared" si="47"/>
        <v>3.0000766673706565</v>
      </c>
      <c r="CE596">
        <v>20273</v>
      </c>
      <c r="CF596" s="8">
        <f t="shared" si="48"/>
        <v>306.90282641937551</v>
      </c>
      <c r="CG596" s="8">
        <f t="shared" si="49"/>
        <v>777.32407635771722</v>
      </c>
      <c r="CH596">
        <v>99.777500000000003</v>
      </c>
    </row>
    <row r="597" spans="1:86" ht="15.5" x14ac:dyDescent="0.35">
      <c r="A597" t="s">
        <v>110</v>
      </c>
      <c r="B597">
        <v>2019</v>
      </c>
      <c r="C597" s="2">
        <v>53.749499999999998</v>
      </c>
      <c r="D597">
        <v>19358.5</v>
      </c>
      <c r="E597">
        <v>0.158</v>
      </c>
      <c r="F597">
        <v>7.0453999999999999</v>
      </c>
      <c r="G597">
        <v>17200</v>
      </c>
      <c r="H597">
        <v>9</v>
      </c>
      <c r="I597" s="19">
        <v>104.818</v>
      </c>
      <c r="J597" s="19">
        <v>105.35</v>
      </c>
      <c r="K597" s="19">
        <v>3.831</v>
      </c>
      <c r="L597" s="19">
        <v>80</v>
      </c>
      <c r="M597" s="19">
        <v>3477000000</v>
      </c>
      <c r="N597" s="19">
        <v>140.75739999999999</v>
      </c>
      <c r="O597">
        <v>40.506999999999998</v>
      </c>
      <c r="P597">
        <v>30.139500000000002</v>
      </c>
      <c r="Q597" s="19">
        <v>25909.807000000001</v>
      </c>
      <c r="R597" s="19">
        <v>23943.179599999999</v>
      </c>
      <c r="S597" s="19">
        <v>2.7869999999999999</v>
      </c>
      <c r="T597" s="19">
        <v>44580.777000000002</v>
      </c>
      <c r="U597" s="19">
        <v>42373.250599999999</v>
      </c>
      <c r="V597">
        <v>24.4</v>
      </c>
      <c r="W597" s="19">
        <v>81.904799999999994</v>
      </c>
      <c r="X597">
        <v>95</v>
      </c>
      <c r="Z597">
        <v>94</v>
      </c>
      <c r="AA597">
        <v>2</v>
      </c>
      <c r="AB597">
        <v>83.1</v>
      </c>
      <c r="AC597">
        <v>81.529300000000006</v>
      </c>
      <c r="AD597">
        <v>94.546199999999999</v>
      </c>
      <c r="AE597">
        <v>4</v>
      </c>
      <c r="AF597">
        <v>92.701899999999995</v>
      </c>
      <c r="AG597">
        <v>5.0999999999999996</v>
      </c>
      <c r="AH597">
        <v>0.19</v>
      </c>
      <c r="AI597">
        <v>2.4</v>
      </c>
      <c r="AJ597">
        <v>2.2000000000000002</v>
      </c>
      <c r="AK597">
        <v>2.6</v>
      </c>
      <c r="AL597">
        <v>64.5047</v>
      </c>
      <c r="AM597">
        <v>1.4</v>
      </c>
      <c r="AN597">
        <v>16352</v>
      </c>
      <c r="AO597">
        <v>0</v>
      </c>
      <c r="AP597">
        <v>99.5</v>
      </c>
      <c r="AQ597">
        <v>98.417900000000003</v>
      </c>
      <c r="AR597">
        <v>97.905699999999996</v>
      </c>
      <c r="AU597">
        <v>13.908200000000001</v>
      </c>
      <c r="AV597" s="19">
        <v>74.528300000000002</v>
      </c>
      <c r="AW597">
        <v>0</v>
      </c>
      <c r="AX597">
        <v>12.4</v>
      </c>
      <c r="AY597">
        <v>5</v>
      </c>
      <c r="AZ597">
        <v>6</v>
      </c>
      <c r="BA597">
        <v>83.459500000000006</v>
      </c>
      <c r="BB597">
        <v>27.777799999999999</v>
      </c>
      <c r="BC597">
        <v>6.1447000000000003</v>
      </c>
      <c r="BD597" s="19">
        <v>3.5049999999999999</v>
      </c>
      <c r="BE597" s="19">
        <v>79.047600000000003</v>
      </c>
      <c r="BF597">
        <v>32.565800000000003</v>
      </c>
      <c r="BG597">
        <v>20.9</v>
      </c>
      <c r="BH597" s="20">
        <v>2.0392000000000001</v>
      </c>
      <c r="BI597" s="20">
        <v>5060.5698000000002</v>
      </c>
      <c r="BJ597" s="19">
        <v>82.857100000000003</v>
      </c>
      <c r="BK597">
        <v>0.99839999999999995</v>
      </c>
      <c r="BL597">
        <v>1.0093000000000001</v>
      </c>
      <c r="BM597">
        <v>1.0194000000000001</v>
      </c>
      <c r="BN597">
        <v>7</v>
      </c>
      <c r="BO597">
        <v>7.0289999999999999</v>
      </c>
      <c r="BP597">
        <v>19.34</v>
      </c>
      <c r="BQ597" s="19">
        <v>99.038399999999996</v>
      </c>
      <c r="BR597">
        <v>88.135000000000005</v>
      </c>
      <c r="BS597" s="20">
        <v>4.4459999999999997</v>
      </c>
      <c r="BT597" s="20">
        <v>4.4459999999999997</v>
      </c>
      <c r="BU597" s="20">
        <v>8.1359999999999992</v>
      </c>
      <c r="BV597" s="20">
        <v>8.1329999999999991</v>
      </c>
      <c r="BW597" s="19">
        <v>78.744</v>
      </c>
      <c r="BX597">
        <v>18.3</v>
      </c>
      <c r="BY597" s="5">
        <v>6221841</v>
      </c>
      <c r="BZ597" s="6">
        <v>15758691</v>
      </c>
      <c r="CA597" s="7">
        <f t="shared" si="45"/>
        <v>2.5328019472050154</v>
      </c>
      <c r="CB597">
        <v>2088385</v>
      </c>
      <c r="CC597" s="8">
        <f t="shared" si="46"/>
        <v>7.5458744436490397</v>
      </c>
      <c r="CD597" s="8">
        <f t="shared" si="47"/>
        <v>2.9792595713912906</v>
      </c>
      <c r="CE597">
        <v>20273</v>
      </c>
      <c r="CF597" s="8">
        <f t="shared" si="48"/>
        <v>306.90282641937551</v>
      </c>
      <c r="CG597" s="8">
        <f t="shared" si="49"/>
        <v>777.32407635771722</v>
      </c>
      <c r="CH597">
        <v>100.18588</v>
      </c>
    </row>
    <row r="598" spans="1:86" ht="15.5" x14ac:dyDescent="0.35">
      <c r="A598" t="s">
        <v>110</v>
      </c>
      <c r="B598">
        <v>2020</v>
      </c>
      <c r="C598" s="2">
        <v>54.463099999999997</v>
      </c>
      <c r="D598">
        <v>19326.080000000002</v>
      </c>
      <c r="E598">
        <v>0.15029999999999999</v>
      </c>
      <c r="F598">
        <v>6.3837000000000002</v>
      </c>
      <c r="G598">
        <v>17200</v>
      </c>
      <c r="H598">
        <v>9</v>
      </c>
      <c r="I598" s="19">
        <v>104.761</v>
      </c>
      <c r="J598" s="19">
        <v>104.21</v>
      </c>
      <c r="K598" s="19">
        <v>2.9140000000000001</v>
      </c>
      <c r="L598" s="19">
        <v>78.095200000000006</v>
      </c>
      <c r="M598" s="19">
        <v>4093000000</v>
      </c>
      <c r="N598" s="19">
        <v>140.4109</v>
      </c>
      <c r="O598">
        <v>40.616</v>
      </c>
      <c r="P598">
        <v>30.992999999999999</v>
      </c>
      <c r="Q598" s="19">
        <v>25451.13</v>
      </c>
      <c r="R598" s="19">
        <v>22811.8053</v>
      </c>
      <c r="S598" s="19">
        <v>-4.7252000000000001</v>
      </c>
      <c r="T598" s="19">
        <v>42474.225200000001</v>
      </c>
      <c r="U598" s="19">
        <v>41767.258000000002</v>
      </c>
      <c r="V598">
        <v>24</v>
      </c>
      <c r="W598" s="19">
        <v>84.761899999999997</v>
      </c>
      <c r="X598">
        <v>95</v>
      </c>
      <c r="Z598">
        <v>94</v>
      </c>
      <c r="AA598">
        <v>1.9</v>
      </c>
      <c r="AB598">
        <v>86.6</v>
      </c>
      <c r="AC598">
        <v>80.531700000000001</v>
      </c>
      <c r="AD598">
        <v>94.804400000000001</v>
      </c>
      <c r="AE598">
        <v>12</v>
      </c>
      <c r="AF598">
        <v>92.710800000000006</v>
      </c>
      <c r="AH598">
        <v>0.19</v>
      </c>
      <c r="AI598">
        <v>2.4</v>
      </c>
      <c r="AJ598">
        <v>2.1</v>
      </c>
      <c r="AK598">
        <v>2.6</v>
      </c>
      <c r="AL598">
        <v>64.180800000000005</v>
      </c>
      <c r="AM598">
        <v>1.4</v>
      </c>
      <c r="AN598">
        <v>28514</v>
      </c>
      <c r="AO598">
        <v>0</v>
      </c>
      <c r="AP598">
        <v>99.5</v>
      </c>
      <c r="AQ598">
        <v>98.364500000000007</v>
      </c>
      <c r="AR598">
        <v>98.274299999999997</v>
      </c>
      <c r="AU598">
        <v>14.2912</v>
      </c>
      <c r="AV598" s="19">
        <v>69.811300000000003</v>
      </c>
      <c r="AW598">
        <v>0</v>
      </c>
      <c r="AX598">
        <v>11.7</v>
      </c>
      <c r="AY598">
        <v>5</v>
      </c>
      <c r="AZ598">
        <v>6</v>
      </c>
      <c r="BA598">
        <v>83.645700000000005</v>
      </c>
      <c r="BB598">
        <v>27.777799999999999</v>
      </c>
      <c r="BC598">
        <v>6.8423999999999996</v>
      </c>
      <c r="BD598" s="19">
        <v>-4.085</v>
      </c>
      <c r="BE598" s="19">
        <v>77.142899999999997</v>
      </c>
      <c r="BF598">
        <v>34.166600000000003</v>
      </c>
      <c r="BG598">
        <v>22.7</v>
      </c>
      <c r="BH598" s="20">
        <v>2.1415999999999999</v>
      </c>
      <c r="BI598" s="20">
        <v>5187.1611000000003</v>
      </c>
      <c r="BJ598" s="19">
        <v>83.333299999999994</v>
      </c>
      <c r="BK598">
        <v>0.998</v>
      </c>
      <c r="BL598">
        <v>1.0072000000000001</v>
      </c>
      <c r="BM598">
        <v>1.0157</v>
      </c>
      <c r="BN598">
        <v>7</v>
      </c>
      <c r="BO598">
        <v>7.6829999999999998</v>
      </c>
      <c r="BP598">
        <v>17.739999999999998</v>
      </c>
      <c r="BQ598" s="19">
        <v>103.669</v>
      </c>
      <c r="BR598">
        <v>88.135000000000005</v>
      </c>
      <c r="BS598" s="20">
        <v>4.9710000000000001</v>
      </c>
      <c r="BT598" s="20">
        <v>4.9710000000000001</v>
      </c>
      <c r="BU598" s="20">
        <v>14.179</v>
      </c>
      <c r="BV598" s="20">
        <v>14.189</v>
      </c>
      <c r="BW598" s="19">
        <v>77.294700000000006</v>
      </c>
      <c r="BX598">
        <v>18.48</v>
      </c>
      <c r="BY598" s="5">
        <v>3058619</v>
      </c>
      <c r="BZ598" s="6">
        <v>9188303</v>
      </c>
      <c r="CA598" s="7">
        <f t="shared" si="45"/>
        <v>3.0040691567011124</v>
      </c>
      <c r="CB598">
        <v>2102419</v>
      </c>
      <c r="CC598" s="8">
        <f t="shared" si="46"/>
        <v>4.3703481561001878</v>
      </c>
      <c r="CD598" s="8">
        <f t="shared" si="47"/>
        <v>1.4548094361780406</v>
      </c>
      <c r="CE598">
        <v>20273</v>
      </c>
      <c r="CF598" s="8">
        <f t="shared" si="48"/>
        <v>150.87155329748927</v>
      </c>
      <c r="CG598" s="8">
        <f t="shared" si="49"/>
        <v>453.22857988457554</v>
      </c>
      <c r="CH598">
        <v>99.736080000000001</v>
      </c>
    </row>
    <row r="599" spans="1:86" ht="15.5" x14ac:dyDescent="0.35">
      <c r="A599" t="s">
        <v>110</v>
      </c>
      <c r="B599">
        <v>2021</v>
      </c>
      <c r="C599" s="2">
        <v>55.263100000000001</v>
      </c>
      <c r="D599">
        <v>19303.060000000001</v>
      </c>
      <c r="E599">
        <v>0.14219999999999999</v>
      </c>
      <c r="F599">
        <v>6.5275999999999996</v>
      </c>
      <c r="G599">
        <v>17200</v>
      </c>
      <c r="H599">
        <v>9</v>
      </c>
      <c r="I599" s="19">
        <v>106.76900000000001</v>
      </c>
      <c r="J599" s="19">
        <v>109.3</v>
      </c>
      <c r="K599" s="19">
        <v>6.2510000000000003</v>
      </c>
      <c r="L599" s="19">
        <v>75.238100000000003</v>
      </c>
      <c r="M599" s="19">
        <v>2309000000</v>
      </c>
      <c r="N599" s="19">
        <v>179.62090000000001</v>
      </c>
      <c r="O599">
        <v>33.524000000000001</v>
      </c>
      <c r="P599">
        <v>31.5503</v>
      </c>
      <c r="Q599" s="19">
        <v>29194.311000000002</v>
      </c>
      <c r="R599" s="19">
        <v>24659.249899999999</v>
      </c>
      <c r="S599" s="19">
        <v>8.0985999999999994</v>
      </c>
      <c r="T599" s="19">
        <v>45914.057200000003</v>
      </c>
      <c r="U599" s="19">
        <v>45914.057200000003</v>
      </c>
      <c r="V599">
        <v>24.3</v>
      </c>
      <c r="W599" s="19">
        <v>83.8095</v>
      </c>
      <c r="X599">
        <v>86</v>
      </c>
      <c r="Y599">
        <v>86</v>
      </c>
      <c r="Z599">
        <v>95</v>
      </c>
      <c r="AA599">
        <v>1.9</v>
      </c>
      <c r="AB599">
        <v>89</v>
      </c>
      <c r="AC599">
        <v>80.675600000000003</v>
      </c>
      <c r="AD599">
        <v>95.666899999999998</v>
      </c>
      <c r="AE599">
        <v>8</v>
      </c>
      <c r="AH599">
        <v>0.22</v>
      </c>
      <c r="AI599">
        <v>2.2999999999999998</v>
      </c>
      <c r="AJ599">
        <v>2.1</v>
      </c>
      <c r="AK599">
        <v>2.5</v>
      </c>
      <c r="AL599">
        <v>64.100999999999999</v>
      </c>
      <c r="AM599">
        <v>1.3</v>
      </c>
      <c r="AN599">
        <v>2477</v>
      </c>
      <c r="AO599">
        <v>0</v>
      </c>
      <c r="AP599">
        <v>99.5</v>
      </c>
      <c r="AQ599">
        <v>98.311199999999999</v>
      </c>
      <c r="AR599">
        <v>98.274299999999997</v>
      </c>
      <c r="AV599" s="19">
        <v>71.226399999999998</v>
      </c>
      <c r="AW599">
        <v>0</v>
      </c>
      <c r="AX599">
        <v>12.1</v>
      </c>
      <c r="AY599">
        <v>5</v>
      </c>
      <c r="AZ599">
        <v>6</v>
      </c>
      <c r="BA599">
        <v>83.830100000000002</v>
      </c>
      <c r="BB599">
        <v>26.666699999999999</v>
      </c>
      <c r="BC599">
        <v>6.944</v>
      </c>
      <c r="BD599" s="19">
        <v>8.39</v>
      </c>
      <c r="BE599" s="19">
        <v>74.761899999999997</v>
      </c>
      <c r="BF599">
        <v>36.112699999999997</v>
      </c>
      <c r="BG599">
        <v>23.4</v>
      </c>
      <c r="BH599" s="20">
        <v>2.1280000000000001</v>
      </c>
      <c r="BI599" s="20">
        <v>5235.1801999999998</v>
      </c>
      <c r="BJ599" s="19">
        <v>82.381</v>
      </c>
      <c r="BN599">
        <v>7</v>
      </c>
      <c r="BO599">
        <v>6.5970000000000004</v>
      </c>
      <c r="BP599">
        <v>18.850000000000001</v>
      </c>
      <c r="BQ599" s="19">
        <v>100.9597</v>
      </c>
      <c r="BS599" s="20">
        <v>4.7439999999999998</v>
      </c>
      <c r="BT599" s="20">
        <v>4.7439999999999998</v>
      </c>
      <c r="BU599" s="20">
        <v>12.846</v>
      </c>
      <c r="BV599" s="20">
        <v>12.781000000000001</v>
      </c>
      <c r="BW599" s="19">
        <v>76.328500000000005</v>
      </c>
      <c r="BX599">
        <v>15.25</v>
      </c>
      <c r="BY599" s="5">
        <v>3997054</v>
      </c>
      <c r="BZ599" s="6">
        <v>11231780</v>
      </c>
      <c r="CA599" s="7">
        <f t="shared" si="45"/>
        <v>2.8100145757350288</v>
      </c>
      <c r="CB599">
        <v>2108079</v>
      </c>
      <c r="CC599" s="8">
        <f t="shared" si="46"/>
        <v>5.32796920798509</v>
      </c>
      <c r="CD599" s="8">
        <f t="shared" si="47"/>
        <v>1.8960646161742516</v>
      </c>
      <c r="CE599">
        <v>20273</v>
      </c>
      <c r="CF599" s="8">
        <f t="shared" si="48"/>
        <v>197.16144625857052</v>
      </c>
      <c r="CG599" s="8">
        <f t="shared" si="49"/>
        <v>554.02653775958174</v>
      </c>
      <c r="CH599">
        <v>98.915679999999995</v>
      </c>
    </row>
    <row r="600" spans="1:86" ht="15.5" x14ac:dyDescent="0.35">
      <c r="A600" t="s">
        <v>110</v>
      </c>
      <c r="B600">
        <v>2022</v>
      </c>
      <c r="C600" s="2">
        <v>56.195</v>
      </c>
      <c r="E600">
        <v>0.1321</v>
      </c>
      <c r="F600">
        <v>6.2175000000000002</v>
      </c>
      <c r="H600">
        <v>9</v>
      </c>
      <c r="I600" s="19">
        <v>116.20099999999999</v>
      </c>
      <c r="J600" s="19">
        <v>120.51</v>
      </c>
      <c r="K600" s="19">
        <v>8.7970000000000006</v>
      </c>
      <c r="L600" s="19">
        <v>78.301900000000003</v>
      </c>
      <c r="M600" s="19">
        <v>-671000000</v>
      </c>
      <c r="N600" s="19"/>
      <c r="O600">
        <v>33.17</v>
      </c>
      <c r="P600">
        <v>32.0105</v>
      </c>
      <c r="Q600" s="19">
        <v>28462.152999999998</v>
      </c>
      <c r="R600" s="19">
        <v>25276.935600000001</v>
      </c>
      <c r="S600" s="19">
        <v>2.5049000000000001</v>
      </c>
      <c r="T600" s="19">
        <v>47064.1512</v>
      </c>
      <c r="U600" s="19">
        <v>51079.178099999997</v>
      </c>
      <c r="W600" s="19">
        <v>80.660399999999996</v>
      </c>
      <c r="X600">
        <v>89</v>
      </c>
      <c r="Y600">
        <v>89</v>
      </c>
      <c r="Z600">
        <v>96</v>
      </c>
      <c r="AA600">
        <v>1.9</v>
      </c>
      <c r="AB600">
        <v>88.9</v>
      </c>
      <c r="AC600">
        <v>81.282899999999998</v>
      </c>
      <c r="AD600">
        <v>94.393799999999999</v>
      </c>
      <c r="AE600">
        <v>15</v>
      </c>
      <c r="AI600">
        <v>2.2999999999999998</v>
      </c>
      <c r="AJ600">
        <v>2.1</v>
      </c>
      <c r="AK600">
        <v>2.5</v>
      </c>
      <c r="AL600">
        <v>63.9208</v>
      </c>
      <c r="AM600">
        <v>1.3</v>
      </c>
      <c r="AN600">
        <v>9014</v>
      </c>
      <c r="AO600">
        <v>0</v>
      </c>
      <c r="AP600">
        <v>99.5</v>
      </c>
      <c r="AQ600">
        <v>98.311199999999999</v>
      </c>
      <c r="AR600">
        <v>98.274299999999997</v>
      </c>
      <c r="AV600" s="19">
        <v>70.283000000000001</v>
      </c>
      <c r="AX600">
        <v>12.7</v>
      </c>
      <c r="AY600">
        <v>5</v>
      </c>
      <c r="AZ600">
        <v>6</v>
      </c>
      <c r="BA600">
        <v>84.041399999999996</v>
      </c>
      <c r="BB600">
        <v>40</v>
      </c>
      <c r="BC600">
        <v>7.0551000000000004</v>
      </c>
      <c r="BD600" s="19">
        <v>2.6989999999999998</v>
      </c>
      <c r="BE600" s="19">
        <v>73.584900000000005</v>
      </c>
      <c r="BH600" s="20">
        <v>2.0952000000000002</v>
      </c>
      <c r="BI600" s="20">
        <v>5370.3744999999999</v>
      </c>
      <c r="BJ600" s="19">
        <v>82.547200000000004</v>
      </c>
      <c r="BN600">
        <v>7</v>
      </c>
      <c r="BO600">
        <v>8.234</v>
      </c>
      <c r="BQ600" s="19"/>
      <c r="BS600" s="20">
        <v>4.0110000000000001</v>
      </c>
      <c r="BT600" s="20">
        <v>4.0110000000000001</v>
      </c>
      <c r="BU600" s="20">
        <v>10.14</v>
      </c>
      <c r="BV600" s="20">
        <v>10.08</v>
      </c>
      <c r="BW600" s="19">
        <v>78.260900000000007</v>
      </c>
      <c r="BX600">
        <v>20.12</v>
      </c>
      <c r="BY600" s="5">
        <v>5860114</v>
      </c>
      <c r="BZ600" s="6">
        <v>15558665</v>
      </c>
      <c r="CA600" s="7">
        <f t="shared" si="45"/>
        <v>2.6550106363118533</v>
      </c>
      <c r="CB600">
        <v>2112076</v>
      </c>
      <c r="CC600" s="8">
        <f t="shared" si="46"/>
        <v>7.3665270567915169</v>
      </c>
      <c r="CD600" s="8">
        <f t="shared" si="47"/>
        <v>2.7745753467204777</v>
      </c>
      <c r="CE600">
        <v>20273</v>
      </c>
      <c r="CF600" s="8">
        <f t="shared" si="48"/>
        <v>289.06003058254822</v>
      </c>
      <c r="CG600" s="8">
        <f t="shared" si="49"/>
        <v>767.45745572929513</v>
      </c>
      <c r="CH600">
        <v>98.982810000000001</v>
      </c>
    </row>
    <row r="601" spans="1:86" ht="15.5" x14ac:dyDescent="0.35">
      <c r="A601" t="s">
        <v>110</v>
      </c>
      <c r="B601">
        <v>2023</v>
      </c>
      <c r="C601" s="2">
        <v>56.892699999999998</v>
      </c>
      <c r="E601">
        <v>0.11899999999999999</v>
      </c>
      <c r="F601">
        <v>5.6951999999999998</v>
      </c>
      <c r="H601">
        <v>9</v>
      </c>
      <c r="I601" s="19">
        <v>124.854</v>
      </c>
      <c r="J601" s="19">
        <v>125.53</v>
      </c>
      <c r="K601" s="19">
        <v>6.0270000000000001</v>
      </c>
      <c r="L601" s="19">
        <v>77.358500000000006</v>
      </c>
      <c r="M601" s="19">
        <v>3092000000</v>
      </c>
      <c r="N601" s="19"/>
      <c r="P601">
        <v>32.2361</v>
      </c>
      <c r="Q601" s="19">
        <v>32673.257000000001</v>
      </c>
      <c r="R601" s="19">
        <v>25708.8691</v>
      </c>
      <c r="S601" s="19">
        <v>1.7088000000000001</v>
      </c>
      <c r="T601" s="19">
        <v>47868.385900000001</v>
      </c>
      <c r="U601" s="19">
        <v>53952.204700000002</v>
      </c>
      <c r="W601" s="19">
        <v>81.132099999999994</v>
      </c>
      <c r="X601">
        <v>89</v>
      </c>
      <c r="Y601">
        <v>89</v>
      </c>
      <c r="Z601">
        <v>95</v>
      </c>
      <c r="AA601">
        <v>1.8</v>
      </c>
      <c r="AB601">
        <v>90.4</v>
      </c>
      <c r="AC601">
        <v>81.977999999999994</v>
      </c>
      <c r="AE601">
        <v>3</v>
      </c>
      <c r="AI601">
        <v>2.2000000000000002</v>
      </c>
      <c r="AJ601">
        <v>2</v>
      </c>
      <c r="AK601">
        <v>2.4</v>
      </c>
      <c r="AL601" s="24">
        <v>63.9208</v>
      </c>
      <c r="AM601">
        <v>1.3</v>
      </c>
      <c r="AN601">
        <v>5339</v>
      </c>
      <c r="AV601" s="19">
        <v>75.829400000000007</v>
      </c>
      <c r="AY601" s="25">
        <v>5</v>
      </c>
      <c r="AZ601">
        <v>6</v>
      </c>
      <c r="BB601">
        <v>37.777799999999999</v>
      </c>
      <c r="BD601" s="19">
        <v>2.113</v>
      </c>
      <c r="BE601" s="19">
        <v>75</v>
      </c>
      <c r="BH601" s="20"/>
      <c r="BI601" s="20"/>
      <c r="BJ601" s="19">
        <v>82.547200000000004</v>
      </c>
      <c r="BN601">
        <v>7</v>
      </c>
      <c r="BO601">
        <v>7.27</v>
      </c>
      <c r="BQ601" s="19"/>
      <c r="BS601" s="20">
        <v>3.6520000000000001</v>
      </c>
      <c r="BT601" s="20">
        <v>3.6520000000000001</v>
      </c>
      <c r="BU601" s="20">
        <v>9.9809999999999999</v>
      </c>
      <c r="BV601" s="20">
        <v>9.8780000000000001</v>
      </c>
      <c r="BW601" s="19">
        <v>82.843100000000007</v>
      </c>
      <c r="BX601">
        <v>17.420000000000002</v>
      </c>
      <c r="BY601" s="5">
        <v>6185779</v>
      </c>
      <c r="BZ601" s="6">
        <v>16102802</v>
      </c>
      <c r="CA601" s="7">
        <f t="shared" si="45"/>
        <v>2.6031971074297999</v>
      </c>
      <c r="CB601">
        <v>2120461</v>
      </c>
      <c r="CC601" s="8">
        <f t="shared" si="46"/>
        <v>7.5940099817916957</v>
      </c>
      <c r="CD601" s="8">
        <f t="shared" si="47"/>
        <v>2.9171859326816199</v>
      </c>
      <c r="CE601">
        <v>20273</v>
      </c>
      <c r="CF601" s="8">
        <f t="shared" si="48"/>
        <v>305.12400730035023</v>
      </c>
      <c r="CG601" s="8">
        <f t="shared" si="49"/>
        <v>794.29793321166085</v>
      </c>
      <c r="CH601">
        <v>99.395859999999999</v>
      </c>
    </row>
    <row r="602" spans="1:86" ht="15.5" x14ac:dyDescent="0.35">
      <c r="A602" t="s">
        <v>111</v>
      </c>
      <c r="B602">
        <v>2000</v>
      </c>
      <c r="C602" s="2">
        <v>45.695500000000003</v>
      </c>
      <c r="D602">
        <v>518033.7</v>
      </c>
      <c r="E602">
        <v>0.1933</v>
      </c>
      <c r="F602">
        <v>7.7214</v>
      </c>
      <c r="G602">
        <v>385000</v>
      </c>
      <c r="H602">
        <v>10</v>
      </c>
      <c r="I602" s="19">
        <v>71.215000000000003</v>
      </c>
      <c r="J602" s="19">
        <v>72.459999999999994</v>
      </c>
      <c r="K602" s="19">
        <v>4.9669999999999996</v>
      </c>
      <c r="L602" s="19">
        <v>89.361699999999999</v>
      </c>
      <c r="M602" s="19">
        <v>-25347000000</v>
      </c>
      <c r="N602" s="19">
        <v>40.728700000000003</v>
      </c>
      <c r="O602">
        <v>15.647</v>
      </c>
      <c r="P602">
        <v>0.18609999999999999</v>
      </c>
      <c r="Q602" s="19">
        <v>14714.351000000001</v>
      </c>
      <c r="R602" s="19">
        <v>24106.881799999999</v>
      </c>
      <c r="S602" s="19">
        <v>4.7313000000000001</v>
      </c>
      <c r="T602" s="19">
        <v>39945.897100000002</v>
      </c>
      <c r="U602" s="19">
        <v>21577.597300000001</v>
      </c>
      <c r="V602">
        <v>34.1</v>
      </c>
      <c r="W602" s="19">
        <v>91.256799999999998</v>
      </c>
      <c r="X602">
        <v>95</v>
      </c>
      <c r="Y602">
        <v>77</v>
      </c>
      <c r="Z602">
        <v>94</v>
      </c>
      <c r="AA602">
        <v>4.4000000000000004</v>
      </c>
      <c r="AB602">
        <v>13.6</v>
      </c>
      <c r="AC602">
        <v>78.965900000000005</v>
      </c>
      <c r="AE602">
        <v>5</v>
      </c>
      <c r="AF602">
        <v>93.994200000000006</v>
      </c>
      <c r="AG602">
        <v>15.4</v>
      </c>
      <c r="AH602">
        <v>0.44</v>
      </c>
      <c r="AI602">
        <v>5.4</v>
      </c>
      <c r="AJ602">
        <v>4.9000000000000004</v>
      </c>
      <c r="AK602">
        <v>5.9</v>
      </c>
      <c r="AL602">
        <v>60.754100000000001</v>
      </c>
      <c r="AM602">
        <v>2.8</v>
      </c>
      <c r="AN602">
        <v>176269</v>
      </c>
      <c r="AO602">
        <v>0</v>
      </c>
      <c r="AP602">
        <v>100</v>
      </c>
      <c r="AQ602">
        <v>99.813400000000001</v>
      </c>
      <c r="AR602">
        <v>99.352000000000004</v>
      </c>
      <c r="AU602">
        <v>16.021799999999999</v>
      </c>
      <c r="AV602" s="19">
        <v>65.608500000000006</v>
      </c>
      <c r="AW602">
        <v>0.7</v>
      </c>
      <c r="AZ602">
        <v>6</v>
      </c>
      <c r="BA602">
        <v>90.854100000000003</v>
      </c>
      <c r="BB602">
        <v>28.285699999999999</v>
      </c>
      <c r="BC602">
        <v>4.8701999999999996</v>
      </c>
      <c r="BD602" s="19">
        <v>5.0529999999999999</v>
      </c>
      <c r="BE602" s="19">
        <v>88.043499999999995</v>
      </c>
      <c r="BF602">
        <v>16.947199999999999</v>
      </c>
      <c r="BG602">
        <v>7.9</v>
      </c>
      <c r="BH602" s="20">
        <v>0.88280000000000003</v>
      </c>
      <c r="BI602" s="20">
        <v>1874.0966000000001</v>
      </c>
      <c r="BJ602" s="19">
        <v>90.547300000000007</v>
      </c>
      <c r="BK602">
        <v>0.99299999999999999</v>
      </c>
      <c r="BL602">
        <v>1.0341</v>
      </c>
      <c r="BM602">
        <v>1.0674999999999999</v>
      </c>
      <c r="BN602">
        <v>6</v>
      </c>
      <c r="BO602">
        <v>11.114000000000001</v>
      </c>
      <c r="BP602">
        <v>8.5500000000000007</v>
      </c>
      <c r="BQ602" s="19">
        <v>108.5459</v>
      </c>
      <c r="BR602">
        <v>63.032800000000002</v>
      </c>
      <c r="BS602" s="20">
        <v>13.785</v>
      </c>
      <c r="BT602" s="20">
        <v>13.785</v>
      </c>
      <c r="BU602" s="20">
        <v>25.257999999999999</v>
      </c>
      <c r="BV602" s="20">
        <v>25.251000000000001</v>
      </c>
      <c r="BW602" s="19">
        <v>88.557199999999995</v>
      </c>
      <c r="BX602">
        <v>27.23</v>
      </c>
      <c r="BY602" s="6">
        <v>74408937</v>
      </c>
      <c r="BZ602" s="5">
        <v>344663935</v>
      </c>
      <c r="CA602" s="7">
        <f t="shared" si="45"/>
        <v>4.6320233683757639</v>
      </c>
      <c r="CB602">
        <v>40567864</v>
      </c>
      <c r="CC602" s="8">
        <f t="shared" si="46"/>
        <v>8.4959842845065747</v>
      </c>
      <c r="CD602" s="8">
        <f t="shared" si="47"/>
        <v>1.8341842449481689</v>
      </c>
      <c r="CE602">
        <v>498502</v>
      </c>
      <c r="CF602" s="8">
        <f t="shared" si="48"/>
        <v>149.26507215617991</v>
      </c>
      <c r="CG602" s="8">
        <f t="shared" si="49"/>
        <v>691.39930230971993</v>
      </c>
      <c r="CH602">
        <v>93.568759999999997</v>
      </c>
    </row>
    <row r="603" spans="1:86" ht="15.5" x14ac:dyDescent="0.35">
      <c r="A603" t="s">
        <v>111</v>
      </c>
      <c r="B603">
        <v>2001</v>
      </c>
      <c r="C603" s="2">
        <v>45.922600000000003</v>
      </c>
      <c r="D603">
        <v>519628.2</v>
      </c>
      <c r="E603">
        <v>0.18640000000000001</v>
      </c>
      <c r="F603">
        <v>7.6844999999999999</v>
      </c>
      <c r="G603">
        <v>382000</v>
      </c>
      <c r="H603">
        <v>10</v>
      </c>
      <c r="I603" s="19">
        <v>73.227000000000004</v>
      </c>
      <c r="J603" s="19">
        <v>74.28</v>
      </c>
      <c r="K603" s="19">
        <v>3.9790000000000001</v>
      </c>
      <c r="L603" s="19"/>
      <c r="M603" s="19">
        <v>-27093000000</v>
      </c>
      <c r="N603" s="19">
        <v>41.328499999999998</v>
      </c>
      <c r="O603">
        <v>17.501999999999999</v>
      </c>
      <c r="P603">
        <v>1.1313</v>
      </c>
      <c r="Q603" s="19">
        <v>15299.106</v>
      </c>
      <c r="R603" s="19">
        <v>24878.378400000001</v>
      </c>
      <c r="S603" s="19">
        <v>3.2002999999999999</v>
      </c>
      <c r="T603" s="19">
        <v>41224.292399999998</v>
      </c>
      <c r="U603" s="19">
        <v>22954.820500000002</v>
      </c>
      <c r="W603" s="19"/>
      <c r="X603">
        <v>96</v>
      </c>
      <c r="Y603">
        <v>83</v>
      </c>
      <c r="Z603">
        <v>96</v>
      </c>
      <c r="AA603">
        <v>4.2</v>
      </c>
      <c r="AB603">
        <v>18.100000000000001</v>
      </c>
      <c r="AC603">
        <v>79.368300000000005</v>
      </c>
      <c r="AE603">
        <v>5</v>
      </c>
      <c r="AF603">
        <v>94.100099999999998</v>
      </c>
      <c r="AG603">
        <v>14.4</v>
      </c>
      <c r="AH603">
        <v>0.48</v>
      </c>
      <c r="AI603">
        <v>5.3</v>
      </c>
      <c r="AJ603">
        <v>4.8</v>
      </c>
      <c r="AK603">
        <v>5.7</v>
      </c>
      <c r="AL603">
        <v>60.7727</v>
      </c>
      <c r="AM603">
        <v>2.8</v>
      </c>
      <c r="AN603">
        <v>181307</v>
      </c>
      <c r="AO603">
        <v>0</v>
      </c>
      <c r="AP603">
        <v>100</v>
      </c>
      <c r="AQ603">
        <v>99.813199999999995</v>
      </c>
      <c r="AR603">
        <v>99.352800000000002</v>
      </c>
      <c r="AU603">
        <v>15.8476</v>
      </c>
      <c r="AV603" s="19"/>
      <c r="AZ603">
        <v>6</v>
      </c>
      <c r="BA603">
        <v>90.853999999999999</v>
      </c>
      <c r="BB603">
        <v>28.285699999999999</v>
      </c>
      <c r="BC603">
        <v>4.8262</v>
      </c>
      <c r="BD603" s="19">
        <v>3.919</v>
      </c>
      <c r="BE603" s="19"/>
      <c r="BF603">
        <v>22.145399999999999</v>
      </c>
      <c r="BG603">
        <v>8.9</v>
      </c>
      <c r="BH603" s="20">
        <v>0.88829999999999998</v>
      </c>
      <c r="BI603" s="20">
        <v>1947.0436</v>
      </c>
      <c r="BJ603" s="19"/>
      <c r="BK603">
        <v>0.99250000000000005</v>
      </c>
      <c r="BL603">
        <v>1.0316000000000001</v>
      </c>
      <c r="BM603">
        <v>1.0633999999999999</v>
      </c>
      <c r="BN603">
        <v>6</v>
      </c>
      <c r="BO603">
        <v>10.866</v>
      </c>
      <c r="BP603">
        <v>8.02</v>
      </c>
      <c r="BQ603" s="19">
        <v>108.0827</v>
      </c>
      <c r="BR603">
        <v>71.008499999999998</v>
      </c>
      <c r="BS603" s="20">
        <v>10.348000000000001</v>
      </c>
      <c r="BT603" s="20">
        <v>10.348000000000001</v>
      </c>
      <c r="BU603" s="20">
        <v>20.72</v>
      </c>
      <c r="BV603" s="20">
        <v>20.699000000000002</v>
      </c>
      <c r="BW603" s="19"/>
      <c r="BX603">
        <v>24.68</v>
      </c>
      <c r="BY603" s="6">
        <v>74941665</v>
      </c>
      <c r="BZ603" s="5">
        <v>344928554</v>
      </c>
      <c r="CA603" s="7">
        <f t="shared" si="45"/>
        <v>4.6026273101885309</v>
      </c>
      <c r="CB603">
        <v>40850412</v>
      </c>
      <c r="CC603" s="8">
        <f t="shared" si="46"/>
        <v>8.4436982912191922</v>
      </c>
      <c r="CD603" s="8">
        <f t="shared" si="47"/>
        <v>1.8345387801719111</v>
      </c>
      <c r="CE603">
        <v>498502</v>
      </c>
      <c r="CF603" s="8">
        <f t="shared" si="48"/>
        <v>150.3337298546445</v>
      </c>
      <c r="CG603" s="8">
        <f t="shared" si="49"/>
        <v>691.93013067149184</v>
      </c>
      <c r="CH603">
        <v>93.864670000000004</v>
      </c>
    </row>
    <row r="604" spans="1:86" ht="15.5" x14ac:dyDescent="0.35">
      <c r="A604" t="s">
        <v>111</v>
      </c>
      <c r="B604">
        <v>2002</v>
      </c>
      <c r="C604" s="2">
        <v>45.969700000000003</v>
      </c>
      <c r="D604">
        <v>535552.69999999995</v>
      </c>
      <c r="E604">
        <v>0.1915</v>
      </c>
      <c r="F604">
        <v>7.9969000000000001</v>
      </c>
      <c r="G604">
        <v>401000</v>
      </c>
      <c r="H604">
        <v>10</v>
      </c>
      <c r="I604" s="19">
        <v>75.855999999999995</v>
      </c>
      <c r="J604" s="19">
        <v>77.260000000000005</v>
      </c>
      <c r="K604" s="19">
        <v>4.1139999999999999</v>
      </c>
      <c r="L604" s="19">
        <v>88.359800000000007</v>
      </c>
      <c r="M604" s="19">
        <v>-25936000000</v>
      </c>
      <c r="N604" s="19">
        <v>44.526699999999998</v>
      </c>
      <c r="O604">
        <v>18.131</v>
      </c>
      <c r="P604">
        <v>2.9876</v>
      </c>
      <c r="Q604" s="19">
        <v>16936.981</v>
      </c>
      <c r="R604" s="19">
        <v>25205.315500000001</v>
      </c>
      <c r="S604" s="19">
        <v>1.3141</v>
      </c>
      <c r="T604" s="19">
        <v>41766.037799999998</v>
      </c>
      <c r="U604" s="19">
        <v>24377.841700000001</v>
      </c>
      <c r="W604" s="19">
        <v>92.972999999999999</v>
      </c>
      <c r="X604">
        <v>98</v>
      </c>
      <c r="Y604">
        <v>82</v>
      </c>
      <c r="Z604">
        <v>97</v>
      </c>
      <c r="AA604">
        <v>4.0999999999999996</v>
      </c>
      <c r="AB604">
        <v>20.399999999999999</v>
      </c>
      <c r="AC604">
        <v>79.568299999999994</v>
      </c>
      <c r="AE604">
        <v>5</v>
      </c>
      <c r="AF604">
        <v>94.273799999999994</v>
      </c>
      <c r="AG604">
        <v>13.6</v>
      </c>
      <c r="AH604">
        <v>0.33</v>
      </c>
      <c r="AI604">
        <v>5.0999999999999996</v>
      </c>
      <c r="AJ604">
        <v>4.7</v>
      </c>
      <c r="AK604">
        <v>5.6</v>
      </c>
      <c r="AL604">
        <v>60.8658</v>
      </c>
      <c r="AM604">
        <v>2.7</v>
      </c>
      <c r="AN604">
        <v>737880</v>
      </c>
      <c r="AO604">
        <v>0</v>
      </c>
      <c r="AP604">
        <v>100</v>
      </c>
      <c r="AQ604">
        <v>99.820400000000006</v>
      </c>
      <c r="AR604">
        <v>99.387100000000004</v>
      </c>
      <c r="AU604">
        <v>15.564500000000001</v>
      </c>
      <c r="AV604" s="19">
        <v>62.963000000000001</v>
      </c>
      <c r="AZ604">
        <v>6</v>
      </c>
      <c r="BA604">
        <v>90.857399999999998</v>
      </c>
      <c r="BB604">
        <v>28.285699999999999</v>
      </c>
      <c r="BC604">
        <v>4.8494999999999999</v>
      </c>
      <c r="BD604" s="19">
        <v>2.7610000000000001</v>
      </c>
      <c r="BE604" s="19">
        <v>88.648700000000005</v>
      </c>
      <c r="BF604">
        <v>15.6015</v>
      </c>
      <c r="BG604">
        <v>7.4</v>
      </c>
      <c r="BH604" s="20">
        <v>0.9597</v>
      </c>
      <c r="BI604" s="20">
        <v>2014.3625</v>
      </c>
      <c r="BJ604" s="19">
        <v>86.5672</v>
      </c>
      <c r="BK604">
        <v>0.99119999999999997</v>
      </c>
      <c r="BL604">
        <v>1.0345</v>
      </c>
      <c r="BM604">
        <v>1.0707</v>
      </c>
      <c r="BN604">
        <v>6</v>
      </c>
      <c r="BO604">
        <v>11.481999999999999</v>
      </c>
      <c r="BP604">
        <v>8.33</v>
      </c>
      <c r="BQ604" s="19">
        <v>108.78449999999999</v>
      </c>
      <c r="BR604">
        <v>69.337699999999998</v>
      </c>
      <c r="BS604" s="20">
        <v>11.146000000000001</v>
      </c>
      <c r="BT604" s="20">
        <v>11.146000000000001</v>
      </c>
      <c r="BU604" s="20">
        <v>21.544</v>
      </c>
      <c r="BV604" s="20">
        <v>21.5</v>
      </c>
      <c r="BW604" s="19">
        <v>90.049800000000005</v>
      </c>
      <c r="BX604">
        <v>22.51</v>
      </c>
      <c r="BY604" s="6">
        <v>76128824</v>
      </c>
      <c r="BZ604" s="5">
        <v>338869378</v>
      </c>
      <c r="CA604" s="7">
        <f t="shared" si="45"/>
        <v>4.4512624810807537</v>
      </c>
      <c r="CB604">
        <v>41431558</v>
      </c>
      <c r="CC604" s="8">
        <f t="shared" si="46"/>
        <v>8.1790160534151291</v>
      </c>
      <c r="CD604" s="8">
        <f t="shared" si="47"/>
        <v>1.8374598416019017</v>
      </c>
      <c r="CE604">
        <v>498502</v>
      </c>
      <c r="CF604" s="8">
        <f t="shared" si="48"/>
        <v>152.71518268733124</v>
      </c>
      <c r="CG604" s="8">
        <f t="shared" si="49"/>
        <v>679.77536298751056</v>
      </c>
      <c r="CH604">
        <v>94.971500000000006</v>
      </c>
    </row>
    <row r="605" spans="1:86" ht="15.5" x14ac:dyDescent="0.35">
      <c r="A605" t="s">
        <v>111</v>
      </c>
      <c r="B605">
        <v>2003</v>
      </c>
      <c r="C605" s="2">
        <v>45.685899999999997</v>
      </c>
      <c r="D605">
        <v>566576</v>
      </c>
      <c r="E605">
        <v>0.19070000000000001</v>
      </c>
      <c r="F605">
        <v>8.0528999999999993</v>
      </c>
      <c r="G605">
        <v>409000</v>
      </c>
      <c r="H605">
        <v>10</v>
      </c>
      <c r="I605" s="19">
        <v>78.209999999999994</v>
      </c>
      <c r="J605" s="19">
        <v>79.34</v>
      </c>
      <c r="K605" s="19">
        <v>3.5779999999999998</v>
      </c>
      <c r="L605" s="19">
        <v>88.888900000000007</v>
      </c>
      <c r="M605" s="19">
        <v>-34689000000</v>
      </c>
      <c r="N605" s="19">
        <v>55.317399999999999</v>
      </c>
      <c r="O605">
        <v>15.837</v>
      </c>
      <c r="P605">
        <v>4.992</v>
      </c>
      <c r="Q605" s="19">
        <v>21334.669000000002</v>
      </c>
      <c r="R605" s="19">
        <v>25481.165400000002</v>
      </c>
      <c r="S605" s="19">
        <v>1.0944</v>
      </c>
      <c r="T605" s="19">
        <v>42223.1302</v>
      </c>
      <c r="U605" s="19">
        <v>25060.5154</v>
      </c>
      <c r="V605">
        <v>31.8</v>
      </c>
      <c r="W605" s="19">
        <v>94.054100000000005</v>
      </c>
      <c r="X605">
        <v>98</v>
      </c>
      <c r="Y605">
        <v>81</v>
      </c>
      <c r="Z605">
        <v>98</v>
      </c>
      <c r="AA605">
        <v>4.0999999999999996</v>
      </c>
      <c r="AB605">
        <v>39.9</v>
      </c>
      <c r="AC605">
        <v>79.619500000000002</v>
      </c>
      <c r="AE605">
        <v>4</v>
      </c>
      <c r="AF605">
        <v>94.351100000000002</v>
      </c>
      <c r="AG605">
        <v>13.4</v>
      </c>
      <c r="AH605">
        <v>0.38</v>
      </c>
      <c r="AI605">
        <v>5</v>
      </c>
      <c r="AJ605">
        <v>4.5</v>
      </c>
      <c r="AK605">
        <v>5.5</v>
      </c>
      <c r="AL605">
        <v>60.939300000000003</v>
      </c>
      <c r="AM605">
        <v>2.6</v>
      </c>
      <c r="AN605">
        <v>658428</v>
      </c>
      <c r="AO605">
        <v>0</v>
      </c>
      <c r="AP605">
        <v>100</v>
      </c>
      <c r="AQ605">
        <v>99.827399999999997</v>
      </c>
      <c r="AR605">
        <v>99.4221</v>
      </c>
      <c r="AU605">
        <v>15.212199999999999</v>
      </c>
      <c r="AV605" s="19">
        <v>41.206000000000003</v>
      </c>
      <c r="AW605">
        <v>0.8</v>
      </c>
      <c r="AX605">
        <v>20.100000000000001</v>
      </c>
      <c r="AZ605">
        <v>6</v>
      </c>
      <c r="BA605">
        <v>90.860799999999998</v>
      </c>
      <c r="BB605">
        <v>28.285699999999999</v>
      </c>
      <c r="BC605">
        <v>5.3777999999999997</v>
      </c>
      <c r="BD605" s="19">
        <v>2.9369999999999998</v>
      </c>
      <c r="BE605" s="19">
        <v>87.567599999999999</v>
      </c>
      <c r="BF605">
        <v>22.698399999999999</v>
      </c>
      <c r="BG605">
        <v>8.9</v>
      </c>
      <c r="BH605" s="20">
        <v>1.0237000000000001</v>
      </c>
      <c r="BI605" s="20">
        <v>2195.1057000000001</v>
      </c>
      <c r="BJ605" s="19">
        <v>87.064700000000002</v>
      </c>
      <c r="BK605">
        <v>0.98960000000000004</v>
      </c>
      <c r="BL605">
        <v>1.0286</v>
      </c>
      <c r="BM605">
        <v>1.0617000000000001</v>
      </c>
      <c r="BN605">
        <v>6</v>
      </c>
      <c r="BO605">
        <v>11.686999999999999</v>
      </c>
      <c r="BP605">
        <v>8.4700000000000006</v>
      </c>
      <c r="BQ605" s="19">
        <v>108.3524</v>
      </c>
      <c r="BR605">
        <v>68.549700000000001</v>
      </c>
      <c r="BS605" s="20">
        <v>11.282999999999999</v>
      </c>
      <c r="BT605" s="20">
        <v>11.282999999999999</v>
      </c>
      <c r="BU605" s="20">
        <v>22.327999999999999</v>
      </c>
      <c r="BV605" s="20">
        <v>22.280999999999999</v>
      </c>
      <c r="BW605" s="19">
        <v>89.552199999999999</v>
      </c>
      <c r="BX605">
        <v>24</v>
      </c>
      <c r="BY605" s="6">
        <v>79897616</v>
      </c>
      <c r="BZ605" s="5">
        <v>342540544</v>
      </c>
      <c r="CA605" s="7">
        <f t="shared" si="45"/>
        <v>4.2872436143776804</v>
      </c>
      <c r="CB605">
        <v>42187645</v>
      </c>
      <c r="CC605" s="8">
        <f t="shared" si="46"/>
        <v>8.1194516546254238</v>
      </c>
      <c r="CD605" s="8">
        <f t="shared" si="47"/>
        <v>1.8938629070193418</v>
      </c>
      <c r="CE605">
        <v>498502</v>
      </c>
      <c r="CF605" s="8">
        <f t="shared" si="48"/>
        <v>160.27541714978074</v>
      </c>
      <c r="CG605" s="8">
        <f t="shared" si="49"/>
        <v>687.13975871711648</v>
      </c>
      <c r="CH605">
        <v>96.179010000000005</v>
      </c>
    </row>
    <row r="606" spans="1:86" ht="15.5" x14ac:dyDescent="0.35">
      <c r="A606" t="s">
        <v>111</v>
      </c>
      <c r="B606">
        <v>2004</v>
      </c>
      <c r="C606" s="2">
        <v>45.220700000000001</v>
      </c>
      <c r="D606">
        <v>594987.6</v>
      </c>
      <c r="E606">
        <v>0.19350000000000001</v>
      </c>
      <c r="F606">
        <v>8.2811000000000003</v>
      </c>
      <c r="G606">
        <v>424000</v>
      </c>
      <c r="H606">
        <v>10</v>
      </c>
      <c r="I606" s="19">
        <v>80.597999999999999</v>
      </c>
      <c r="J606" s="19">
        <v>81.94</v>
      </c>
      <c r="K606" s="19">
        <v>4.0730000000000004</v>
      </c>
      <c r="L606" s="19">
        <v>89.162599999999998</v>
      </c>
      <c r="M606" s="19">
        <v>-57932000000</v>
      </c>
      <c r="N606" s="19">
        <v>64.697100000000006</v>
      </c>
      <c r="O606">
        <v>18.986000000000001</v>
      </c>
      <c r="P606">
        <v>7.8673000000000002</v>
      </c>
      <c r="Q606" s="19">
        <v>24698.252</v>
      </c>
      <c r="R606" s="19">
        <v>25825.310700000002</v>
      </c>
      <c r="S606" s="19">
        <v>1.3506</v>
      </c>
      <c r="T606" s="19">
        <v>42793.390299999999</v>
      </c>
      <c r="U606" s="19">
        <v>26163.304599999999</v>
      </c>
      <c r="V606">
        <v>33.299999999999997</v>
      </c>
      <c r="W606" s="19">
        <v>88.557199999999995</v>
      </c>
      <c r="X606">
        <v>97</v>
      </c>
      <c r="Y606">
        <v>97</v>
      </c>
      <c r="Z606">
        <v>97</v>
      </c>
      <c r="AA606">
        <v>3.9</v>
      </c>
      <c r="AB606">
        <v>44</v>
      </c>
      <c r="AC606">
        <v>79.870699999999999</v>
      </c>
      <c r="AE606">
        <v>5</v>
      </c>
      <c r="AF606">
        <v>94.440799999999996</v>
      </c>
      <c r="AG606">
        <v>11.7</v>
      </c>
      <c r="AH606">
        <v>0.38</v>
      </c>
      <c r="AI606">
        <v>4.9000000000000004</v>
      </c>
      <c r="AJ606">
        <v>4.4000000000000004</v>
      </c>
      <c r="AK606">
        <v>5.3</v>
      </c>
      <c r="AL606">
        <v>60.9178</v>
      </c>
      <c r="AM606">
        <v>2.5</v>
      </c>
      <c r="AN606">
        <v>661158</v>
      </c>
      <c r="AO606">
        <v>0</v>
      </c>
      <c r="AP606">
        <v>100</v>
      </c>
      <c r="AQ606">
        <v>99.834500000000006</v>
      </c>
      <c r="AR606">
        <v>99.457400000000007</v>
      </c>
      <c r="AU606">
        <v>14.830500000000001</v>
      </c>
      <c r="AV606" s="19">
        <v>41.747599999999998</v>
      </c>
      <c r="AW606">
        <v>0.8</v>
      </c>
      <c r="AX606">
        <v>20.100000000000001</v>
      </c>
      <c r="AZ606">
        <v>6</v>
      </c>
      <c r="BA606">
        <v>90.864099999999993</v>
      </c>
      <c r="BB606">
        <v>36</v>
      </c>
      <c r="BC606">
        <v>5.4562999999999997</v>
      </c>
      <c r="BD606" s="19">
        <v>3.11</v>
      </c>
      <c r="BE606" s="19">
        <v>87.562200000000004</v>
      </c>
      <c r="BF606">
        <v>19.106300000000001</v>
      </c>
      <c r="BG606">
        <v>8</v>
      </c>
      <c r="BH606" s="20">
        <v>1.0408999999999999</v>
      </c>
      <c r="BI606" s="20">
        <v>2356.1840999999999</v>
      </c>
      <c r="BJ606" s="19">
        <v>85.096199999999996</v>
      </c>
      <c r="BK606">
        <v>0.99</v>
      </c>
      <c r="BL606">
        <v>1.0321</v>
      </c>
      <c r="BM606">
        <v>1.0680000000000001</v>
      </c>
      <c r="BN606">
        <v>6</v>
      </c>
      <c r="BO606">
        <v>11.766999999999999</v>
      </c>
      <c r="BP606">
        <v>8.4600000000000009</v>
      </c>
      <c r="BQ606" s="19">
        <v>107.0723</v>
      </c>
      <c r="BR606">
        <v>68.662000000000006</v>
      </c>
      <c r="BS606" s="20">
        <v>11.09</v>
      </c>
      <c r="BT606" s="20">
        <v>11.09</v>
      </c>
      <c r="BU606" s="20">
        <v>22.48</v>
      </c>
      <c r="BV606" s="20">
        <v>22.456</v>
      </c>
      <c r="BW606" s="19">
        <v>89.423100000000005</v>
      </c>
      <c r="BX606">
        <v>25.25</v>
      </c>
      <c r="BY606" s="6">
        <v>83734765</v>
      </c>
      <c r="BZ606" s="5">
        <v>344269394</v>
      </c>
      <c r="CA606" s="7">
        <f t="shared" si="45"/>
        <v>4.1114272429139795</v>
      </c>
      <c r="CB606">
        <v>42921895</v>
      </c>
      <c r="CC606" s="8">
        <f t="shared" si="46"/>
        <v>8.0208339822834009</v>
      </c>
      <c r="CD606" s="8">
        <f t="shared" si="47"/>
        <v>1.9508636559499528</v>
      </c>
      <c r="CE606">
        <v>498502</v>
      </c>
      <c r="CF606" s="8">
        <f t="shared" si="48"/>
        <v>167.97277643820888</v>
      </c>
      <c r="CG606" s="8">
        <f t="shared" si="49"/>
        <v>690.60784911595135</v>
      </c>
      <c r="CH606">
        <v>97.086609999999993</v>
      </c>
    </row>
    <row r="607" spans="1:86" ht="15.5" x14ac:dyDescent="0.35">
      <c r="A607" t="s">
        <v>111</v>
      </c>
      <c r="B607">
        <v>2005</v>
      </c>
      <c r="C607" s="2">
        <v>45.036000000000001</v>
      </c>
      <c r="D607">
        <v>613331.69999999995</v>
      </c>
      <c r="E607">
        <v>0.1948</v>
      </c>
      <c r="F607">
        <v>8.4856999999999996</v>
      </c>
      <c r="G607">
        <v>438000</v>
      </c>
      <c r="H607">
        <v>10</v>
      </c>
      <c r="I607" s="19">
        <v>83.325999999999993</v>
      </c>
      <c r="J607" s="19">
        <v>84.99</v>
      </c>
      <c r="K607" s="19">
        <v>3.875</v>
      </c>
      <c r="L607" s="19">
        <v>88.780500000000004</v>
      </c>
      <c r="M607" s="19">
        <v>-83124000000</v>
      </c>
      <c r="N607" s="19">
        <v>68.247399999999999</v>
      </c>
      <c r="O607">
        <v>21.483000000000001</v>
      </c>
      <c r="P607">
        <v>11.4543</v>
      </c>
      <c r="Q607" s="19">
        <v>26251.002</v>
      </c>
      <c r="R607" s="19">
        <v>26294.447400000001</v>
      </c>
      <c r="S607" s="19">
        <v>1.8166</v>
      </c>
      <c r="T607" s="19">
        <v>43570.765200000002</v>
      </c>
      <c r="U607" s="19">
        <v>27629.707699999999</v>
      </c>
      <c r="V607">
        <v>32.4</v>
      </c>
      <c r="W607" s="19">
        <v>89.7059</v>
      </c>
      <c r="X607">
        <v>96</v>
      </c>
      <c r="Y607">
        <v>96</v>
      </c>
      <c r="Z607">
        <v>97</v>
      </c>
      <c r="AA607">
        <v>3.8</v>
      </c>
      <c r="AB607">
        <v>47.9</v>
      </c>
      <c r="AC607">
        <v>80.170699999999997</v>
      </c>
      <c r="AE607">
        <v>5</v>
      </c>
      <c r="AF607">
        <v>95.221800000000002</v>
      </c>
      <c r="AG607">
        <v>10.6</v>
      </c>
      <c r="AH607">
        <v>0.61</v>
      </c>
      <c r="AI607">
        <v>4.7</v>
      </c>
      <c r="AJ607">
        <v>4.3</v>
      </c>
      <c r="AK607">
        <v>5.0999999999999996</v>
      </c>
      <c r="AL607">
        <v>61.240900000000003</v>
      </c>
      <c r="AM607">
        <v>2.4</v>
      </c>
      <c r="AN607">
        <v>629803</v>
      </c>
      <c r="AO607">
        <v>0</v>
      </c>
      <c r="AP607">
        <v>100</v>
      </c>
      <c r="AQ607">
        <v>99.8416</v>
      </c>
      <c r="AR607">
        <v>99.492800000000003</v>
      </c>
      <c r="AU607">
        <v>14.459</v>
      </c>
      <c r="AV607" s="19">
        <v>53.398099999999999</v>
      </c>
      <c r="AW607">
        <v>0.7</v>
      </c>
      <c r="AX607">
        <v>20.3</v>
      </c>
      <c r="AZ607">
        <v>6</v>
      </c>
      <c r="BA607">
        <v>90.706299999999999</v>
      </c>
      <c r="BB607">
        <v>36</v>
      </c>
      <c r="BC607">
        <v>5.5404</v>
      </c>
      <c r="BD607" s="19">
        <v>3.552</v>
      </c>
      <c r="BE607" s="19">
        <v>88.235299999999995</v>
      </c>
      <c r="BF607">
        <v>15.948600000000001</v>
      </c>
      <c r="BG607">
        <v>7.3</v>
      </c>
      <c r="BH607" s="20">
        <v>1.0995999999999999</v>
      </c>
      <c r="BI607" s="20">
        <v>2516.1981999999998</v>
      </c>
      <c r="BJ607" s="19">
        <v>85.645899999999997</v>
      </c>
      <c r="BK607">
        <v>0.98670000000000002</v>
      </c>
      <c r="BL607">
        <v>1.0297000000000001</v>
      </c>
      <c r="BM607">
        <v>1.0654999999999999</v>
      </c>
      <c r="BN607">
        <v>6</v>
      </c>
      <c r="BO607">
        <v>12.96</v>
      </c>
      <c r="BP607">
        <v>8.01</v>
      </c>
      <c r="BQ607" s="19">
        <v>104.85129999999999</v>
      </c>
      <c r="BR607">
        <v>73.360100000000003</v>
      </c>
      <c r="BS607" s="20">
        <v>9.1460000000000008</v>
      </c>
      <c r="BT607" s="20">
        <v>9.1460000000000008</v>
      </c>
      <c r="BU607" s="20">
        <v>19.641999999999999</v>
      </c>
      <c r="BV607" s="20">
        <v>19.63</v>
      </c>
      <c r="BW607" s="19">
        <v>84.134600000000006</v>
      </c>
      <c r="BX607">
        <v>24.18</v>
      </c>
      <c r="BY607" s="6">
        <v>87559070</v>
      </c>
      <c r="BZ607" s="5">
        <v>353392408</v>
      </c>
      <c r="CA607" s="7">
        <f t="shared" si="45"/>
        <v>4.0360457003483479</v>
      </c>
      <c r="CB607">
        <v>43653155</v>
      </c>
      <c r="CC607" s="8">
        <f t="shared" si="46"/>
        <v>8.0954608664597103</v>
      </c>
      <c r="CD607" s="8">
        <f t="shared" si="47"/>
        <v>2.0057901885900344</v>
      </c>
      <c r="CE607">
        <v>498502</v>
      </c>
      <c r="CF607" s="8">
        <f t="shared" si="48"/>
        <v>175.64437053412021</v>
      </c>
      <c r="CG607" s="8">
        <f t="shared" si="49"/>
        <v>708.90870648462794</v>
      </c>
      <c r="CH607">
        <v>98.094650000000001</v>
      </c>
    </row>
    <row r="608" spans="1:86" ht="15.5" x14ac:dyDescent="0.35">
      <c r="A608" t="s">
        <v>111</v>
      </c>
      <c r="B608">
        <v>2006</v>
      </c>
      <c r="C608" s="2">
        <v>45.093800000000002</v>
      </c>
      <c r="D608">
        <v>617000.69999999995</v>
      </c>
      <c r="E608">
        <v>0.1827</v>
      </c>
      <c r="F608">
        <v>8.1428999999999991</v>
      </c>
      <c r="G608">
        <v>430000</v>
      </c>
      <c r="H608">
        <v>10</v>
      </c>
      <c r="I608" s="19">
        <v>86.293000000000006</v>
      </c>
      <c r="J608" s="19">
        <v>87.3</v>
      </c>
      <c r="K608" s="19">
        <v>3.7789999999999999</v>
      </c>
      <c r="L608" s="19">
        <v>84.878100000000003</v>
      </c>
      <c r="M608" s="19">
        <v>-111001000000</v>
      </c>
      <c r="N608" s="19">
        <v>75.712599999999995</v>
      </c>
      <c r="O608">
        <v>22.984000000000002</v>
      </c>
      <c r="P608">
        <v>15.0778</v>
      </c>
      <c r="Q608" s="19">
        <v>28177.362000000001</v>
      </c>
      <c r="R608" s="19">
        <v>26899.092199999999</v>
      </c>
      <c r="S608" s="19">
        <v>2.2995000000000001</v>
      </c>
      <c r="T608" s="19">
        <v>44572.681600000004</v>
      </c>
      <c r="U608" s="19">
        <v>30755.2988</v>
      </c>
      <c r="V608">
        <v>33.5</v>
      </c>
      <c r="W608" s="19">
        <v>77.0732</v>
      </c>
      <c r="X608">
        <v>98</v>
      </c>
      <c r="Y608">
        <v>97</v>
      </c>
      <c r="Z608">
        <v>97</v>
      </c>
      <c r="AA608">
        <v>3.7</v>
      </c>
      <c r="AB608">
        <v>50.4</v>
      </c>
      <c r="AC608">
        <v>80.822000000000003</v>
      </c>
      <c r="AE608">
        <v>4</v>
      </c>
      <c r="AF608">
        <v>95.339299999999994</v>
      </c>
      <c r="AG608">
        <v>9.6</v>
      </c>
      <c r="AH608">
        <v>0.53</v>
      </c>
      <c r="AI608">
        <v>4.5</v>
      </c>
      <c r="AJ608">
        <v>4.0999999999999996</v>
      </c>
      <c r="AK608">
        <v>4.9000000000000004</v>
      </c>
      <c r="AL608">
        <v>61.704599999999999</v>
      </c>
      <c r="AM608">
        <v>2.2999999999999998</v>
      </c>
      <c r="AN608">
        <v>659720</v>
      </c>
      <c r="AO608">
        <v>0</v>
      </c>
      <c r="AP608">
        <v>100</v>
      </c>
      <c r="AQ608">
        <v>99.848699999999994</v>
      </c>
      <c r="AR608">
        <v>99.528300000000002</v>
      </c>
      <c r="AU608">
        <v>14.022</v>
      </c>
      <c r="AV608" s="19">
        <v>41.062800000000003</v>
      </c>
      <c r="AW608">
        <v>0.8</v>
      </c>
      <c r="AX608">
        <v>19.7</v>
      </c>
      <c r="AZ608">
        <v>6</v>
      </c>
      <c r="BA608">
        <v>90.547399999999996</v>
      </c>
      <c r="BB608">
        <v>36</v>
      </c>
      <c r="BC608">
        <v>5.6447000000000003</v>
      </c>
      <c r="BD608" s="19">
        <v>4.0460000000000003</v>
      </c>
      <c r="BE608" s="19">
        <v>84.803899999999999</v>
      </c>
      <c r="BF608">
        <v>18.709399999999999</v>
      </c>
      <c r="BG608">
        <v>8.5</v>
      </c>
      <c r="BH608" s="20">
        <v>1.177</v>
      </c>
      <c r="BI608" s="20">
        <v>2613.2406999999998</v>
      </c>
      <c r="BJ608" s="19">
        <v>87.081299999999999</v>
      </c>
      <c r="BK608">
        <v>0.98580000000000001</v>
      </c>
      <c r="BL608">
        <v>1.0281</v>
      </c>
      <c r="BM608">
        <v>1.0637000000000001</v>
      </c>
      <c r="BN608">
        <v>6</v>
      </c>
      <c r="BO608">
        <v>11.118</v>
      </c>
      <c r="BP608">
        <v>7.52</v>
      </c>
      <c r="BQ608" s="19">
        <v>103.8186</v>
      </c>
      <c r="BR608">
        <v>75.617900000000006</v>
      </c>
      <c r="BS608" s="20">
        <v>8.452</v>
      </c>
      <c r="BT608" s="20">
        <v>8.452</v>
      </c>
      <c r="BU608" s="20">
        <v>17.885999999999999</v>
      </c>
      <c r="BV608" s="20">
        <v>17.891999999999999</v>
      </c>
      <c r="BW608" s="19">
        <v>85.576899999999995</v>
      </c>
      <c r="BX608">
        <v>24.43</v>
      </c>
      <c r="BY608" s="6">
        <v>99890611</v>
      </c>
      <c r="BZ608" s="5">
        <v>379275542</v>
      </c>
      <c r="CA608" s="7">
        <f t="shared" si="45"/>
        <v>3.796908820589755</v>
      </c>
      <c r="CB608">
        <v>44397319</v>
      </c>
      <c r="CC608" s="8">
        <f t="shared" si="46"/>
        <v>8.5427577732790585</v>
      </c>
      <c r="CD608" s="8">
        <f t="shared" si="47"/>
        <v>2.2499243929571513</v>
      </c>
      <c r="CE608">
        <v>498502</v>
      </c>
      <c r="CF608" s="8">
        <f t="shared" si="48"/>
        <v>200.38156516924707</v>
      </c>
      <c r="CG608" s="8">
        <f t="shared" si="49"/>
        <v>760.83053227469497</v>
      </c>
      <c r="CH608">
        <v>99.401669999999996</v>
      </c>
    </row>
    <row r="609" spans="1:86" ht="15.5" x14ac:dyDescent="0.35">
      <c r="A609" t="s">
        <v>111</v>
      </c>
      <c r="B609">
        <v>2007</v>
      </c>
      <c r="C609" s="2">
        <v>44.9846</v>
      </c>
      <c r="D609">
        <v>633531.69999999995</v>
      </c>
      <c r="E609">
        <v>0.18290000000000001</v>
      </c>
      <c r="F609">
        <v>8.2845999999999993</v>
      </c>
      <c r="G609">
        <v>442000</v>
      </c>
      <c r="H609">
        <v>10</v>
      </c>
      <c r="I609" s="19">
        <v>88.747</v>
      </c>
      <c r="J609" s="19">
        <v>91.04</v>
      </c>
      <c r="K609" s="19">
        <v>5.1950000000000003</v>
      </c>
      <c r="L609" s="19">
        <v>83.009699999999995</v>
      </c>
      <c r="M609" s="19">
        <v>-138104000000</v>
      </c>
      <c r="N609" s="19">
        <v>89.734700000000004</v>
      </c>
      <c r="O609">
        <v>23.228000000000002</v>
      </c>
      <c r="P609">
        <v>17.698599999999999</v>
      </c>
      <c r="Q609" s="19">
        <v>32339.713</v>
      </c>
      <c r="R609" s="19">
        <v>27338.795399999999</v>
      </c>
      <c r="S609" s="19">
        <v>1.6346000000000001</v>
      </c>
      <c r="T609" s="19">
        <v>45301.284299999999</v>
      </c>
      <c r="U609" s="19">
        <v>32537.343499999999</v>
      </c>
      <c r="V609">
        <v>34.1</v>
      </c>
      <c r="W609" s="19">
        <v>80.097099999999998</v>
      </c>
      <c r="X609">
        <v>96</v>
      </c>
      <c r="Y609">
        <v>96</v>
      </c>
      <c r="Z609">
        <v>97</v>
      </c>
      <c r="AA609">
        <v>3.6</v>
      </c>
      <c r="AB609">
        <v>55.1</v>
      </c>
      <c r="AC609">
        <v>80.873199999999997</v>
      </c>
      <c r="AE609">
        <v>4</v>
      </c>
      <c r="AF609">
        <v>95.431600000000003</v>
      </c>
      <c r="AG609">
        <v>8.6999999999999993</v>
      </c>
      <c r="AH609">
        <v>0.42</v>
      </c>
      <c r="AI609">
        <v>4.4000000000000004</v>
      </c>
      <c r="AJ609">
        <v>4</v>
      </c>
      <c r="AK609">
        <v>4.7</v>
      </c>
      <c r="AL609">
        <v>61.876199999999997</v>
      </c>
      <c r="AM609">
        <v>2.2000000000000002</v>
      </c>
      <c r="AN609">
        <v>772317</v>
      </c>
      <c r="AO609">
        <v>0</v>
      </c>
      <c r="AP609">
        <v>100</v>
      </c>
      <c r="AQ609">
        <v>99.855900000000005</v>
      </c>
      <c r="AR609">
        <v>99.564099999999996</v>
      </c>
      <c r="AU609">
        <v>13.490600000000001</v>
      </c>
      <c r="AV609" s="19">
        <v>35.748800000000003</v>
      </c>
      <c r="AW609">
        <v>0.4</v>
      </c>
      <c r="AX609">
        <v>19.8</v>
      </c>
      <c r="AZ609">
        <v>6</v>
      </c>
      <c r="BA609">
        <v>90.472700000000003</v>
      </c>
      <c r="BB609">
        <v>36.571399999999997</v>
      </c>
      <c r="BC609">
        <v>5.7253999999999996</v>
      </c>
      <c r="BD609" s="19">
        <v>3.5329999999999999</v>
      </c>
      <c r="BE609" s="19">
        <v>86.407799999999995</v>
      </c>
      <c r="BF609">
        <v>20.161100000000001</v>
      </c>
      <c r="BG609">
        <v>9</v>
      </c>
      <c r="BH609" s="20">
        <v>1.2404999999999999</v>
      </c>
      <c r="BI609" s="20">
        <v>2720.2219</v>
      </c>
      <c r="BJ609" s="19">
        <v>86.124399999999994</v>
      </c>
      <c r="BK609">
        <v>0.98870000000000002</v>
      </c>
      <c r="BL609">
        <v>1.0306999999999999</v>
      </c>
      <c r="BM609">
        <v>1.0669999999999999</v>
      </c>
      <c r="BN609">
        <v>6</v>
      </c>
      <c r="BO609">
        <v>10.85</v>
      </c>
      <c r="BP609">
        <v>7.38</v>
      </c>
      <c r="BQ609" s="19">
        <v>104.1122</v>
      </c>
      <c r="BR609">
        <v>75.757999999999996</v>
      </c>
      <c r="BS609" s="20">
        <v>8.2319999999999993</v>
      </c>
      <c r="BT609" s="20">
        <v>8.2319999999999993</v>
      </c>
      <c r="BU609" s="20">
        <v>18.087</v>
      </c>
      <c r="BV609" s="20">
        <v>18.088999999999999</v>
      </c>
      <c r="BW609" s="19">
        <v>87.019199999999998</v>
      </c>
      <c r="BX609">
        <v>26.6</v>
      </c>
      <c r="BY609" s="6">
        <v>101781393</v>
      </c>
      <c r="BZ609" s="5">
        <v>381912458</v>
      </c>
      <c r="CA609" s="7">
        <f t="shared" si="45"/>
        <v>3.7522816965179482</v>
      </c>
      <c r="CB609">
        <v>45226803</v>
      </c>
      <c r="CC609" s="8">
        <f t="shared" si="46"/>
        <v>8.44438325653927</v>
      </c>
      <c r="CD609" s="8">
        <f t="shared" si="47"/>
        <v>2.2504662334854841</v>
      </c>
      <c r="CE609">
        <v>498502</v>
      </c>
      <c r="CF609" s="8">
        <f t="shared" si="48"/>
        <v>204.17449278037</v>
      </c>
      <c r="CG609" s="8">
        <f t="shared" si="49"/>
        <v>766.12021215561822</v>
      </c>
      <c r="CH609">
        <v>99.893990000000002</v>
      </c>
    </row>
    <row r="610" spans="1:86" ht="15.5" x14ac:dyDescent="0.35">
      <c r="A610" t="s">
        <v>111</v>
      </c>
      <c r="B610">
        <v>2008</v>
      </c>
      <c r="C610" s="2">
        <v>45.198799999999999</v>
      </c>
      <c r="D610">
        <v>602875.69999999995</v>
      </c>
      <c r="E610">
        <v>0.16619999999999999</v>
      </c>
      <c r="F610">
        <v>7.4660000000000002</v>
      </c>
      <c r="G610">
        <v>407000</v>
      </c>
      <c r="H610">
        <v>10</v>
      </c>
      <c r="I610" s="19">
        <v>92.412999999999997</v>
      </c>
      <c r="J610" s="19">
        <v>92.36</v>
      </c>
      <c r="K610" s="19">
        <v>4.5810000000000004</v>
      </c>
      <c r="L610" s="19">
        <v>83.495099999999994</v>
      </c>
      <c r="M610" s="19">
        <v>-143820000000</v>
      </c>
      <c r="N610" s="19">
        <v>99.723500000000001</v>
      </c>
      <c r="O610">
        <v>24.466999999999999</v>
      </c>
      <c r="P610">
        <v>19.759799999999998</v>
      </c>
      <c r="Q610" s="19">
        <v>35379.800999999999</v>
      </c>
      <c r="R610" s="19">
        <v>27112.526300000001</v>
      </c>
      <c r="S610" s="19">
        <v>-0.8276</v>
      </c>
      <c r="T610" s="19">
        <v>44926.349000000002</v>
      </c>
      <c r="U610" s="19">
        <v>33349.942600000002</v>
      </c>
      <c r="V610">
        <v>34.200000000000003</v>
      </c>
      <c r="W610" s="19">
        <v>78.640799999999999</v>
      </c>
      <c r="X610">
        <v>97</v>
      </c>
      <c r="Y610">
        <v>97</v>
      </c>
      <c r="Z610">
        <v>98</v>
      </c>
      <c r="AA610">
        <v>3.4</v>
      </c>
      <c r="AB610">
        <v>59.6</v>
      </c>
      <c r="AC610">
        <v>81.175600000000003</v>
      </c>
      <c r="AE610">
        <v>4</v>
      </c>
      <c r="AF610">
        <v>95.676000000000002</v>
      </c>
      <c r="AG610">
        <v>6.9</v>
      </c>
      <c r="AH610">
        <v>0.63</v>
      </c>
      <c r="AI610">
        <v>4.2</v>
      </c>
      <c r="AJ610">
        <v>3.8</v>
      </c>
      <c r="AK610">
        <v>4.5</v>
      </c>
      <c r="AL610">
        <v>61.8795</v>
      </c>
      <c r="AM610">
        <v>2.2000000000000002</v>
      </c>
      <c r="AN610">
        <v>434135</v>
      </c>
      <c r="AO610">
        <v>0</v>
      </c>
      <c r="AP610">
        <v>100</v>
      </c>
      <c r="AQ610">
        <v>99.863</v>
      </c>
      <c r="AR610">
        <v>99.600099999999998</v>
      </c>
      <c r="AU610">
        <v>12.9747</v>
      </c>
      <c r="AV610" s="19">
        <v>30.288499999999999</v>
      </c>
      <c r="AW610">
        <v>0.5</v>
      </c>
      <c r="AX610">
        <v>20.399999999999999</v>
      </c>
      <c r="AZ610">
        <v>6</v>
      </c>
      <c r="BA610">
        <v>90.436899999999994</v>
      </c>
      <c r="BB610">
        <v>36.285699999999999</v>
      </c>
      <c r="BC610">
        <v>6.1429</v>
      </c>
      <c r="BD610" s="19">
        <v>0.76600000000000001</v>
      </c>
      <c r="BE610" s="19">
        <v>86.893199999999993</v>
      </c>
      <c r="BF610">
        <v>20.6921</v>
      </c>
      <c r="BG610">
        <v>9.6999999999999993</v>
      </c>
      <c r="BH610" s="20">
        <v>1.325</v>
      </c>
      <c r="BI610" s="20">
        <v>2850.3598999999999</v>
      </c>
      <c r="BJ610" s="19">
        <v>86.057699999999997</v>
      </c>
      <c r="BK610">
        <v>0.99070000000000003</v>
      </c>
      <c r="BL610">
        <v>1.0286</v>
      </c>
      <c r="BM610">
        <v>1.0625</v>
      </c>
      <c r="BN610">
        <v>6</v>
      </c>
      <c r="BO610">
        <v>13.243</v>
      </c>
      <c r="BP610">
        <v>7.78</v>
      </c>
      <c r="BQ610" s="19">
        <v>100.7473</v>
      </c>
      <c r="BR610">
        <v>66.932100000000005</v>
      </c>
      <c r="BS610" s="20">
        <v>11.254</v>
      </c>
      <c r="BT610" s="20">
        <v>11.255000000000001</v>
      </c>
      <c r="BU610" s="20">
        <v>24.443000000000001</v>
      </c>
      <c r="BV610" s="20">
        <v>24.452000000000002</v>
      </c>
      <c r="BW610" s="19">
        <v>87.5</v>
      </c>
      <c r="BX610">
        <v>23.86</v>
      </c>
      <c r="BY610" s="6">
        <v>100147418</v>
      </c>
      <c r="BZ610" s="5">
        <v>375693309</v>
      </c>
      <c r="CA610" s="7">
        <f t="shared" si="45"/>
        <v>3.7514028469510818</v>
      </c>
      <c r="CB610">
        <v>45954106</v>
      </c>
      <c r="CC610" s="8">
        <f t="shared" si="46"/>
        <v>8.17540241126658</v>
      </c>
      <c r="CD610" s="8">
        <f t="shared" si="47"/>
        <v>2.1792920528146058</v>
      </c>
      <c r="CE610">
        <v>498502</v>
      </c>
      <c r="CF610" s="8">
        <f t="shared" si="48"/>
        <v>200.89672258085224</v>
      </c>
      <c r="CG610" s="8">
        <f t="shared" si="49"/>
        <v>753.64453703295067</v>
      </c>
      <c r="CH610">
        <v>100.52251</v>
      </c>
    </row>
    <row r="611" spans="1:86" ht="15.5" x14ac:dyDescent="0.35">
      <c r="A611" t="s">
        <v>111</v>
      </c>
      <c r="B611">
        <v>2009</v>
      </c>
      <c r="C611" s="2">
        <v>45.849800000000002</v>
      </c>
      <c r="D611">
        <v>524843.6</v>
      </c>
      <c r="E611">
        <v>0.15290000000000001</v>
      </c>
      <c r="F611">
        <v>6.5521000000000003</v>
      </c>
      <c r="G611">
        <v>367000</v>
      </c>
      <c r="H611">
        <v>10</v>
      </c>
      <c r="I611" s="19">
        <v>92.191999999999993</v>
      </c>
      <c r="J611" s="19">
        <v>93.19</v>
      </c>
      <c r="K611" s="19">
        <v>3.16</v>
      </c>
      <c r="L611" s="19">
        <v>81.339699999999993</v>
      </c>
      <c r="M611" s="19">
        <v>-59448000000</v>
      </c>
      <c r="N611" s="19">
        <v>80.538300000000007</v>
      </c>
      <c r="O611">
        <v>25.062000000000001</v>
      </c>
      <c r="P611">
        <v>21.015499999999999</v>
      </c>
      <c r="Q611" s="19">
        <v>32158.985000000001</v>
      </c>
      <c r="R611" s="19">
        <v>25860.814299999998</v>
      </c>
      <c r="S611" s="19">
        <v>-4.6166999999999998</v>
      </c>
      <c r="T611" s="19">
        <v>42852.2209</v>
      </c>
      <c r="U611" s="19">
        <v>32201.4774</v>
      </c>
      <c r="V611">
        <v>34.9</v>
      </c>
      <c r="W611" s="19">
        <v>77.990399999999994</v>
      </c>
      <c r="X611">
        <v>96</v>
      </c>
      <c r="Y611">
        <v>96</v>
      </c>
      <c r="Z611">
        <v>98</v>
      </c>
      <c r="AA611">
        <v>3.3</v>
      </c>
      <c r="AB611">
        <v>62.4</v>
      </c>
      <c r="AC611">
        <v>81.4756</v>
      </c>
      <c r="AD611">
        <v>80.806100000000001</v>
      </c>
      <c r="AE611">
        <v>4</v>
      </c>
      <c r="AF611">
        <v>95.736699999999999</v>
      </c>
      <c r="AG611">
        <v>6</v>
      </c>
      <c r="AH611">
        <v>0.52</v>
      </c>
      <c r="AI611">
        <v>4</v>
      </c>
      <c r="AJ611">
        <v>3.7</v>
      </c>
      <c r="AK611">
        <v>4.3</v>
      </c>
      <c r="AL611">
        <v>61.426000000000002</v>
      </c>
      <c r="AM611">
        <v>2.1</v>
      </c>
      <c r="AN611">
        <v>129557</v>
      </c>
      <c r="AO611">
        <v>0</v>
      </c>
      <c r="AP611">
        <v>100</v>
      </c>
      <c r="AQ611">
        <v>99.870199999999997</v>
      </c>
      <c r="AR611">
        <v>99.6036</v>
      </c>
      <c r="AU611">
        <v>12.5844</v>
      </c>
      <c r="AV611" s="19">
        <v>30.331800000000001</v>
      </c>
      <c r="AW611">
        <v>0.8</v>
      </c>
      <c r="AX611">
        <v>20.7</v>
      </c>
      <c r="AZ611">
        <v>6</v>
      </c>
      <c r="BA611">
        <v>90.4011</v>
      </c>
      <c r="BB611">
        <v>36.571399999999997</v>
      </c>
      <c r="BC611">
        <v>6.8372999999999999</v>
      </c>
      <c r="BD611" s="19">
        <v>-3.7679999999999998</v>
      </c>
      <c r="BE611" s="19">
        <v>84.688999999999993</v>
      </c>
      <c r="BF611">
        <v>26.077999999999999</v>
      </c>
      <c r="BG611">
        <v>12.2</v>
      </c>
      <c r="BH611" s="20">
        <v>1.3635999999999999</v>
      </c>
      <c r="BI611" s="20">
        <v>2876.5146</v>
      </c>
      <c r="BJ611" s="19">
        <v>86.255899999999997</v>
      </c>
      <c r="BK611">
        <v>0.99160000000000004</v>
      </c>
      <c r="BL611">
        <v>1.0221</v>
      </c>
      <c r="BM611">
        <v>1.0498000000000001</v>
      </c>
      <c r="BN611">
        <v>6</v>
      </c>
      <c r="BO611">
        <v>17.399000000000001</v>
      </c>
      <c r="BP611">
        <v>7.64</v>
      </c>
      <c r="BQ611" s="19">
        <v>105.60339999999999</v>
      </c>
      <c r="BR611">
        <v>48.135399999999997</v>
      </c>
      <c r="BS611" s="20">
        <v>17.856999999999999</v>
      </c>
      <c r="BT611" s="20">
        <v>17.856999999999999</v>
      </c>
      <c r="BU611" s="20">
        <v>37.71</v>
      </c>
      <c r="BV611" s="20">
        <v>37.728999999999999</v>
      </c>
      <c r="BW611" s="19">
        <v>88.151700000000005</v>
      </c>
      <c r="BX611">
        <v>23.47</v>
      </c>
      <c r="BY611" s="6">
        <v>93674522</v>
      </c>
      <c r="BZ611" s="5">
        <v>348554453</v>
      </c>
      <c r="CA611" s="7">
        <f t="shared" si="45"/>
        <v>3.7209098649043546</v>
      </c>
      <c r="CB611">
        <v>46362946</v>
      </c>
      <c r="CC611" s="8">
        <f t="shared" si="46"/>
        <v>7.5179530869328275</v>
      </c>
      <c r="CD611" s="8">
        <f t="shared" si="47"/>
        <v>2.0204609517264065</v>
      </c>
      <c r="CE611">
        <v>498502</v>
      </c>
      <c r="CF611" s="8">
        <f t="shared" si="48"/>
        <v>187.91202843719785</v>
      </c>
      <c r="CG611" s="8">
        <f t="shared" si="49"/>
        <v>699.20372034615707</v>
      </c>
      <c r="CH611">
        <v>100.83645</v>
      </c>
    </row>
    <row r="612" spans="1:86" ht="15.5" x14ac:dyDescent="0.35">
      <c r="A612" t="s">
        <v>111</v>
      </c>
      <c r="B612">
        <v>2010</v>
      </c>
      <c r="C612" s="2">
        <v>46.657699999999998</v>
      </c>
      <c r="D612">
        <v>520557.7</v>
      </c>
      <c r="E612">
        <v>0.14649999999999999</v>
      </c>
      <c r="F612">
        <v>6.2530000000000001</v>
      </c>
      <c r="G612">
        <v>353000</v>
      </c>
      <c r="H612">
        <v>10</v>
      </c>
      <c r="I612" s="19">
        <v>94.075000000000003</v>
      </c>
      <c r="J612" s="19">
        <v>95.86</v>
      </c>
      <c r="K612" s="19">
        <v>4.1509999999999998</v>
      </c>
      <c r="L612" s="19">
        <v>83.8095</v>
      </c>
      <c r="M612" s="19">
        <v>-50852000000</v>
      </c>
      <c r="N612" s="19">
        <v>90.131500000000003</v>
      </c>
      <c r="O612">
        <v>24.045999999999999</v>
      </c>
      <c r="P612">
        <v>22.741800000000001</v>
      </c>
      <c r="Q612" s="19">
        <v>30624.423999999999</v>
      </c>
      <c r="R612" s="19">
        <v>25766.2516</v>
      </c>
      <c r="S612" s="19">
        <v>-0.36570000000000003</v>
      </c>
      <c r="T612" s="19">
        <v>42695.527399999999</v>
      </c>
      <c r="U612" s="19">
        <v>31808.218000000001</v>
      </c>
      <c r="V612">
        <v>35.200000000000003</v>
      </c>
      <c r="W612" s="19">
        <v>78.468900000000005</v>
      </c>
      <c r="X612">
        <v>97</v>
      </c>
      <c r="Y612">
        <v>97</v>
      </c>
      <c r="Z612">
        <v>95</v>
      </c>
      <c r="AA612">
        <v>3.2</v>
      </c>
      <c r="AB612">
        <v>65.8</v>
      </c>
      <c r="AC612">
        <v>81.626800000000003</v>
      </c>
      <c r="AD612">
        <v>81.525800000000004</v>
      </c>
      <c r="AE612">
        <v>4</v>
      </c>
      <c r="AF612">
        <v>96.579400000000007</v>
      </c>
      <c r="AG612">
        <v>5.4</v>
      </c>
      <c r="AH612">
        <v>0.49</v>
      </c>
      <c r="AI612">
        <v>3.8</v>
      </c>
      <c r="AJ612">
        <v>3.5</v>
      </c>
      <c r="AK612">
        <v>4.0999999999999996</v>
      </c>
      <c r="AL612">
        <v>61.235500000000002</v>
      </c>
      <c r="AM612">
        <v>2.1</v>
      </c>
      <c r="AN612">
        <v>69406</v>
      </c>
      <c r="AO612">
        <v>0</v>
      </c>
      <c r="AP612">
        <v>100</v>
      </c>
      <c r="AQ612">
        <v>99.877399999999994</v>
      </c>
      <c r="AR612">
        <v>99.606499999999997</v>
      </c>
      <c r="AU612">
        <v>12.4299</v>
      </c>
      <c r="AV612" s="19">
        <v>33.649299999999997</v>
      </c>
      <c r="AW612">
        <v>0.7</v>
      </c>
      <c r="AX612">
        <v>20.6</v>
      </c>
      <c r="AZ612">
        <v>6</v>
      </c>
      <c r="BA612">
        <v>90.364999999999995</v>
      </c>
      <c r="BB612">
        <v>36.571399999999997</v>
      </c>
      <c r="BC612">
        <v>6.7885999999999997</v>
      </c>
      <c r="BD612" s="19">
        <v>9.4E-2</v>
      </c>
      <c r="BE612" s="19">
        <v>84.210499999999996</v>
      </c>
      <c r="BF612">
        <v>33.490600000000001</v>
      </c>
      <c r="BG612">
        <v>14.4</v>
      </c>
      <c r="BH612" s="20">
        <v>1.36</v>
      </c>
      <c r="BI612" s="20">
        <v>2879.9976000000001</v>
      </c>
      <c r="BJ612" s="19">
        <v>85.781999999999996</v>
      </c>
      <c r="BK612">
        <v>0.99250000000000005</v>
      </c>
      <c r="BL612">
        <v>1.0105999999999999</v>
      </c>
      <c r="BM612">
        <v>1.0266999999999999</v>
      </c>
      <c r="BN612">
        <v>6</v>
      </c>
      <c r="BO612">
        <v>17.132000000000001</v>
      </c>
      <c r="BP612">
        <v>7.01</v>
      </c>
      <c r="BQ612" s="19">
        <v>102.11060000000001</v>
      </c>
      <c r="BR612">
        <v>42.648800000000001</v>
      </c>
      <c r="BS612" s="20">
        <v>19.86</v>
      </c>
      <c r="BT612" s="20">
        <v>19.86</v>
      </c>
      <c r="BU612" s="20">
        <v>41.453000000000003</v>
      </c>
      <c r="BV612" s="20">
        <v>41.481000000000002</v>
      </c>
      <c r="BW612" s="19">
        <v>85.308099999999996</v>
      </c>
      <c r="BX612">
        <v>23.78</v>
      </c>
      <c r="BY612" s="6">
        <v>98800631</v>
      </c>
      <c r="BZ612" s="5">
        <v>364863944</v>
      </c>
      <c r="CA612" s="7">
        <f t="shared" si="45"/>
        <v>3.6929313133637782</v>
      </c>
      <c r="CB612">
        <v>46576897</v>
      </c>
      <c r="CC612" s="8">
        <f t="shared" si="46"/>
        <v>7.8335820439047286</v>
      </c>
      <c r="CD612" s="8">
        <f t="shared" si="47"/>
        <v>2.1212368655644878</v>
      </c>
      <c r="CE612">
        <v>498502</v>
      </c>
      <c r="CF612" s="8">
        <f t="shared" si="48"/>
        <v>198.19505438293126</v>
      </c>
      <c r="CG612" s="8">
        <f t="shared" si="49"/>
        <v>731.92072248456373</v>
      </c>
      <c r="CH612">
        <v>100.78205</v>
      </c>
    </row>
    <row r="613" spans="1:86" ht="15.5" x14ac:dyDescent="0.35">
      <c r="A613" t="s">
        <v>111</v>
      </c>
      <c r="B613">
        <v>2011</v>
      </c>
      <c r="C613" s="2">
        <v>47.444000000000003</v>
      </c>
      <c r="D613">
        <v>502843</v>
      </c>
      <c r="E613">
        <v>0.1484</v>
      </c>
      <c r="F613">
        <v>6.2717999999999998</v>
      </c>
      <c r="G613">
        <v>353000</v>
      </c>
      <c r="H613">
        <v>10</v>
      </c>
      <c r="I613" s="19">
        <v>96.944000000000003</v>
      </c>
      <c r="J613" s="19">
        <v>98.11</v>
      </c>
      <c r="K613" s="19">
        <v>4.6689999999999996</v>
      </c>
      <c r="L613" s="19">
        <v>83.412300000000002</v>
      </c>
      <c r="M613" s="19">
        <v>-38872000000</v>
      </c>
      <c r="N613" s="19">
        <v>108.6006</v>
      </c>
      <c r="O613">
        <v>28.093</v>
      </c>
      <c r="P613">
        <v>23.7623</v>
      </c>
      <c r="Q613" s="19">
        <v>31767.697</v>
      </c>
      <c r="R613" s="19">
        <v>25510.558000000001</v>
      </c>
      <c r="S613" s="19">
        <v>-0.99239999999999995</v>
      </c>
      <c r="T613" s="19">
        <v>42271.834699999999</v>
      </c>
      <c r="U613" s="19">
        <v>32015.575199999999</v>
      </c>
      <c r="V613">
        <v>35.700000000000003</v>
      </c>
      <c r="W613" s="19">
        <v>78.199100000000001</v>
      </c>
      <c r="X613">
        <v>97</v>
      </c>
      <c r="Y613">
        <v>97</v>
      </c>
      <c r="Z613">
        <v>97</v>
      </c>
      <c r="AA613">
        <v>3</v>
      </c>
      <c r="AB613">
        <v>67.099999999999994</v>
      </c>
      <c r="AC613">
        <v>82.4756</v>
      </c>
      <c r="AE613">
        <v>4</v>
      </c>
      <c r="AF613">
        <v>96.813500000000005</v>
      </c>
      <c r="AG613">
        <v>4.7</v>
      </c>
      <c r="AH613">
        <v>0.43</v>
      </c>
      <c r="AI613">
        <v>3.7</v>
      </c>
      <c r="AJ613">
        <v>3.4</v>
      </c>
      <c r="AK613">
        <v>4</v>
      </c>
      <c r="AL613">
        <v>61.616900000000001</v>
      </c>
      <c r="AM613">
        <v>2.1</v>
      </c>
      <c r="AN613">
        <v>60761</v>
      </c>
      <c r="AO613">
        <v>0</v>
      </c>
      <c r="AP613">
        <v>100</v>
      </c>
      <c r="AQ613">
        <v>99.884699999999995</v>
      </c>
      <c r="AR613">
        <v>99.609300000000005</v>
      </c>
      <c r="AU613">
        <v>13.42</v>
      </c>
      <c r="AV613" s="19">
        <v>48.341200000000001</v>
      </c>
      <c r="AW613">
        <v>1.1000000000000001</v>
      </c>
      <c r="AX613">
        <v>20.8</v>
      </c>
      <c r="AZ613">
        <v>6</v>
      </c>
      <c r="BA613">
        <v>90.328800000000001</v>
      </c>
      <c r="BB613">
        <v>36</v>
      </c>
      <c r="BC613">
        <v>6.7370000000000001</v>
      </c>
      <c r="BD613" s="19">
        <v>-0.63800000000000001</v>
      </c>
      <c r="BE613" s="19">
        <v>81.042699999999996</v>
      </c>
      <c r="BF613">
        <v>30.5731</v>
      </c>
      <c r="BG613">
        <v>14.7</v>
      </c>
      <c r="BH613" s="20">
        <v>1.3333999999999999</v>
      </c>
      <c r="BI613" s="20">
        <v>2775.3020000000001</v>
      </c>
      <c r="BJ613" s="19">
        <v>85.445999999999998</v>
      </c>
      <c r="BK613">
        <v>0.99239999999999995</v>
      </c>
      <c r="BL613">
        <v>1.0039</v>
      </c>
      <c r="BM613">
        <v>1.0141</v>
      </c>
      <c r="BN613">
        <v>6</v>
      </c>
      <c r="BO613">
        <v>17.582000000000001</v>
      </c>
      <c r="BP613">
        <v>7.1</v>
      </c>
      <c r="BQ613" s="19">
        <v>97.872200000000007</v>
      </c>
      <c r="BR613">
        <v>37.032800000000002</v>
      </c>
      <c r="BS613" s="20">
        <v>21.39</v>
      </c>
      <c r="BT613" s="20">
        <v>21.390999999999998</v>
      </c>
      <c r="BU613" s="20">
        <v>46.158000000000001</v>
      </c>
      <c r="BV613" s="20">
        <v>46.191000000000003</v>
      </c>
      <c r="BW613" s="19">
        <v>83.098600000000005</v>
      </c>
      <c r="BX613">
        <v>26.22</v>
      </c>
      <c r="BY613" s="6">
        <v>103083343</v>
      </c>
      <c r="BZ613" s="5">
        <v>389858477</v>
      </c>
      <c r="CA613" s="7">
        <f t="shared" si="45"/>
        <v>3.7819735531859884</v>
      </c>
      <c r="CB613">
        <v>46742697</v>
      </c>
      <c r="CC613" s="8">
        <f t="shared" si="46"/>
        <v>8.3405216648068041</v>
      </c>
      <c r="CD613" s="8">
        <f t="shared" si="47"/>
        <v>2.2053357982317539</v>
      </c>
      <c r="CE613">
        <v>498502</v>
      </c>
      <c r="CF613" s="8">
        <f t="shared" si="48"/>
        <v>206.78621750765294</v>
      </c>
      <c r="CG613" s="8">
        <f t="shared" si="49"/>
        <v>782.06000577730879</v>
      </c>
      <c r="CH613">
        <v>101.02091</v>
      </c>
    </row>
    <row r="614" spans="1:86" ht="15.5" x14ac:dyDescent="0.35">
      <c r="A614" s="9" t="s">
        <v>111</v>
      </c>
      <c r="B614" s="9">
        <v>2012</v>
      </c>
      <c r="C614" s="10">
        <v>48.184399999999997</v>
      </c>
      <c r="D614" s="9">
        <v>481380.7</v>
      </c>
      <c r="E614" s="9">
        <v>0.1497</v>
      </c>
      <c r="F614" s="9">
        <v>6.1444999999999999</v>
      </c>
      <c r="G614" s="9">
        <v>346000</v>
      </c>
      <c r="H614" s="9">
        <v>10</v>
      </c>
      <c r="I614" s="21">
        <v>99.305999999999997</v>
      </c>
      <c r="J614" s="21">
        <v>101.06</v>
      </c>
      <c r="K614" s="21">
        <v>3.8420000000000001</v>
      </c>
      <c r="L614" s="21">
        <v>83.412300000000002</v>
      </c>
      <c r="M614" s="21">
        <v>2075000000.0000002</v>
      </c>
      <c r="N614" s="21">
        <v>104.5972</v>
      </c>
      <c r="O614" s="9">
        <v>27.971</v>
      </c>
      <c r="P614" s="9">
        <v>24.5107</v>
      </c>
      <c r="Q614" s="21">
        <v>28511.285</v>
      </c>
      <c r="R614" s="21">
        <v>24763.568299999999</v>
      </c>
      <c r="S614" s="21">
        <v>-2.9281999999999999</v>
      </c>
      <c r="T614" s="21">
        <v>41034.048199999997</v>
      </c>
      <c r="U614" s="21">
        <v>31869.784</v>
      </c>
      <c r="V614" s="9">
        <v>35.4</v>
      </c>
      <c r="W614" s="21">
        <v>81.516599999999997</v>
      </c>
      <c r="X614" s="9">
        <v>96</v>
      </c>
      <c r="Y614" s="9">
        <v>96</v>
      </c>
      <c r="Z614" s="9">
        <v>97</v>
      </c>
      <c r="AA614" s="9">
        <v>2.9</v>
      </c>
      <c r="AB614" s="9">
        <v>69.8</v>
      </c>
      <c r="AC614" s="9">
        <v>82.4268</v>
      </c>
      <c r="AD614" s="9"/>
      <c r="AE614" s="9">
        <v>4</v>
      </c>
      <c r="AF614" s="9">
        <v>96.898899999999998</v>
      </c>
      <c r="AG614" s="9">
        <v>4.3</v>
      </c>
      <c r="AH614" s="9">
        <v>0.44</v>
      </c>
      <c r="AI614" s="9">
        <v>3.6</v>
      </c>
      <c r="AJ614" s="9">
        <v>3.3</v>
      </c>
      <c r="AK614" s="9">
        <v>3.8</v>
      </c>
      <c r="AL614" s="9">
        <v>61.81</v>
      </c>
      <c r="AM614" s="9">
        <v>2.1</v>
      </c>
      <c r="AN614" s="9">
        <v>-153486</v>
      </c>
      <c r="AO614" s="9">
        <v>0</v>
      </c>
      <c r="AP614" s="9">
        <v>99.986199999999997</v>
      </c>
      <c r="AQ614" s="9">
        <v>99.891900000000007</v>
      </c>
      <c r="AR614" s="9">
        <v>99.598299999999995</v>
      </c>
      <c r="AS614" s="9"/>
      <c r="AT614" s="9"/>
      <c r="AU614" s="9">
        <v>12.0395</v>
      </c>
      <c r="AV614" s="21">
        <v>42.654000000000003</v>
      </c>
      <c r="AW614" s="9">
        <v>0.9</v>
      </c>
      <c r="AX614" s="9">
        <v>20.399999999999999</v>
      </c>
      <c r="AY614" s="9"/>
      <c r="AZ614" s="9">
        <v>6</v>
      </c>
      <c r="BA614" s="9">
        <v>90.292400000000001</v>
      </c>
      <c r="BB614" s="9">
        <v>36</v>
      </c>
      <c r="BC614" s="9">
        <v>6.6026999999999996</v>
      </c>
      <c r="BD614" s="21">
        <v>-2.8660000000000001</v>
      </c>
      <c r="BE614" s="21">
        <v>78.199100000000001</v>
      </c>
      <c r="BF614" s="9">
        <v>30.441099999999999</v>
      </c>
      <c r="BG614" s="9">
        <v>15.8</v>
      </c>
      <c r="BH614" s="22">
        <v>1.2988</v>
      </c>
      <c r="BI614" s="22">
        <v>2693.3996999999999</v>
      </c>
      <c r="BJ614" s="21">
        <v>83.098600000000005</v>
      </c>
      <c r="BK614" s="9">
        <v>0.99370000000000003</v>
      </c>
      <c r="BL614" s="9">
        <v>1.0014000000000001</v>
      </c>
      <c r="BM614" s="9">
        <v>1.0079</v>
      </c>
      <c r="BN614" s="9">
        <v>6</v>
      </c>
      <c r="BO614" s="9">
        <v>16.835999999999999</v>
      </c>
      <c r="BP614" s="9">
        <v>7.74</v>
      </c>
      <c r="BQ614" s="21">
        <v>96.583500000000001</v>
      </c>
      <c r="BR614" s="9">
        <v>27.485099999999999</v>
      </c>
      <c r="BS614" s="22">
        <v>24.789000000000001</v>
      </c>
      <c r="BT614" s="22">
        <v>24.789000000000001</v>
      </c>
      <c r="BU614" s="22">
        <v>52.829000000000001</v>
      </c>
      <c r="BV614" s="22">
        <v>52.856999999999999</v>
      </c>
      <c r="BW614" s="21">
        <v>82.159599999999998</v>
      </c>
      <c r="BX614" s="9">
        <v>27.19</v>
      </c>
      <c r="BY614" s="14">
        <v>100409178</v>
      </c>
      <c r="BZ614" s="5">
        <v>382670976</v>
      </c>
      <c r="CA614" s="7">
        <f t="shared" si="45"/>
        <v>3.8111155137630943</v>
      </c>
      <c r="CB614">
        <v>46773055</v>
      </c>
      <c r="CC614" s="8">
        <f t="shared" si="46"/>
        <v>8.1814407034135357</v>
      </c>
      <c r="CD614" s="8">
        <f t="shared" si="47"/>
        <v>2.1467312323302381</v>
      </c>
      <c r="CE614">
        <v>498502</v>
      </c>
      <c r="CF614" s="8">
        <f t="shared" si="48"/>
        <v>201.42181576001701</v>
      </c>
      <c r="CG614" s="8">
        <f t="shared" si="49"/>
        <v>767.64180685333258</v>
      </c>
      <c r="CH614" s="9">
        <v>100.95386000000001</v>
      </c>
    </row>
    <row r="615" spans="1:86" ht="15.5" x14ac:dyDescent="0.35">
      <c r="A615" t="s">
        <v>111</v>
      </c>
      <c r="B615">
        <v>2013</v>
      </c>
      <c r="C615" s="2">
        <v>49.082299999999996</v>
      </c>
      <c r="D615">
        <v>451546.5</v>
      </c>
      <c r="E615">
        <v>0.13769999999999999</v>
      </c>
      <c r="F615">
        <v>5.5898000000000003</v>
      </c>
      <c r="G615">
        <v>319000</v>
      </c>
      <c r="H615">
        <v>10</v>
      </c>
      <c r="I615" s="19">
        <v>100.825</v>
      </c>
      <c r="J615" s="19">
        <v>101.37</v>
      </c>
      <c r="K615" s="19">
        <v>3.1909999999999998</v>
      </c>
      <c r="L615" s="19">
        <v>79.620800000000003</v>
      </c>
      <c r="M615" s="19">
        <v>28348000000</v>
      </c>
      <c r="N615" s="19">
        <v>112.5493</v>
      </c>
      <c r="O615">
        <v>30.202000000000002</v>
      </c>
      <c r="P615">
        <v>26.145900000000001</v>
      </c>
      <c r="Q615" s="19">
        <v>29297.451000000001</v>
      </c>
      <c r="R615" s="19">
        <v>24490.227900000002</v>
      </c>
      <c r="S615" s="19">
        <v>-1.1037999999999999</v>
      </c>
      <c r="T615" s="19">
        <v>40581.114200000004</v>
      </c>
      <c r="U615" s="19">
        <v>32602.602500000001</v>
      </c>
      <c r="V615">
        <v>36.200000000000003</v>
      </c>
      <c r="W615" s="19">
        <v>82.938400000000001</v>
      </c>
      <c r="X615">
        <v>96</v>
      </c>
      <c r="Y615">
        <v>95</v>
      </c>
      <c r="Z615">
        <v>95</v>
      </c>
      <c r="AA615">
        <v>2.9</v>
      </c>
      <c r="AB615">
        <v>71.599999999999994</v>
      </c>
      <c r="AC615">
        <v>83.078000000000003</v>
      </c>
      <c r="AE615">
        <v>4</v>
      </c>
      <c r="AF615">
        <v>97.057699999999997</v>
      </c>
      <c r="AG615">
        <v>4</v>
      </c>
      <c r="AH615">
        <v>0.51</v>
      </c>
      <c r="AI615">
        <v>3.5</v>
      </c>
      <c r="AJ615">
        <v>3.2</v>
      </c>
      <c r="AK615">
        <v>3.7</v>
      </c>
      <c r="AL615">
        <v>61.884900000000002</v>
      </c>
      <c r="AM615">
        <v>2</v>
      </c>
      <c r="AN615">
        <v>-250741</v>
      </c>
      <c r="AO615">
        <v>0</v>
      </c>
      <c r="AP615">
        <v>99.956599999999995</v>
      </c>
      <c r="AQ615">
        <v>99.899199999999993</v>
      </c>
      <c r="AR615">
        <v>99.571700000000007</v>
      </c>
      <c r="AU615">
        <v>11.2506</v>
      </c>
      <c r="AV615" s="19">
        <v>46.919400000000003</v>
      </c>
      <c r="AW615">
        <v>1.1000000000000001</v>
      </c>
      <c r="AX615">
        <v>22.2</v>
      </c>
      <c r="AY615">
        <v>6</v>
      </c>
      <c r="AZ615">
        <v>6</v>
      </c>
      <c r="BA615">
        <v>90.255899999999997</v>
      </c>
      <c r="BB615">
        <v>36</v>
      </c>
      <c r="BC615">
        <v>6.4379</v>
      </c>
      <c r="BD615" s="19">
        <v>-1.4279999999999999</v>
      </c>
      <c r="BE615" s="19">
        <v>79.146900000000002</v>
      </c>
      <c r="BF615">
        <v>40.469499999999996</v>
      </c>
      <c r="BG615">
        <v>16.899999999999999</v>
      </c>
      <c r="BH615" s="20">
        <v>1.2747999999999999</v>
      </c>
      <c r="BI615" s="20">
        <v>2623.6469999999999</v>
      </c>
      <c r="BJ615" s="19">
        <v>82.159599999999998</v>
      </c>
      <c r="BK615">
        <v>1.0112000000000001</v>
      </c>
      <c r="BL615">
        <v>1.0068999999999999</v>
      </c>
      <c r="BM615">
        <v>1.0026999999999999</v>
      </c>
      <c r="BN615">
        <v>6</v>
      </c>
      <c r="BO615">
        <v>17.902999999999999</v>
      </c>
      <c r="BP615">
        <v>8.5</v>
      </c>
      <c r="BQ615" s="19">
        <v>96.846800000000002</v>
      </c>
      <c r="BR615">
        <v>23.776800000000001</v>
      </c>
      <c r="BS615" s="20">
        <v>26.094000000000001</v>
      </c>
      <c r="BT615" s="20">
        <v>26.094000000000001</v>
      </c>
      <c r="BU615" s="20">
        <v>55.444000000000003</v>
      </c>
      <c r="BV615" s="20">
        <v>55.476999999999997</v>
      </c>
      <c r="BW615" s="19">
        <v>78.403800000000004</v>
      </c>
      <c r="BX615">
        <v>28.56</v>
      </c>
      <c r="BY615" s="6">
        <v>101673090</v>
      </c>
      <c r="BZ615" s="5">
        <v>389211987</v>
      </c>
      <c r="CA615" s="7">
        <f t="shared" si="45"/>
        <v>3.8280727673369621</v>
      </c>
      <c r="CB615">
        <v>46620045</v>
      </c>
      <c r="CC615" s="8">
        <f t="shared" si="46"/>
        <v>8.3485974112637606</v>
      </c>
      <c r="CD615" s="8">
        <f t="shared" si="47"/>
        <v>2.1808878562858531</v>
      </c>
      <c r="CE615">
        <v>498502</v>
      </c>
      <c r="CF615" s="8">
        <f t="shared" si="48"/>
        <v>203.95723587869256</v>
      </c>
      <c r="CG615" s="8">
        <f t="shared" si="49"/>
        <v>780.76314036854421</v>
      </c>
      <c r="CH615">
        <v>101.24805000000001</v>
      </c>
    </row>
    <row r="616" spans="1:86" ht="15.5" x14ac:dyDescent="0.35">
      <c r="A616" t="s">
        <v>111</v>
      </c>
      <c r="B616">
        <v>2014</v>
      </c>
      <c r="C616" s="2">
        <v>49.940600000000003</v>
      </c>
      <c r="D616">
        <v>447320.8</v>
      </c>
      <c r="E616">
        <v>0.1343</v>
      </c>
      <c r="F616">
        <v>5.5510000000000002</v>
      </c>
      <c r="G616">
        <v>321000</v>
      </c>
      <c r="H616">
        <v>10</v>
      </c>
      <c r="I616" s="19">
        <v>100.633</v>
      </c>
      <c r="J616" s="19">
        <v>100.22</v>
      </c>
      <c r="K616" s="19">
        <v>2.8130000000000002</v>
      </c>
      <c r="L616" s="19">
        <v>73.076899999999995</v>
      </c>
      <c r="M616" s="19">
        <v>24574000000</v>
      </c>
      <c r="N616" s="19">
        <v>114.9709</v>
      </c>
      <c r="O616">
        <v>27.521000000000001</v>
      </c>
      <c r="P616">
        <v>27.835899999999999</v>
      </c>
      <c r="Q616" s="19">
        <v>29737.830999999998</v>
      </c>
      <c r="R616" s="19">
        <v>24937.036599999999</v>
      </c>
      <c r="S616" s="19">
        <v>1.8244</v>
      </c>
      <c r="T616" s="19">
        <v>41321.490899999997</v>
      </c>
      <c r="U616" s="19">
        <v>33746.320500000002</v>
      </c>
      <c r="V616">
        <v>36.1</v>
      </c>
      <c r="W616" s="19">
        <v>85.096199999999996</v>
      </c>
      <c r="X616">
        <v>97</v>
      </c>
      <c r="Y616">
        <v>96</v>
      </c>
      <c r="Z616">
        <v>96</v>
      </c>
      <c r="AA616">
        <v>2.8</v>
      </c>
      <c r="AB616">
        <v>76.2</v>
      </c>
      <c r="AC616">
        <v>83.229299999999995</v>
      </c>
      <c r="AD616">
        <v>88.686199999999999</v>
      </c>
      <c r="AE616">
        <v>4</v>
      </c>
      <c r="AF616">
        <v>97.105999999999995</v>
      </c>
      <c r="AG616">
        <v>4.2</v>
      </c>
      <c r="AH616">
        <v>0.43</v>
      </c>
      <c r="AI616">
        <v>3.4</v>
      </c>
      <c r="AJ616">
        <v>3.1</v>
      </c>
      <c r="AK616">
        <v>3.6</v>
      </c>
      <c r="AL616">
        <v>62.225900000000003</v>
      </c>
      <c r="AM616">
        <v>2</v>
      </c>
      <c r="AN616">
        <v>-97870</v>
      </c>
      <c r="AO616">
        <v>0</v>
      </c>
      <c r="AP616">
        <v>99.926900000000003</v>
      </c>
      <c r="AQ616">
        <v>99.906099999999995</v>
      </c>
      <c r="AR616">
        <v>99.544899999999998</v>
      </c>
      <c r="AU616">
        <v>10.5799</v>
      </c>
      <c r="AV616" s="19">
        <v>55.238100000000003</v>
      </c>
      <c r="AW616">
        <v>0.8</v>
      </c>
      <c r="AX616">
        <v>22.1</v>
      </c>
      <c r="AY616">
        <v>6</v>
      </c>
      <c r="AZ616">
        <v>6</v>
      </c>
      <c r="BA616">
        <v>90.218900000000005</v>
      </c>
      <c r="BB616">
        <v>39.714300000000001</v>
      </c>
      <c r="BC616">
        <v>6.3853</v>
      </c>
      <c r="BD616" s="19">
        <v>1.5209999999999999</v>
      </c>
      <c r="BE616" s="19">
        <v>74.519199999999998</v>
      </c>
      <c r="BF616">
        <v>40.9223</v>
      </c>
      <c r="BG616">
        <v>17.3</v>
      </c>
      <c r="BH616" s="20">
        <v>1.2416</v>
      </c>
      <c r="BI616" s="20">
        <v>2614.4465</v>
      </c>
      <c r="BJ616" s="19">
        <v>80.288499999999999</v>
      </c>
      <c r="BK616">
        <v>1.0132000000000001</v>
      </c>
      <c r="BL616">
        <v>1.0071000000000001</v>
      </c>
      <c r="BM616">
        <v>1.0008999999999999</v>
      </c>
      <c r="BN616">
        <v>6</v>
      </c>
      <c r="BO616">
        <v>15.749000000000001</v>
      </c>
      <c r="BP616">
        <v>8.6</v>
      </c>
      <c r="BQ616" s="19">
        <v>96.548100000000005</v>
      </c>
      <c r="BR616">
        <v>27.691400000000002</v>
      </c>
      <c r="BS616" s="20">
        <v>24.440999999999999</v>
      </c>
      <c r="BT616" s="20">
        <v>24.440999999999999</v>
      </c>
      <c r="BU616" s="20">
        <v>53.168999999999997</v>
      </c>
      <c r="BV616" s="20">
        <v>53.198</v>
      </c>
      <c r="BW616" s="19">
        <v>76.847300000000004</v>
      </c>
      <c r="BX616">
        <v>28.6</v>
      </c>
      <c r="BY616" s="6">
        <v>107545009</v>
      </c>
      <c r="BZ616" s="5">
        <v>403963022</v>
      </c>
      <c r="CA616" s="7">
        <f t="shared" si="45"/>
        <v>3.7562228666511155</v>
      </c>
      <c r="CB616">
        <v>46480882</v>
      </c>
      <c r="CC616" s="8">
        <f t="shared" si="46"/>
        <v>8.6909500125234285</v>
      </c>
      <c r="CD616" s="8">
        <f t="shared" si="47"/>
        <v>2.3137471659853617</v>
      </c>
      <c r="CE616">
        <v>498502</v>
      </c>
      <c r="CF616" s="8">
        <f t="shared" si="48"/>
        <v>215.73636414698436</v>
      </c>
      <c r="CG616" s="8">
        <f t="shared" si="49"/>
        <v>810.35386417707457</v>
      </c>
      <c r="CH616">
        <v>100.84963999999999</v>
      </c>
    </row>
    <row r="617" spans="1:86" ht="15.5" x14ac:dyDescent="0.35">
      <c r="A617" t="s">
        <v>111</v>
      </c>
      <c r="B617">
        <v>2015</v>
      </c>
      <c r="C617" s="2">
        <v>50.463200000000001</v>
      </c>
      <c r="D617">
        <v>459316.1</v>
      </c>
      <c r="E617">
        <v>0.1376</v>
      </c>
      <c r="F617">
        <v>5.9226999999999999</v>
      </c>
      <c r="G617">
        <v>333000</v>
      </c>
      <c r="H617">
        <v>10</v>
      </c>
      <c r="I617" s="19">
        <v>100</v>
      </c>
      <c r="J617" s="19">
        <v>100.09</v>
      </c>
      <c r="K617" s="19">
        <v>2.79</v>
      </c>
      <c r="L617" s="19">
        <v>71.904799999999994</v>
      </c>
      <c r="M617" s="19">
        <v>24681000000</v>
      </c>
      <c r="N617" s="19">
        <v>100</v>
      </c>
      <c r="O617">
        <v>31.373999999999999</v>
      </c>
      <c r="P617">
        <v>29.009899999999998</v>
      </c>
      <c r="Q617" s="19">
        <v>25986.986000000001</v>
      </c>
      <c r="R617" s="19">
        <v>25969.838299999999</v>
      </c>
      <c r="S617" s="19">
        <v>4.1416000000000004</v>
      </c>
      <c r="T617" s="19">
        <v>43032.8773</v>
      </c>
      <c r="U617" s="19">
        <v>35220.976199999997</v>
      </c>
      <c r="V617">
        <v>36.200000000000003</v>
      </c>
      <c r="W617" s="19">
        <v>84.761899999999997</v>
      </c>
      <c r="X617">
        <v>97</v>
      </c>
      <c r="Y617">
        <v>97</v>
      </c>
      <c r="Z617">
        <v>96</v>
      </c>
      <c r="AA617">
        <v>2.7</v>
      </c>
      <c r="AB617">
        <v>78.7</v>
      </c>
      <c r="AC617">
        <v>82.831699999999998</v>
      </c>
      <c r="AD617">
        <v>88.979200000000006</v>
      </c>
      <c r="AE617">
        <v>4</v>
      </c>
      <c r="AF617">
        <v>97.1297</v>
      </c>
      <c r="AG617">
        <v>4.2</v>
      </c>
      <c r="AH617">
        <v>0.34</v>
      </c>
      <c r="AI617">
        <v>3.3</v>
      </c>
      <c r="AJ617">
        <v>3</v>
      </c>
      <c r="AK617">
        <v>3.6</v>
      </c>
      <c r="AL617">
        <v>62.398000000000003</v>
      </c>
      <c r="AM617">
        <v>1.9</v>
      </c>
      <c r="AN617">
        <v>-1979</v>
      </c>
      <c r="AO617">
        <v>0</v>
      </c>
      <c r="AP617">
        <v>99.926699999999997</v>
      </c>
      <c r="AQ617">
        <v>99.912499999999994</v>
      </c>
      <c r="AR617">
        <v>99.547600000000003</v>
      </c>
      <c r="AU617">
        <v>11.2555</v>
      </c>
      <c r="AV617" s="19">
        <v>55.714300000000001</v>
      </c>
      <c r="AW617">
        <v>0.9</v>
      </c>
      <c r="AX617">
        <v>22.3</v>
      </c>
      <c r="AY617">
        <v>6</v>
      </c>
      <c r="AZ617">
        <v>6</v>
      </c>
      <c r="BA617">
        <v>90.181200000000004</v>
      </c>
      <c r="BB617">
        <v>41.142899999999997</v>
      </c>
      <c r="BC617">
        <v>6.5072000000000001</v>
      </c>
      <c r="BD617" s="19">
        <v>4.0620000000000003</v>
      </c>
      <c r="BE617" s="19">
        <v>75.714299999999994</v>
      </c>
      <c r="BF617">
        <v>35.711599999999997</v>
      </c>
      <c r="BG617">
        <v>16.3</v>
      </c>
      <c r="BH617" s="20">
        <v>1.2218</v>
      </c>
      <c r="BI617" s="20">
        <v>2622.5329999999999</v>
      </c>
      <c r="BJ617" s="19">
        <v>78.095200000000006</v>
      </c>
      <c r="BK617">
        <v>1.0155000000000001</v>
      </c>
      <c r="BL617">
        <v>1.0044999999999999</v>
      </c>
      <c r="BM617">
        <v>0.99380000000000002</v>
      </c>
      <c r="BN617">
        <v>6</v>
      </c>
      <c r="BO617">
        <v>14.603</v>
      </c>
      <c r="BP617">
        <v>7.97</v>
      </c>
      <c r="BQ617" s="19">
        <v>100</v>
      </c>
      <c r="BR617">
        <v>34.539900000000003</v>
      </c>
      <c r="BS617" s="20">
        <v>22.056999999999999</v>
      </c>
      <c r="BT617" s="20">
        <v>22.056999999999999</v>
      </c>
      <c r="BU617" s="20">
        <v>48.353000000000002</v>
      </c>
      <c r="BV617" s="20">
        <v>48.332000000000001</v>
      </c>
      <c r="BW617" s="19">
        <v>82.758600000000001</v>
      </c>
      <c r="BX617">
        <v>30.16</v>
      </c>
      <c r="BY617" s="6">
        <v>114448411</v>
      </c>
      <c r="BZ617" s="5">
        <v>422226376</v>
      </c>
      <c r="CA617" s="7">
        <f t="shared" si="45"/>
        <v>3.6892288176897448</v>
      </c>
      <c r="CB617">
        <v>46444832</v>
      </c>
      <c r="CC617" s="8">
        <f t="shared" si="46"/>
        <v>9.0909226671333414</v>
      </c>
      <c r="CD617" s="8">
        <f t="shared" si="47"/>
        <v>2.4641796745007065</v>
      </c>
      <c r="CE617">
        <v>498502</v>
      </c>
      <c r="CF617" s="8">
        <f t="shared" si="48"/>
        <v>229.58465763427228</v>
      </c>
      <c r="CG617" s="8">
        <f t="shared" si="49"/>
        <v>846.99033504379122</v>
      </c>
      <c r="CH617">
        <v>100</v>
      </c>
    </row>
    <row r="618" spans="1:86" ht="15.5" x14ac:dyDescent="0.35">
      <c r="A618" t="s">
        <v>111</v>
      </c>
      <c r="B618">
        <v>2016</v>
      </c>
      <c r="C618" s="2">
        <v>50.796900000000001</v>
      </c>
      <c r="D618">
        <v>487663.5</v>
      </c>
      <c r="E618">
        <v>0.12959999999999999</v>
      </c>
      <c r="F618">
        <v>5.7337999999999996</v>
      </c>
      <c r="G618">
        <v>333000</v>
      </c>
      <c r="H618">
        <v>10</v>
      </c>
      <c r="I618" s="19">
        <v>99.662999999999997</v>
      </c>
      <c r="J618" s="19">
        <v>101.5</v>
      </c>
      <c r="K618" s="19">
        <v>2.9319999999999999</v>
      </c>
      <c r="L618" s="19">
        <v>68.095200000000006</v>
      </c>
      <c r="M618" s="19">
        <v>39103000000</v>
      </c>
      <c r="N618" s="19">
        <v>102.7306</v>
      </c>
      <c r="O618">
        <v>30.664999999999999</v>
      </c>
      <c r="P618">
        <v>30.198599999999999</v>
      </c>
      <c r="Q618" s="19">
        <v>26725.642</v>
      </c>
      <c r="R618" s="19">
        <v>26704.3436</v>
      </c>
      <c r="S618" s="19">
        <v>2.8283</v>
      </c>
      <c r="T618" s="19">
        <v>44249.976799999997</v>
      </c>
      <c r="U618" s="19">
        <v>37591.743199999997</v>
      </c>
      <c r="V618">
        <v>35.799999999999997</v>
      </c>
      <c r="W618" s="19">
        <v>83.333299999999994</v>
      </c>
      <c r="X618">
        <v>97</v>
      </c>
      <c r="Y618">
        <v>97</v>
      </c>
      <c r="Z618">
        <v>97</v>
      </c>
      <c r="AA618">
        <v>2.7</v>
      </c>
      <c r="AB618">
        <v>80.599999999999994</v>
      </c>
      <c r="AC618">
        <v>83.329300000000003</v>
      </c>
      <c r="AD618">
        <v>89.002799999999993</v>
      </c>
      <c r="AE618">
        <v>3</v>
      </c>
      <c r="AF618">
        <v>97.271500000000003</v>
      </c>
      <c r="AG618">
        <v>4.0999999999999996</v>
      </c>
      <c r="AH618">
        <v>0.39</v>
      </c>
      <c r="AI618">
        <v>3.3</v>
      </c>
      <c r="AJ618">
        <v>3</v>
      </c>
      <c r="AK618">
        <v>3.6</v>
      </c>
      <c r="AL618">
        <v>62.371000000000002</v>
      </c>
      <c r="AM618">
        <v>1.9</v>
      </c>
      <c r="AN618">
        <v>106474</v>
      </c>
      <c r="AO618">
        <v>0</v>
      </c>
      <c r="AP618">
        <v>99.926500000000004</v>
      </c>
      <c r="AQ618">
        <v>99.918899999999994</v>
      </c>
      <c r="AR618">
        <v>99.550399999999996</v>
      </c>
      <c r="AU618">
        <v>10.338800000000001</v>
      </c>
      <c r="AV618" s="19">
        <v>60</v>
      </c>
      <c r="AW618">
        <v>1.1000000000000001</v>
      </c>
      <c r="AX618">
        <v>21.6</v>
      </c>
      <c r="AY618">
        <v>6</v>
      </c>
      <c r="AZ618">
        <v>6</v>
      </c>
      <c r="BA618">
        <v>90.143500000000003</v>
      </c>
      <c r="BB618">
        <v>39.142899999999997</v>
      </c>
      <c r="BC618">
        <v>6.4036999999999997</v>
      </c>
      <c r="BD618" s="19">
        <v>2.915</v>
      </c>
      <c r="BE618" s="19">
        <v>81.428600000000003</v>
      </c>
      <c r="BF618">
        <v>39.349800000000002</v>
      </c>
      <c r="BG618">
        <v>16.7</v>
      </c>
      <c r="BH618" s="20">
        <v>1.1899</v>
      </c>
      <c r="BI618" s="20">
        <v>2712.7494999999999</v>
      </c>
      <c r="BJ618" s="19">
        <v>80.476200000000006</v>
      </c>
      <c r="BK618">
        <v>1.0165999999999999</v>
      </c>
      <c r="BL618">
        <v>1.0102</v>
      </c>
      <c r="BM618">
        <v>1.0035000000000001</v>
      </c>
      <c r="BN618">
        <v>6</v>
      </c>
      <c r="BO618">
        <v>13.792999999999999</v>
      </c>
      <c r="BP618">
        <v>7.9</v>
      </c>
      <c r="BQ618" s="19">
        <v>101.1469</v>
      </c>
      <c r="BR618">
        <v>40.689100000000003</v>
      </c>
      <c r="BS618" s="20">
        <v>19.635000000000002</v>
      </c>
      <c r="BT618" s="20">
        <v>19.635000000000002</v>
      </c>
      <c r="BU618" s="20">
        <v>44.445</v>
      </c>
      <c r="BV618" s="20">
        <v>44.436</v>
      </c>
      <c r="BW618" s="19">
        <v>82.266000000000005</v>
      </c>
      <c r="BX618">
        <v>29.36</v>
      </c>
      <c r="BY618" s="6">
        <v>123541778</v>
      </c>
      <c r="BZ618" s="5">
        <v>454957250</v>
      </c>
      <c r="CA618" s="7">
        <f t="shared" si="45"/>
        <v>3.6826186037244826</v>
      </c>
      <c r="CB618">
        <v>46484062</v>
      </c>
      <c r="CC618" s="8">
        <f t="shared" si="46"/>
        <v>9.7873815330510485</v>
      </c>
      <c r="CD618" s="8">
        <f t="shared" si="47"/>
        <v>2.657723371937676</v>
      </c>
      <c r="CE618">
        <v>498502</v>
      </c>
      <c r="CF618" s="8">
        <f t="shared" si="48"/>
        <v>247.8260428243016</v>
      </c>
      <c r="CG618" s="8">
        <f t="shared" si="49"/>
        <v>912.64879579219337</v>
      </c>
      <c r="CH618">
        <v>99.491839999999996</v>
      </c>
    </row>
    <row r="619" spans="1:86" ht="15.5" x14ac:dyDescent="0.35">
      <c r="A619" t="s">
        <v>111</v>
      </c>
      <c r="B619">
        <v>2017</v>
      </c>
      <c r="C619" s="2">
        <v>51.088000000000001</v>
      </c>
      <c r="D619">
        <v>500277</v>
      </c>
      <c r="E619">
        <v>0.1331</v>
      </c>
      <c r="F619">
        <v>6.0457999999999998</v>
      </c>
      <c r="G619">
        <v>333000</v>
      </c>
      <c r="H619">
        <v>10</v>
      </c>
      <c r="I619" s="19">
        <v>101.693</v>
      </c>
      <c r="J619" s="19">
        <v>102.74</v>
      </c>
      <c r="K619" s="19">
        <v>3.3260000000000001</v>
      </c>
      <c r="L619" s="19">
        <v>67.142899999999997</v>
      </c>
      <c r="M619" s="19">
        <v>36909000000</v>
      </c>
      <c r="N619" s="19">
        <v>113.1991</v>
      </c>
      <c r="O619">
        <v>26.361999999999998</v>
      </c>
      <c r="P619">
        <v>31.296500000000002</v>
      </c>
      <c r="Q619" s="19">
        <v>28326.416000000001</v>
      </c>
      <c r="R619" s="19">
        <v>27413.328799999999</v>
      </c>
      <c r="S619" s="19">
        <v>2.6549</v>
      </c>
      <c r="T619" s="19">
        <v>45424.7886</v>
      </c>
      <c r="U619" s="19">
        <v>39806.442000000003</v>
      </c>
      <c r="V619">
        <v>34.700000000000003</v>
      </c>
      <c r="W619" s="19">
        <v>80.476200000000006</v>
      </c>
      <c r="X619">
        <v>95</v>
      </c>
      <c r="Y619">
        <v>94</v>
      </c>
      <c r="Z619">
        <v>98</v>
      </c>
      <c r="AA619">
        <v>2.7</v>
      </c>
      <c r="AB619">
        <v>84.6</v>
      </c>
      <c r="AC619">
        <v>83.282899999999998</v>
      </c>
      <c r="AD619">
        <v>90.726900000000001</v>
      </c>
      <c r="AE619">
        <v>3</v>
      </c>
      <c r="AF619">
        <v>97.351799999999997</v>
      </c>
      <c r="AG619">
        <v>4.2</v>
      </c>
      <c r="AH619">
        <v>0.37</v>
      </c>
      <c r="AI619">
        <v>3.2</v>
      </c>
      <c r="AJ619">
        <v>2.9</v>
      </c>
      <c r="AK619">
        <v>3.5</v>
      </c>
      <c r="AL619">
        <v>62.648400000000002</v>
      </c>
      <c r="AM619">
        <v>1.9</v>
      </c>
      <c r="AN619">
        <v>201135</v>
      </c>
      <c r="AO619">
        <v>0</v>
      </c>
      <c r="AP619">
        <v>99.926299999999998</v>
      </c>
      <c r="AQ619">
        <v>99.919799999999995</v>
      </c>
      <c r="AR619">
        <v>99.553100000000001</v>
      </c>
      <c r="AU619">
        <v>10.4367</v>
      </c>
      <c r="AV619" s="19">
        <v>57.142899999999997</v>
      </c>
      <c r="AW619">
        <v>0.7</v>
      </c>
      <c r="AX619">
        <v>21.5</v>
      </c>
      <c r="AY619">
        <v>6</v>
      </c>
      <c r="AZ619">
        <v>6</v>
      </c>
      <c r="BA619">
        <v>90.100200000000001</v>
      </c>
      <c r="BB619">
        <v>39.142899999999997</v>
      </c>
      <c r="BC619">
        <v>6.3085000000000004</v>
      </c>
      <c r="BD619" s="19">
        <v>2.8940000000000001</v>
      </c>
      <c r="BE619" s="19">
        <v>79.523799999999994</v>
      </c>
      <c r="BF619">
        <v>32.892099999999999</v>
      </c>
      <c r="BG619">
        <v>15.2</v>
      </c>
      <c r="BH619" s="20">
        <v>1.2098</v>
      </c>
      <c r="BI619" s="20">
        <v>2847.3654999999999</v>
      </c>
      <c r="BJ619" s="19">
        <v>81.904799999999994</v>
      </c>
      <c r="BK619">
        <v>1.0165999999999999</v>
      </c>
      <c r="BL619">
        <v>1.0156000000000001</v>
      </c>
      <c r="BM619">
        <v>1.0136000000000001</v>
      </c>
      <c r="BN619">
        <v>6</v>
      </c>
      <c r="BO619">
        <v>12.151</v>
      </c>
      <c r="BP619">
        <v>8.1199999999999992</v>
      </c>
      <c r="BQ619" s="19">
        <v>99.6417</v>
      </c>
      <c r="BR619">
        <v>48.331000000000003</v>
      </c>
      <c r="BS619" s="20">
        <v>17.224</v>
      </c>
      <c r="BT619" s="20">
        <v>17.224</v>
      </c>
      <c r="BU619" s="20">
        <v>38.594000000000001</v>
      </c>
      <c r="BV619" s="20">
        <v>38.566000000000003</v>
      </c>
      <c r="BW619" s="19">
        <v>82.266000000000005</v>
      </c>
      <c r="BX619">
        <v>29.06</v>
      </c>
      <c r="BY619" s="6">
        <v>129392382</v>
      </c>
      <c r="BZ619" s="5">
        <v>471199729</v>
      </c>
      <c r="CA619" s="7">
        <f t="shared" si="45"/>
        <v>3.6416342424239474</v>
      </c>
      <c r="CB619">
        <v>46593236</v>
      </c>
      <c r="CC619" s="8">
        <f t="shared" si="46"/>
        <v>10.11305007877109</v>
      </c>
      <c r="CD619" s="8">
        <f t="shared" si="47"/>
        <v>2.7770636493245502</v>
      </c>
      <c r="CE619">
        <v>498502</v>
      </c>
      <c r="CF619" s="8">
        <f t="shared" si="48"/>
        <v>259.56241298931599</v>
      </c>
      <c r="CG619" s="8">
        <f t="shared" si="49"/>
        <v>945.23137118807949</v>
      </c>
      <c r="CH619">
        <v>99.951700000000002</v>
      </c>
    </row>
    <row r="620" spans="1:86" ht="15.5" x14ac:dyDescent="0.35">
      <c r="A620" t="s">
        <v>111</v>
      </c>
      <c r="B620">
        <v>2018</v>
      </c>
      <c r="C620" s="2">
        <v>51.212800000000001</v>
      </c>
      <c r="D620">
        <v>463923.20000000001</v>
      </c>
      <c r="E620">
        <v>0.127</v>
      </c>
      <c r="F620">
        <v>5.8791000000000002</v>
      </c>
      <c r="G620">
        <v>333000</v>
      </c>
      <c r="H620">
        <v>10</v>
      </c>
      <c r="I620" s="19">
        <v>103.458</v>
      </c>
      <c r="J620" s="19">
        <v>104</v>
      </c>
      <c r="K620" s="19">
        <v>3.5790000000000002</v>
      </c>
      <c r="L620" s="19">
        <v>72.857100000000003</v>
      </c>
      <c r="M620" s="19">
        <v>26888000000</v>
      </c>
      <c r="N620" s="19">
        <v>122.8432</v>
      </c>
      <c r="O620">
        <v>34.643999999999998</v>
      </c>
      <c r="P620">
        <v>32.227699999999999</v>
      </c>
      <c r="Q620" s="19">
        <v>30526.94</v>
      </c>
      <c r="R620" s="19">
        <v>27947.317800000001</v>
      </c>
      <c r="S620" s="19">
        <v>1.9479</v>
      </c>
      <c r="T620" s="19">
        <v>46309.625899999999</v>
      </c>
      <c r="U620" s="19">
        <v>41001.358899999999</v>
      </c>
      <c r="V620">
        <v>34.700000000000003</v>
      </c>
      <c r="W620" s="19">
        <v>79.047600000000003</v>
      </c>
      <c r="X620">
        <v>96</v>
      </c>
      <c r="Y620">
        <v>96</v>
      </c>
      <c r="Z620">
        <v>98</v>
      </c>
      <c r="AA620">
        <v>2.7</v>
      </c>
      <c r="AB620">
        <v>86.1</v>
      </c>
      <c r="AC620">
        <v>83.431700000000006</v>
      </c>
      <c r="AD620">
        <v>89.831999999999994</v>
      </c>
      <c r="AE620">
        <v>3</v>
      </c>
      <c r="AF620">
        <v>97.447699999999998</v>
      </c>
      <c r="AG620">
        <v>4.0999999999999996</v>
      </c>
      <c r="AH620">
        <v>0.35</v>
      </c>
      <c r="AI620">
        <v>3.2</v>
      </c>
      <c r="AJ620">
        <v>2.9</v>
      </c>
      <c r="AK620">
        <v>3.5</v>
      </c>
      <c r="AL620">
        <v>62.416499999999999</v>
      </c>
      <c r="AM620">
        <v>1.9</v>
      </c>
      <c r="AN620">
        <v>337467</v>
      </c>
      <c r="AO620">
        <v>0</v>
      </c>
      <c r="AP620">
        <v>99.926100000000005</v>
      </c>
      <c r="AQ620">
        <v>99.919600000000003</v>
      </c>
      <c r="AR620">
        <v>99.555899999999994</v>
      </c>
      <c r="AU620">
        <v>10.1846</v>
      </c>
      <c r="AV620" s="19">
        <v>56.6038</v>
      </c>
      <c r="AW620">
        <v>0.8</v>
      </c>
      <c r="AX620">
        <v>20.7</v>
      </c>
      <c r="AY620">
        <v>6</v>
      </c>
      <c r="AZ620">
        <v>6</v>
      </c>
      <c r="BA620">
        <v>90.055499999999995</v>
      </c>
      <c r="BB620">
        <v>39.142899999999997</v>
      </c>
      <c r="BC620">
        <v>6.3197000000000001</v>
      </c>
      <c r="BD620" s="19">
        <v>2.3940000000000001</v>
      </c>
      <c r="BE620" s="19">
        <v>80.476200000000006</v>
      </c>
      <c r="BF620">
        <v>38.758699999999997</v>
      </c>
      <c r="BG620">
        <v>16.899999999999999</v>
      </c>
      <c r="BH620" s="20">
        <v>1.2415</v>
      </c>
      <c r="BI620" s="20">
        <v>2984.2964000000002</v>
      </c>
      <c r="BJ620" s="19">
        <v>80.476200000000006</v>
      </c>
      <c r="BK620">
        <v>1.0137</v>
      </c>
      <c r="BL620">
        <v>1.0168999999999999</v>
      </c>
      <c r="BM620">
        <v>1.0186999999999999</v>
      </c>
      <c r="BN620">
        <v>6</v>
      </c>
      <c r="BO620">
        <v>11.840999999999999</v>
      </c>
      <c r="BP620">
        <v>7.79</v>
      </c>
      <c r="BQ620" s="19">
        <v>97.664699999999996</v>
      </c>
      <c r="BR620">
        <v>54.129199999999997</v>
      </c>
      <c r="BS620" s="20">
        <v>15.255000000000001</v>
      </c>
      <c r="BT620" s="20">
        <v>15.255000000000001</v>
      </c>
      <c r="BU620" s="20">
        <v>34.362000000000002</v>
      </c>
      <c r="BV620" s="20">
        <v>34.340000000000003</v>
      </c>
      <c r="BW620" s="19">
        <v>81.553399999999996</v>
      </c>
      <c r="BX620">
        <v>28.76</v>
      </c>
      <c r="BY620" s="6">
        <v>130803657</v>
      </c>
      <c r="BZ620" s="5">
        <v>466940717</v>
      </c>
      <c r="CA620" s="7">
        <f t="shared" si="45"/>
        <v>3.5697833509349053</v>
      </c>
      <c r="CB620">
        <v>46797754</v>
      </c>
      <c r="CC620" s="8">
        <f t="shared" si="46"/>
        <v>9.9778445991232836</v>
      </c>
      <c r="CD620" s="8">
        <f t="shared" si="47"/>
        <v>2.7950840760434783</v>
      </c>
      <c r="CE620">
        <v>498502</v>
      </c>
      <c r="CF620" s="8">
        <f t="shared" si="48"/>
        <v>262.39344476050246</v>
      </c>
      <c r="CG620" s="8">
        <f t="shared" si="49"/>
        <v>936.68775050049953</v>
      </c>
      <c r="CH620">
        <v>100.07308999999999</v>
      </c>
    </row>
    <row r="621" spans="1:86" ht="15.5" x14ac:dyDescent="0.35">
      <c r="A621" t="s">
        <v>111</v>
      </c>
      <c r="B621">
        <v>2019</v>
      </c>
      <c r="C621" s="2">
        <v>51.127299999999998</v>
      </c>
      <c r="D621">
        <v>462101.2</v>
      </c>
      <c r="E621">
        <v>0.1166</v>
      </c>
      <c r="F621">
        <v>5.4678000000000004</v>
      </c>
      <c r="G621">
        <v>333000</v>
      </c>
      <c r="H621">
        <v>10</v>
      </c>
      <c r="I621" s="19">
        <v>104.264</v>
      </c>
      <c r="J621" s="19">
        <v>104.88</v>
      </c>
      <c r="K621" s="19">
        <v>3.831</v>
      </c>
      <c r="L621" s="19">
        <v>73.8095</v>
      </c>
      <c r="M621" s="19">
        <v>29880000000</v>
      </c>
      <c r="N621" s="19">
        <v>118.3312</v>
      </c>
      <c r="O621">
        <v>30.497</v>
      </c>
      <c r="P621">
        <v>32.921999999999997</v>
      </c>
      <c r="Q621" s="19">
        <v>29664.183000000001</v>
      </c>
      <c r="R621" s="19">
        <v>28291.630700000002</v>
      </c>
      <c r="S621" s="19">
        <v>1.232</v>
      </c>
      <c r="T621" s="19">
        <v>46880.163800000002</v>
      </c>
      <c r="U621" s="19">
        <v>44027.493199999997</v>
      </c>
      <c r="V621">
        <v>34.299999999999997</v>
      </c>
      <c r="W621" s="19">
        <v>79.523799999999994</v>
      </c>
      <c r="X621">
        <v>95</v>
      </c>
      <c r="Y621">
        <v>95</v>
      </c>
      <c r="Z621">
        <v>98</v>
      </c>
      <c r="AA621">
        <v>2.6</v>
      </c>
      <c r="AB621">
        <v>90.7</v>
      </c>
      <c r="AC621">
        <v>83.831699999999998</v>
      </c>
      <c r="AD621">
        <v>90.221800000000002</v>
      </c>
      <c r="AE621">
        <v>3</v>
      </c>
      <c r="AF621">
        <v>97.532200000000003</v>
      </c>
      <c r="AG621">
        <v>3.9</v>
      </c>
      <c r="AH621">
        <v>0.39</v>
      </c>
      <c r="AI621">
        <v>3.2</v>
      </c>
      <c r="AJ621">
        <v>2.9</v>
      </c>
      <c r="AK621">
        <v>3.5</v>
      </c>
      <c r="AL621">
        <v>62.292999999999999</v>
      </c>
      <c r="AM621">
        <v>1.8</v>
      </c>
      <c r="AN621">
        <v>464783</v>
      </c>
      <c r="AO621">
        <v>0</v>
      </c>
      <c r="AP621">
        <v>99.925799999999995</v>
      </c>
      <c r="AQ621">
        <v>99.919399999999996</v>
      </c>
      <c r="AR621">
        <v>99.558700000000002</v>
      </c>
      <c r="AU621">
        <v>9.3535000000000004</v>
      </c>
      <c r="AV621" s="19">
        <v>58.018900000000002</v>
      </c>
      <c r="AW621">
        <v>0.8</v>
      </c>
      <c r="AX621">
        <v>21</v>
      </c>
      <c r="AY621">
        <v>6</v>
      </c>
      <c r="AZ621">
        <v>6</v>
      </c>
      <c r="BA621">
        <v>90.010800000000003</v>
      </c>
      <c r="BB621">
        <v>44</v>
      </c>
      <c r="BC621">
        <v>6.4413</v>
      </c>
      <c r="BD621" s="19">
        <v>1.9610000000000001</v>
      </c>
      <c r="BE621" s="19">
        <v>81.904799999999994</v>
      </c>
      <c r="BF621">
        <v>37.772500000000001</v>
      </c>
      <c r="BG621">
        <v>16.7</v>
      </c>
      <c r="BH621" s="20">
        <v>1.2502</v>
      </c>
      <c r="BI621" s="20">
        <v>3048.1525999999999</v>
      </c>
      <c r="BJ621" s="19">
        <v>80.952399999999997</v>
      </c>
      <c r="BK621">
        <v>1.0129999999999999</v>
      </c>
      <c r="BL621">
        <v>1.0218</v>
      </c>
      <c r="BM621">
        <v>1.0288999999999999</v>
      </c>
      <c r="BN621">
        <v>6</v>
      </c>
      <c r="BO621">
        <v>11.584</v>
      </c>
      <c r="BP621">
        <v>8.1</v>
      </c>
      <c r="BQ621" s="19">
        <v>98.187100000000001</v>
      </c>
      <c r="BR621">
        <v>56.984200000000001</v>
      </c>
      <c r="BS621" s="20">
        <v>14.103999999999999</v>
      </c>
      <c r="BT621" s="20">
        <v>14.105</v>
      </c>
      <c r="BU621" s="20">
        <v>32.555</v>
      </c>
      <c r="BV621" s="20">
        <v>32.531999999999996</v>
      </c>
      <c r="BW621" s="19">
        <v>80.676299999999998</v>
      </c>
      <c r="BX621">
        <v>26.83</v>
      </c>
      <c r="BY621" s="6">
        <v>135008823</v>
      </c>
      <c r="BZ621" s="5">
        <v>469813551</v>
      </c>
      <c r="CA621" s="7">
        <f t="shared" si="45"/>
        <v>3.4798729487479494</v>
      </c>
      <c r="CB621">
        <v>47134837</v>
      </c>
      <c r="CC621" s="8">
        <f t="shared" si="46"/>
        <v>9.9674376936956417</v>
      </c>
      <c r="CD621" s="8">
        <f t="shared" si="47"/>
        <v>2.8643108068879077</v>
      </c>
      <c r="CE621">
        <v>498502</v>
      </c>
      <c r="CF621" s="8">
        <f t="shared" si="48"/>
        <v>270.82904983330059</v>
      </c>
      <c r="CG621" s="8">
        <f t="shared" si="49"/>
        <v>942.45068425001307</v>
      </c>
      <c r="CH621">
        <v>99.619659999999996</v>
      </c>
    </row>
    <row r="622" spans="1:86" ht="15.5" x14ac:dyDescent="0.35">
      <c r="A622" t="s">
        <v>111</v>
      </c>
      <c r="B622">
        <v>2020</v>
      </c>
      <c r="C622" s="2">
        <v>50.964199999999998</v>
      </c>
      <c r="D622">
        <v>462886.6</v>
      </c>
      <c r="E622">
        <v>0.11119999999999999</v>
      </c>
      <c r="F622">
        <v>4.6181999999999999</v>
      </c>
      <c r="G622">
        <v>333000</v>
      </c>
      <c r="H622">
        <v>10</v>
      </c>
      <c r="I622" s="19">
        <v>103.913</v>
      </c>
      <c r="J622" s="19">
        <v>104.28</v>
      </c>
      <c r="K622" s="19">
        <v>2.9140000000000001</v>
      </c>
      <c r="L622" s="19">
        <v>75.714299999999994</v>
      </c>
      <c r="M622" s="19">
        <v>10167000000</v>
      </c>
      <c r="N622" s="19">
        <v>109.2261</v>
      </c>
      <c r="O622">
        <v>37.494999999999997</v>
      </c>
      <c r="P622">
        <v>33.952800000000003</v>
      </c>
      <c r="Q622" s="19">
        <v>27188.392</v>
      </c>
      <c r="R622" s="19">
        <v>25073.721000000001</v>
      </c>
      <c r="S622" s="19">
        <v>-11.3741</v>
      </c>
      <c r="T622" s="19">
        <v>41547.981399999997</v>
      </c>
      <c r="U622" s="19">
        <v>39322.674299999999</v>
      </c>
      <c r="V622">
        <v>34.9</v>
      </c>
      <c r="W622" s="19">
        <v>77.619</v>
      </c>
      <c r="X622">
        <v>94</v>
      </c>
      <c r="Y622">
        <v>94</v>
      </c>
      <c r="Z622">
        <v>96</v>
      </c>
      <c r="AA622">
        <v>2.6</v>
      </c>
      <c r="AB622">
        <v>93.2</v>
      </c>
      <c r="AC622">
        <v>82.231700000000004</v>
      </c>
      <c r="AD622">
        <v>90.428200000000004</v>
      </c>
      <c r="AE622">
        <v>4</v>
      </c>
      <c r="AF622">
        <v>97.572900000000004</v>
      </c>
      <c r="AH622">
        <v>0.36</v>
      </c>
      <c r="AI622">
        <v>3.2</v>
      </c>
      <c r="AJ622">
        <v>2.9</v>
      </c>
      <c r="AK622">
        <v>3.4</v>
      </c>
      <c r="AL622">
        <v>62.153799999999997</v>
      </c>
      <c r="AM622">
        <v>1.8</v>
      </c>
      <c r="AN622">
        <v>236854</v>
      </c>
      <c r="AO622">
        <v>0</v>
      </c>
      <c r="AP622">
        <v>99.925600000000003</v>
      </c>
      <c r="AQ622">
        <v>99.9191</v>
      </c>
      <c r="AR622">
        <v>99.561499999999995</v>
      </c>
      <c r="AU622">
        <v>9.5810999999999993</v>
      </c>
      <c r="AV622" s="19">
        <v>58.962299999999999</v>
      </c>
      <c r="AW622">
        <v>0.9</v>
      </c>
      <c r="AX622">
        <v>21.7</v>
      </c>
      <c r="AY622">
        <v>6</v>
      </c>
      <c r="AZ622">
        <v>6</v>
      </c>
      <c r="BA622">
        <v>89.965900000000005</v>
      </c>
      <c r="BB622">
        <v>44</v>
      </c>
      <c r="BC622">
        <v>7.8526999999999996</v>
      </c>
      <c r="BD622" s="19">
        <v>-10.941000000000001</v>
      </c>
      <c r="BE622" s="19">
        <v>73.8095</v>
      </c>
      <c r="BF622">
        <v>44.527700000000003</v>
      </c>
      <c r="BG622">
        <v>19.3</v>
      </c>
      <c r="BH622" s="20">
        <v>1.4091</v>
      </c>
      <c r="BI622" s="20">
        <v>3051.6464999999998</v>
      </c>
      <c r="BJ622" s="19">
        <v>76.666700000000006</v>
      </c>
      <c r="BK622">
        <v>1.0103</v>
      </c>
      <c r="BL622">
        <v>1.0206999999999999</v>
      </c>
      <c r="BM622">
        <v>1.0294000000000001</v>
      </c>
      <c r="BN622">
        <v>6</v>
      </c>
      <c r="BO622">
        <v>13.682</v>
      </c>
      <c r="BP622">
        <v>8.6199999999999992</v>
      </c>
      <c r="BQ622" s="19">
        <v>101.5483</v>
      </c>
      <c r="BR622">
        <v>56.984200000000001</v>
      </c>
      <c r="BS622" s="20">
        <v>15.532</v>
      </c>
      <c r="BT622" s="20">
        <v>15.532</v>
      </c>
      <c r="BU622" s="20">
        <v>38.311999999999998</v>
      </c>
      <c r="BV622" s="20">
        <v>38.262999999999998</v>
      </c>
      <c r="BW622" s="19">
        <v>80.193200000000004</v>
      </c>
      <c r="BX622">
        <v>28.5</v>
      </c>
      <c r="BY622" s="6">
        <v>45616973</v>
      </c>
      <c r="BZ622" s="5">
        <v>144677028</v>
      </c>
      <c r="CA622" s="7">
        <f t="shared" si="45"/>
        <v>3.1715613396794216</v>
      </c>
      <c r="CB622">
        <v>47365655</v>
      </c>
      <c r="CC622" s="8">
        <f t="shared" si="46"/>
        <v>3.054471177480814</v>
      </c>
      <c r="CD622" s="8">
        <f t="shared" si="47"/>
        <v>0.96308122414859454</v>
      </c>
      <c r="CE622">
        <v>498502</v>
      </c>
      <c r="CF622" s="8">
        <f t="shared" si="48"/>
        <v>91.508104280424149</v>
      </c>
      <c r="CG622" s="8">
        <f t="shared" si="49"/>
        <v>290.22356580314624</v>
      </c>
      <c r="CH622">
        <v>98.961269999999999</v>
      </c>
    </row>
    <row r="623" spans="1:86" ht="15.5" x14ac:dyDescent="0.35">
      <c r="A623" t="s">
        <v>111</v>
      </c>
      <c r="B623">
        <v>2021</v>
      </c>
      <c r="C623" s="2">
        <v>50.878900000000002</v>
      </c>
      <c r="D623">
        <v>462819.8</v>
      </c>
      <c r="E623">
        <v>0.1132</v>
      </c>
      <c r="F623">
        <v>5.0106999999999999</v>
      </c>
      <c r="G623">
        <v>333000</v>
      </c>
      <c r="H623">
        <v>10</v>
      </c>
      <c r="I623" s="19">
        <v>107.038</v>
      </c>
      <c r="J623" s="19">
        <v>111.13</v>
      </c>
      <c r="K623" s="19">
        <v>6.2510000000000003</v>
      </c>
      <c r="L623" s="19">
        <v>75.714299999999994</v>
      </c>
      <c r="M623" s="19">
        <v>11303000000</v>
      </c>
      <c r="N623" s="19">
        <v>135.68129999999999</v>
      </c>
      <c r="O623">
        <v>33.21</v>
      </c>
      <c r="P623">
        <v>34.930199999999999</v>
      </c>
      <c r="Q623" s="19">
        <v>30792.106</v>
      </c>
      <c r="R623" s="19">
        <v>26721.1482</v>
      </c>
      <c r="S623" s="19">
        <v>6.5702999999999996</v>
      </c>
      <c r="T623" s="19">
        <v>44277.822500000002</v>
      </c>
      <c r="U623" s="19">
        <v>44277.822500000002</v>
      </c>
      <c r="V623">
        <v>33.9</v>
      </c>
      <c r="W623" s="19">
        <v>78.095200000000006</v>
      </c>
      <c r="X623">
        <v>92</v>
      </c>
      <c r="Y623">
        <v>92</v>
      </c>
      <c r="Z623">
        <v>95</v>
      </c>
      <c r="AA623">
        <v>2.6</v>
      </c>
      <c r="AB623">
        <v>93.9</v>
      </c>
      <c r="AC623">
        <v>83.177999999999997</v>
      </c>
      <c r="AD623">
        <v>94.704400000000007</v>
      </c>
      <c r="AE623">
        <v>4</v>
      </c>
      <c r="AH623">
        <v>0.34</v>
      </c>
      <c r="AI623">
        <v>3.1</v>
      </c>
      <c r="AJ623">
        <v>2.8</v>
      </c>
      <c r="AK623">
        <v>3.4</v>
      </c>
      <c r="AL623">
        <v>62.326599999999999</v>
      </c>
      <c r="AM623">
        <v>1.8</v>
      </c>
      <c r="AN623">
        <v>144385</v>
      </c>
      <c r="AO623">
        <v>0</v>
      </c>
      <c r="AP623">
        <v>99.925399999999996</v>
      </c>
      <c r="AQ623">
        <v>99.918899999999994</v>
      </c>
      <c r="AR623">
        <v>99.564300000000003</v>
      </c>
      <c r="AV623" s="19">
        <v>61.792499999999997</v>
      </c>
      <c r="AW623">
        <v>0.6</v>
      </c>
      <c r="AX623">
        <v>20.399999999999999</v>
      </c>
      <c r="AY623">
        <v>6</v>
      </c>
      <c r="AZ623">
        <v>6</v>
      </c>
      <c r="BA623">
        <v>89.965599999999995</v>
      </c>
      <c r="BB623">
        <v>43.428600000000003</v>
      </c>
      <c r="BC623">
        <v>7.5983999999999998</v>
      </c>
      <c r="BD623" s="19">
        <v>6.6849999999999996</v>
      </c>
      <c r="BE623" s="19">
        <v>73.8095</v>
      </c>
      <c r="BF623">
        <v>47.014899999999997</v>
      </c>
      <c r="BG623">
        <v>19</v>
      </c>
      <c r="BH623" s="20">
        <v>1.4112</v>
      </c>
      <c r="BI623" s="20">
        <v>3229.6489000000001</v>
      </c>
      <c r="BJ623" s="19">
        <v>78.095200000000006</v>
      </c>
      <c r="BN623">
        <v>6</v>
      </c>
      <c r="BO623">
        <v>11.484</v>
      </c>
      <c r="BP623">
        <v>8.7200000000000006</v>
      </c>
      <c r="BQ623" s="19">
        <v>98.391099999999994</v>
      </c>
      <c r="BS623" s="20">
        <v>14.781000000000001</v>
      </c>
      <c r="BT623" s="20">
        <v>14.781000000000001</v>
      </c>
      <c r="BU623" s="20">
        <v>34.844000000000001</v>
      </c>
      <c r="BV623" s="20">
        <v>34.795999999999999</v>
      </c>
      <c r="BW623" s="19">
        <v>79.227099999999993</v>
      </c>
      <c r="BX623">
        <v>29.19</v>
      </c>
      <c r="BY623" s="6">
        <v>80754714</v>
      </c>
      <c r="BZ623" s="5">
        <v>259579759</v>
      </c>
      <c r="CA623" s="7">
        <f t="shared" si="45"/>
        <v>3.2144223679623209</v>
      </c>
      <c r="CB623">
        <v>47415794</v>
      </c>
      <c r="CC623" s="8">
        <f t="shared" si="46"/>
        <v>5.4745420692522835</v>
      </c>
      <c r="CD623" s="8">
        <f t="shared" si="47"/>
        <v>1.7031184587987707</v>
      </c>
      <c r="CE623">
        <v>498502</v>
      </c>
      <c r="CF623" s="8">
        <f t="shared" si="48"/>
        <v>161.99476431388439</v>
      </c>
      <c r="CG623" s="8">
        <f t="shared" si="49"/>
        <v>520.71959390333438</v>
      </c>
      <c r="CH623">
        <v>99.336619999999996</v>
      </c>
    </row>
    <row r="624" spans="1:86" ht="15.5" x14ac:dyDescent="0.35">
      <c r="A624" t="s">
        <v>111</v>
      </c>
      <c r="B624">
        <v>2022</v>
      </c>
      <c r="C624" s="2">
        <v>51.020699999999998</v>
      </c>
      <c r="E624">
        <v>0.1056</v>
      </c>
      <c r="F624">
        <v>4.9303999999999997</v>
      </c>
      <c r="H624">
        <v>10</v>
      </c>
      <c r="I624" s="19">
        <v>115.947</v>
      </c>
      <c r="J624" s="19">
        <v>117.22</v>
      </c>
      <c r="K624" s="19">
        <v>8.7970000000000006</v>
      </c>
      <c r="L624" s="19">
        <v>75</v>
      </c>
      <c r="M624" s="19">
        <v>5072000000</v>
      </c>
      <c r="N624" s="19"/>
      <c r="O624">
        <v>35.905000000000001</v>
      </c>
      <c r="P624">
        <v>35.784599999999998</v>
      </c>
      <c r="Q624" s="19">
        <v>30105.546999999999</v>
      </c>
      <c r="R624" s="19">
        <v>28168.366999999998</v>
      </c>
      <c r="S624" s="19">
        <v>5.4160000000000004</v>
      </c>
      <c r="T624" s="19">
        <v>46675.911899999999</v>
      </c>
      <c r="U624" s="19">
        <v>50496.601799999997</v>
      </c>
      <c r="W624" s="19">
        <v>77.830200000000005</v>
      </c>
      <c r="X624">
        <v>93</v>
      </c>
      <c r="Y624">
        <v>93</v>
      </c>
      <c r="Z624">
        <v>96</v>
      </c>
      <c r="AA624">
        <v>2.6</v>
      </c>
      <c r="AB624">
        <v>94.5</v>
      </c>
      <c r="AC624">
        <v>83.134100000000004</v>
      </c>
      <c r="AD624">
        <v>90.928299999999993</v>
      </c>
      <c r="AE624">
        <v>4</v>
      </c>
      <c r="AI624">
        <v>3.1</v>
      </c>
      <c r="AJ624">
        <v>2.8</v>
      </c>
      <c r="AK624">
        <v>3.4</v>
      </c>
      <c r="AL624">
        <v>61.944699999999997</v>
      </c>
      <c r="AM624">
        <v>1.7</v>
      </c>
      <c r="AN624">
        <v>299779</v>
      </c>
      <c r="AO624">
        <v>0</v>
      </c>
      <c r="AP624">
        <v>99.925200000000004</v>
      </c>
      <c r="AQ624">
        <v>99.918599999999998</v>
      </c>
      <c r="AR624">
        <v>99.567099999999996</v>
      </c>
      <c r="AV624" s="19">
        <v>55.188699999999997</v>
      </c>
      <c r="AX624">
        <v>20.2</v>
      </c>
      <c r="AY624">
        <v>6</v>
      </c>
      <c r="AZ624">
        <v>6</v>
      </c>
      <c r="BA624">
        <v>89.965400000000002</v>
      </c>
      <c r="BB624">
        <v>42.979900000000001</v>
      </c>
      <c r="BC624">
        <v>7.2088000000000001</v>
      </c>
      <c r="BD624" s="19">
        <v>6.1820000000000004</v>
      </c>
      <c r="BE624" s="19">
        <v>75.943399999999997</v>
      </c>
      <c r="BH624" s="20">
        <v>1.4353</v>
      </c>
      <c r="BI624" s="20">
        <v>3387.4965999999999</v>
      </c>
      <c r="BJ624" s="19">
        <v>77.830200000000005</v>
      </c>
      <c r="BN624">
        <v>6</v>
      </c>
      <c r="BO624">
        <v>9.0519999999999996</v>
      </c>
      <c r="BQ624" s="19"/>
      <c r="BS624" s="20">
        <v>12.917</v>
      </c>
      <c r="BT624" s="20">
        <v>12.917</v>
      </c>
      <c r="BU624" s="20">
        <v>29.852</v>
      </c>
      <c r="BV624" s="20">
        <v>29.760999999999999</v>
      </c>
      <c r="BW624" s="19">
        <v>80.193200000000004</v>
      </c>
      <c r="BX624">
        <v>29.16</v>
      </c>
      <c r="BY624" s="6">
        <v>133044709</v>
      </c>
      <c r="BZ624" s="5">
        <v>451624940</v>
      </c>
      <c r="CA624" s="7">
        <f t="shared" si="45"/>
        <v>3.3945351408149573</v>
      </c>
      <c r="CB624">
        <v>47759127</v>
      </c>
      <c r="CC624" s="8">
        <f t="shared" si="46"/>
        <v>9.4563064354170461</v>
      </c>
      <c r="CD624" s="8">
        <f t="shared" si="47"/>
        <v>2.7857441573419046</v>
      </c>
      <c r="CE624">
        <v>498502</v>
      </c>
      <c r="CF624" s="8">
        <f t="shared" si="48"/>
        <v>266.88901749641929</v>
      </c>
      <c r="CG624" s="8">
        <f t="shared" si="49"/>
        <v>905.96414858917319</v>
      </c>
      <c r="CH624">
        <v>99.01455</v>
      </c>
    </row>
    <row r="625" spans="1:86" ht="15.5" x14ac:dyDescent="0.35">
      <c r="A625" t="s">
        <v>111</v>
      </c>
      <c r="B625">
        <v>2023</v>
      </c>
      <c r="C625" s="2">
        <v>51.3142</v>
      </c>
      <c r="E625">
        <v>9.4899999999999998E-2</v>
      </c>
      <c r="F625">
        <v>4.4936999999999996</v>
      </c>
      <c r="H625">
        <v>10</v>
      </c>
      <c r="I625" s="19">
        <v>119.889</v>
      </c>
      <c r="J625" s="19">
        <v>121.06</v>
      </c>
      <c r="K625" s="19">
        <v>6.0270000000000001</v>
      </c>
      <c r="L625" s="19">
        <v>71.698099999999997</v>
      </c>
      <c r="M625" s="19">
        <v>43022000000</v>
      </c>
      <c r="N625" s="19"/>
      <c r="P625">
        <v>38.083599999999997</v>
      </c>
      <c r="Q625" s="19">
        <v>33325.440000000002</v>
      </c>
      <c r="R625" s="19">
        <v>28569.8436</v>
      </c>
      <c r="S625" s="19">
        <v>1.4253</v>
      </c>
      <c r="T625" s="19">
        <v>47341.171799999996</v>
      </c>
      <c r="U625" s="19">
        <v>53229.921999999999</v>
      </c>
      <c r="W625" s="19">
        <v>76.886799999999994</v>
      </c>
      <c r="X625">
        <v>93</v>
      </c>
      <c r="Y625">
        <v>93</v>
      </c>
      <c r="Z625">
        <v>96</v>
      </c>
      <c r="AA625">
        <v>2.6</v>
      </c>
      <c r="AB625">
        <v>95.4</v>
      </c>
      <c r="AC625">
        <v>83.882900000000006</v>
      </c>
      <c r="AE625">
        <v>3</v>
      </c>
      <c r="AI625">
        <v>3.1</v>
      </c>
      <c r="AJ625" s="25">
        <v>2.8</v>
      </c>
      <c r="AK625">
        <v>3.4</v>
      </c>
      <c r="AL625" s="24">
        <v>61.944699999999997</v>
      </c>
      <c r="AM625">
        <v>1.7</v>
      </c>
      <c r="AN625">
        <v>119099</v>
      </c>
      <c r="AV625" s="19">
        <v>54.976300000000002</v>
      </c>
      <c r="AY625">
        <v>6</v>
      </c>
      <c r="AZ625">
        <v>6</v>
      </c>
      <c r="BB625">
        <v>44.285699999999999</v>
      </c>
      <c r="BD625" s="19">
        <v>2.673</v>
      </c>
      <c r="BE625" s="19">
        <v>74.528300000000002</v>
      </c>
      <c r="BH625" s="20"/>
      <c r="BI625" s="20"/>
      <c r="BJ625" s="19">
        <v>78.301900000000003</v>
      </c>
      <c r="BN625">
        <v>6</v>
      </c>
      <c r="BO625">
        <v>9.9030000000000005</v>
      </c>
      <c r="BQ625" s="19"/>
      <c r="BS625" s="20">
        <v>12.179</v>
      </c>
      <c r="BT625" s="20">
        <v>12.179</v>
      </c>
      <c r="BU625" s="20">
        <v>28.753</v>
      </c>
      <c r="BV625" s="20">
        <v>28.666</v>
      </c>
      <c r="BW625" s="19">
        <v>87.745099999999994</v>
      </c>
      <c r="BX625">
        <v>27.35</v>
      </c>
      <c r="BY625" s="6">
        <v>144831332</v>
      </c>
      <c r="BZ625" s="5">
        <v>484987485</v>
      </c>
      <c r="CA625" s="7">
        <f t="shared" si="45"/>
        <v>3.3486365022176279</v>
      </c>
      <c r="CB625">
        <v>48347910</v>
      </c>
      <c r="CC625" s="8">
        <f t="shared" si="46"/>
        <v>10.031198556462938</v>
      </c>
      <c r="CD625" s="8">
        <f t="shared" si="47"/>
        <v>2.9956068835240242</v>
      </c>
      <c r="CE625">
        <v>498502</v>
      </c>
      <c r="CF625" s="8">
        <f t="shared" si="48"/>
        <v>290.53310117110863</v>
      </c>
      <c r="CG625" s="8">
        <f t="shared" si="49"/>
        <v>972.88974768406149</v>
      </c>
      <c r="CH625">
        <v>96.712180000000004</v>
      </c>
    </row>
    <row r="626" spans="1:86" ht="15.5" x14ac:dyDescent="0.35">
      <c r="A626" t="s">
        <v>112</v>
      </c>
      <c r="B626">
        <v>2000</v>
      </c>
      <c r="C626" s="2">
        <v>55.510399999999997</v>
      </c>
      <c r="D626">
        <v>112236.8</v>
      </c>
      <c r="E626">
        <v>0.13650000000000001</v>
      </c>
      <c r="F626">
        <v>6.5353000000000003</v>
      </c>
      <c r="G626">
        <v>70500</v>
      </c>
      <c r="H626">
        <v>9</v>
      </c>
      <c r="I626" s="19">
        <v>79.784999999999997</v>
      </c>
      <c r="J626" s="19">
        <v>80.052000000000007</v>
      </c>
      <c r="K626" s="19">
        <v>4.9669999999999996</v>
      </c>
      <c r="L626" s="19">
        <v>98.936199999999999</v>
      </c>
      <c r="M626" s="19">
        <v>10030000000</v>
      </c>
      <c r="N626" s="19">
        <v>62.073399999999999</v>
      </c>
      <c r="O626">
        <v>27.408999999999999</v>
      </c>
      <c r="P626">
        <v>2.8066</v>
      </c>
      <c r="Q626" s="19">
        <v>29596.992999999999</v>
      </c>
      <c r="R626" s="19">
        <v>41561.096700000002</v>
      </c>
      <c r="S626" s="19">
        <v>4.4631999999999996</v>
      </c>
      <c r="T626" s="19">
        <v>47875.084499999997</v>
      </c>
      <c r="U626" s="19">
        <v>29629.8986</v>
      </c>
      <c r="V626">
        <v>27</v>
      </c>
      <c r="W626" s="19">
        <v>95.628399999999999</v>
      </c>
      <c r="X626">
        <v>99</v>
      </c>
      <c r="Z626">
        <v>91</v>
      </c>
      <c r="AA626">
        <v>3.4</v>
      </c>
      <c r="AB626">
        <v>45.7</v>
      </c>
      <c r="AC626">
        <v>79.643900000000002</v>
      </c>
      <c r="AE626">
        <v>5</v>
      </c>
      <c r="AF626">
        <v>91.996300000000005</v>
      </c>
      <c r="AG626">
        <v>6.7</v>
      </c>
      <c r="AH626">
        <v>0.18</v>
      </c>
      <c r="AI626">
        <v>4.0999999999999996</v>
      </c>
      <c r="AJ626">
        <v>3.7</v>
      </c>
      <c r="AK626">
        <v>4.5</v>
      </c>
      <c r="AL626">
        <v>65.88</v>
      </c>
      <c r="AM626">
        <v>2.2999999999999998</v>
      </c>
      <c r="AN626">
        <v>24900</v>
      </c>
      <c r="AO626">
        <v>0</v>
      </c>
      <c r="AP626">
        <v>99.480800000000002</v>
      </c>
      <c r="AQ626">
        <v>99.207099999999997</v>
      </c>
      <c r="AR626">
        <v>99.391900000000007</v>
      </c>
      <c r="AS626">
        <v>91.034700000000001</v>
      </c>
      <c r="AT626">
        <v>95.779200000000003</v>
      </c>
      <c r="AU626">
        <v>9.6952999999999996</v>
      </c>
      <c r="AV626" s="19">
        <v>94.179900000000004</v>
      </c>
      <c r="AW626">
        <v>0</v>
      </c>
      <c r="AY626">
        <v>6</v>
      </c>
      <c r="AZ626">
        <v>6</v>
      </c>
      <c r="BA626">
        <v>95.021299999999997</v>
      </c>
      <c r="BB626">
        <v>42.693399999999997</v>
      </c>
      <c r="BC626">
        <v>6.1894</v>
      </c>
      <c r="BD626" s="19">
        <v>4.6310000000000002</v>
      </c>
      <c r="BE626" s="19">
        <v>89.673900000000003</v>
      </c>
      <c r="BF626">
        <v>57.257300000000001</v>
      </c>
      <c r="BG626">
        <v>39.799999999999997</v>
      </c>
      <c r="BH626" s="20"/>
      <c r="BI626" s="20"/>
      <c r="BJ626" s="19">
        <v>97.014899999999997</v>
      </c>
      <c r="BK626">
        <v>1.0256000000000001</v>
      </c>
      <c r="BL626">
        <v>1.1521999999999999</v>
      </c>
      <c r="BM626">
        <v>1.2701</v>
      </c>
      <c r="BN626">
        <v>6</v>
      </c>
      <c r="BO626">
        <v>19.077999999999999</v>
      </c>
      <c r="BP626">
        <v>14.87</v>
      </c>
      <c r="BQ626" s="19">
        <v>108.3194</v>
      </c>
      <c r="BR626">
        <v>86.051299999999998</v>
      </c>
      <c r="BS626" s="20">
        <v>5.4660000000000002</v>
      </c>
      <c r="BT626" s="20">
        <v>5.4660000000000002</v>
      </c>
      <c r="BU626" s="20">
        <v>9.2899999999999991</v>
      </c>
      <c r="BV626" s="20">
        <v>9.4760000000000009</v>
      </c>
      <c r="BW626" s="19">
        <v>98.507499999999993</v>
      </c>
      <c r="BX626">
        <v>12.46</v>
      </c>
      <c r="BY626" s="6">
        <v>18013505</v>
      </c>
      <c r="BZ626" s="5">
        <v>39809191</v>
      </c>
      <c r="CA626" s="7">
        <f t="shared" si="45"/>
        <v>2.209963635616722</v>
      </c>
      <c r="CB626">
        <v>8872109</v>
      </c>
      <c r="CC626" s="8">
        <f t="shared" si="46"/>
        <v>4.4870042737301805</v>
      </c>
      <c r="CD626" s="8">
        <f t="shared" si="47"/>
        <v>2.0303520842676752</v>
      </c>
      <c r="CE626">
        <v>447424</v>
      </c>
      <c r="CF626" s="8">
        <f t="shared" si="48"/>
        <v>40.260479992132744</v>
      </c>
      <c r="CG626" s="8">
        <f t="shared" si="49"/>
        <v>88.974196735087972</v>
      </c>
      <c r="CH626">
        <v>117.05009</v>
      </c>
    </row>
    <row r="627" spans="1:86" ht="15.5" x14ac:dyDescent="0.35">
      <c r="A627" t="s">
        <v>112</v>
      </c>
      <c r="B627">
        <v>2001</v>
      </c>
      <c r="C627" s="2">
        <v>55.011200000000002</v>
      </c>
      <c r="D627">
        <v>105791.6</v>
      </c>
      <c r="E627">
        <v>0.1348</v>
      </c>
      <c r="F627">
        <v>6.5262000000000002</v>
      </c>
      <c r="G627">
        <v>71200</v>
      </c>
      <c r="H627">
        <v>9</v>
      </c>
      <c r="I627" s="19">
        <v>81.924000000000007</v>
      </c>
      <c r="J627" s="19">
        <v>82.483999999999995</v>
      </c>
      <c r="K627" s="19">
        <v>3.9790000000000001</v>
      </c>
      <c r="L627" s="19"/>
      <c r="M627" s="19">
        <v>11153000000</v>
      </c>
      <c r="N627" s="19">
        <v>54.023000000000003</v>
      </c>
      <c r="O627">
        <v>31.22</v>
      </c>
      <c r="P627">
        <v>6.5984999999999996</v>
      </c>
      <c r="Q627" s="19">
        <v>27219.096000000001</v>
      </c>
      <c r="R627" s="19">
        <v>42013.700400000002</v>
      </c>
      <c r="S627" s="19">
        <v>1.089</v>
      </c>
      <c r="T627" s="19">
        <v>48396.447999999997</v>
      </c>
      <c r="U627" s="19">
        <v>29949.215400000001</v>
      </c>
      <c r="V627">
        <v>26.5</v>
      </c>
      <c r="W627" s="19"/>
      <c r="X627">
        <v>99</v>
      </c>
      <c r="Z627">
        <v>94</v>
      </c>
      <c r="AA627">
        <v>3.3</v>
      </c>
      <c r="AB627">
        <v>51.8</v>
      </c>
      <c r="AC627">
        <v>79.795100000000005</v>
      </c>
      <c r="AE627">
        <v>5</v>
      </c>
      <c r="AF627">
        <v>92.152000000000001</v>
      </c>
      <c r="AG627">
        <v>7</v>
      </c>
      <c r="AH627">
        <v>0.18</v>
      </c>
      <c r="AI627">
        <v>4</v>
      </c>
      <c r="AJ627">
        <v>3.6</v>
      </c>
      <c r="AK627">
        <v>4.4000000000000004</v>
      </c>
      <c r="AL627">
        <v>66.265600000000006</v>
      </c>
      <c r="AM627">
        <v>2.2999999999999998</v>
      </c>
      <c r="AN627">
        <v>28856</v>
      </c>
      <c r="AO627">
        <v>0</v>
      </c>
      <c r="AP627">
        <v>99.493200000000002</v>
      </c>
      <c r="AQ627">
        <v>99.193200000000004</v>
      </c>
      <c r="AR627">
        <v>99.404300000000006</v>
      </c>
      <c r="AS627">
        <v>91.071399999999997</v>
      </c>
      <c r="AT627">
        <v>95.793800000000005</v>
      </c>
      <c r="AU627">
        <v>9.4961000000000002</v>
      </c>
      <c r="AV627" s="19"/>
      <c r="AW627">
        <v>0.2</v>
      </c>
      <c r="AY627">
        <v>6</v>
      </c>
      <c r="AZ627">
        <v>6</v>
      </c>
      <c r="BA627">
        <v>95.041600000000003</v>
      </c>
      <c r="BB627">
        <v>42.693399999999997</v>
      </c>
      <c r="BC627">
        <v>6.4904000000000002</v>
      </c>
      <c r="BD627" s="19">
        <v>1.361</v>
      </c>
      <c r="BE627" s="19"/>
      <c r="BF627">
        <v>51.567900000000002</v>
      </c>
      <c r="BG627">
        <v>37.4</v>
      </c>
      <c r="BH627" s="20">
        <v>3.8738000000000001</v>
      </c>
      <c r="BI627" s="20">
        <v>5177.9893000000002</v>
      </c>
      <c r="BJ627" s="19"/>
      <c r="BK627">
        <v>1.0255000000000001</v>
      </c>
      <c r="BL627">
        <v>1.1474</v>
      </c>
      <c r="BM627">
        <v>1.2630999999999999</v>
      </c>
      <c r="BN627">
        <v>6</v>
      </c>
      <c r="BO627">
        <v>10.417</v>
      </c>
      <c r="BP627">
        <v>15.95</v>
      </c>
      <c r="BQ627" s="19">
        <v>108.3858</v>
      </c>
      <c r="BR627">
        <v>85.2654</v>
      </c>
      <c r="BS627" s="20">
        <v>4.7300000000000004</v>
      </c>
      <c r="BT627" s="20">
        <v>4.7300000000000004</v>
      </c>
      <c r="BU627" s="20">
        <v>11.667999999999999</v>
      </c>
      <c r="BV627" s="20">
        <v>11.670999999999999</v>
      </c>
      <c r="BW627" s="19"/>
      <c r="BX627">
        <v>10.67</v>
      </c>
      <c r="BY627" s="6">
        <v>18652461</v>
      </c>
      <c r="BZ627" s="5">
        <v>41194210</v>
      </c>
      <c r="CA627" s="7">
        <f t="shared" si="45"/>
        <v>2.2085133967040598</v>
      </c>
      <c r="CB627">
        <v>8895960</v>
      </c>
      <c r="CC627" s="8">
        <f t="shared" si="46"/>
        <v>4.6306649310473516</v>
      </c>
      <c r="CD627" s="8">
        <f t="shared" si="47"/>
        <v>2.0967339106740588</v>
      </c>
      <c r="CE627">
        <v>447424</v>
      </c>
      <c r="CF627" s="8">
        <f t="shared" si="48"/>
        <v>41.688557162780718</v>
      </c>
      <c r="CG627" s="8">
        <f t="shared" si="49"/>
        <v>92.069736983264193</v>
      </c>
      <c r="CH627">
        <v>106.57599999999999</v>
      </c>
    </row>
    <row r="628" spans="1:86" ht="15.5" x14ac:dyDescent="0.35">
      <c r="A628" t="s">
        <v>112</v>
      </c>
      <c r="B628">
        <v>2002</v>
      </c>
      <c r="C628" s="2">
        <v>54.521299999999997</v>
      </c>
      <c r="D628">
        <v>106296.5</v>
      </c>
      <c r="E628">
        <v>0.13489999999999999</v>
      </c>
      <c r="F628">
        <v>6.6539999999999999</v>
      </c>
      <c r="G628">
        <v>71900</v>
      </c>
      <c r="H628">
        <v>9</v>
      </c>
      <c r="I628" s="19">
        <v>83.51</v>
      </c>
      <c r="J628" s="19">
        <v>83.799000000000007</v>
      </c>
      <c r="K628" s="19">
        <v>4.1139999999999999</v>
      </c>
      <c r="L628" s="19">
        <v>97.883600000000001</v>
      </c>
      <c r="M628" s="19">
        <v>11636000000</v>
      </c>
      <c r="N628" s="19">
        <v>58.203899999999997</v>
      </c>
      <c r="O628">
        <v>32.137999999999998</v>
      </c>
      <c r="P628">
        <v>9.4116999999999997</v>
      </c>
      <c r="Q628" s="19">
        <v>29904.825000000001</v>
      </c>
      <c r="R628" s="19">
        <v>42831.018900000003</v>
      </c>
      <c r="S628" s="19">
        <v>1.9454</v>
      </c>
      <c r="T628" s="19">
        <v>49337.934000000001</v>
      </c>
      <c r="U628" s="19">
        <v>30987.267500000002</v>
      </c>
      <c r="V628">
        <v>26.2</v>
      </c>
      <c r="W628" s="19">
        <v>98.378399999999999</v>
      </c>
      <c r="X628">
        <v>99</v>
      </c>
      <c r="Z628">
        <v>95</v>
      </c>
      <c r="AA628">
        <v>3.3</v>
      </c>
      <c r="AB628">
        <v>70.599999999999994</v>
      </c>
      <c r="AC628">
        <v>79.846299999999999</v>
      </c>
      <c r="AE628">
        <v>5</v>
      </c>
      <c r="AF628">
        <v>92.312299999999993</v>
      </c>
      <c r="AG628">
        <v>6.3</v>
      </c>
      <c r="AH628">
        <v>0.13</v>
      </c>
      <c r="AI628">
        <v>4</v>
      </c>
      <c r="AJ628">
        <v>3.6</v>
      </c>
      <c r="AK628">
        <v>4.4000000000000004</v>
      </c>
      <c r="AL628">
        <v>66.814599999999999</v>
      </c>
      <c r="AM628">
        <v>2.2000000000000002</v>
      </c>
      <c r="AN628">
        <v>31364</v>
      </c>
      <c r="AO628">
        <v>0</v>
      </c>
      <c r="AP628">
        <v>99.505799999999994</v>
      </c>
      <c r="AQ628">
        <v>99.177400000000006</v>
      </c>
      <c r="AR628">
        <v>99.416899999999998</v>
      </c>
      <c r="AS628">
        <v>91.108000000000004</v>
      </c>
      <c r="AT628">
        <v>95.806299999999993</v>
      </c>
      <c r="AU628">
        <v>9.2216000000000005</v>
      </c>
      <c r="AV628" s="19">
        <v>95.767200000000003</v>
      </c>
      <c r="AW628">
        <v>0</v>
      </c>
      <c r="AY628">
        <v>6</v>
      </c>
      <c r="AZ628">
        <v>6</v>
      </c>
      <c r="BA628">
        <v>95.060900000000004</v>
      </c>
      <c r="BB628">
        <v>44.985700000000001</v>
      </c>
      <c r="BC628">
        <v>6.7792000000000003</v>
      </c>
      <c r="BD628" s="19">
        <v>2.278</v>
      </c>
      <c r="BE628" s="19">
        <v>94.5946</v>
      </c>
      <c r="BF628">
        <v>48.509</v>
      </c>
      <c r="BG628">
        <v>35.9</v>
      </c>
      <c r="BH628" s="20"/>
      <c r="BI628" s="20"/>
      <c r="BJ628" s="19">
        <v>96.517399999999995</v>
      </c>
      <c r="BK628">
        <v>1.0273000000000001</v>
      </c>
      <c r="BL628">
        <v>1.1245000000000001</v>
      </c>
      <c r="BM628">
        <v>1.214</v>
      </c>
      <c r="BN628">
        <v>6</v>
      </c>
      <c r="BO628">
        <v>10.215</v>
      </c>
      <c r="BP628">
        <v>15.57</v>
      </c>
      <c r="BQ628" s="19">
        <v>108.2205</v>
      </c>
      <c r="BR628">
        <v>83.994299999999996</v>
      </c>
      <c r="BS628" s="20">
        <v>4.9649999999999999</v>
      </c>
      <c r="BT628" s="20">
        <v>4.9649999999999999</v>
      </c>
      <c r="BU628" s="20">
        <v>12.923999999999999</v>
      </c>
      <c r="BV628" s="20">
        <v>12.929</v>
      </c>
      <c r="BW628" s="19">
        <v>98.507499999999993</v>
      </c>
      <c r="BX628">
        <v>8.9700000000000006</v>
      </c>
      <c r="BY628" s="6">
        <v>19222349</v>
      </c>
      <c r="BZ628" s="5">
        <v>42895324</v>
      </c>
      <c r="CA628" s="7">
        <f t="shared" si="45"/>
        <v>2.2315339295941405</v>
      </c>
      <c r="CB628">
        <v>8924958</v>
      </c>
      <c r="CC628" s="8">
        <f t="shared" si="46"/>
        <v>4.8062213850194029</v>
      </c>
      <c r="CD628" s="8">
        <f t="shared" si="47"/>
        <v>2.1537747292480254</v>
      </c>
      <c r="CE628">
        <v>447424</v>
      </c>
      <c r="CF628" s="8">
        <f t="shared" si="48"/>
        <v>42.962266217279357</v>
      </c>
      <c r="CG628" s="8">
        <f t="shared" si="49"/>
        <v>95.87175475611501</v>
      </c>
      <c r="CH628">
        <v>107.27271</v>
      </c>
    </row>
    <row r="629" spans="1:86" ht="15.5" x14ac:dyDescent="0.35">
      <c r="A629" t="s">
        <v>112</v>
      </c>
      <c r="B629">
        <v>2003</v>
      </c>
      <c r="C629" s="2">
        <v>54.050699999999999</v>
      </c>
      <c r="D629">
        <v>111574.1</v>
      </c>
      <c r="E629">
        <v>0.13300000000000001</v>
      </c>
      <c r="F629">
        <v>6.6593</v>
      </c>
      <c r="G629">
        <v>71900</v>
      </c>
      <c r="H629">
        <v>9</v>
      </c>
      <c r="I629" s="19">
        <v>85.445999999999998</v>
      </c>
      <c r="J629" s="19">
        <v>85.400999999999996</v>
      </c>
      <c r="K629" s="19">
        <v>3.5779999999999998</v>
      </c>
      <c r="L629" s="19">
        <v>97.354500000000002</v>
      </c>
      <c r="M629" s="19">
        <v>19378000000</v>
      </c>
      <c r="N629" s="19">
        <v>72.919399999999996</v>
      </c>
      <c r="O629">
        <v>30.515000000000001</v>
      </c>
      <c r="P629">
        <v>12.223100000000001</v>
      </c>
      <c r="Q629" s="19">
        <v>37219.938000000002</v>
      </c>
      <c r="R629" s="19">
        <v>43474.5792</v>
      </c>
      <c r="S629" s="19">
        <v>1.5025999999999999</v>
      </c>
      <c r="T629" s="19">
        <v>50079.2644</v>
      </c>
      <c r="U629" s="19">
        <v>31791.577799999999</v>
      </c>
      <c r="V629">
        <v>25.3</v>
      </c>
      <c r="W629" s="19">
        <v>98.378399999999999</v>
      </c>
      <c r="X629">
        <v>99</v>
      </c>
      <c r="Z629">
        <v>95</v>
      </c>
      <c r="AA629">
        <v>3.2</v>
      </c>
      <c r="AB629">
        <v>79.099999999999994</v>
      </c>
      <c r="AC629">
        <v>80.095100000000002</v>
      </c>
      <c r="AE629">
        <v>5</v>
      </c>
      <c r="AF629">
        <v>92.4405</v>
      </c>
      <c r="AG629">
        <v>6</v>
      </c>
      <c r="AH629">
        <v>0.23</v>
      </c>
      <c r="AI629">
        <v>3.9</v>
      </c>
      <c r="AJ629">
        <v>3.5</v>
      </c>
      <c r="AK629">
        <v>4.2</v>
      </c>
      <c r="AL629">
        <v>66.9786</v>
      </c>
      <c r="AM629">
        <v>2.1</v>
      </c>
      <c r="AN629">
        <v>29161</v>
      </c>
      <c r="AO629">
        <v>0</v>
      </c>
      <c r="AP629">
        <v>99.5184</v>
      </c>
      <c r="AQ629">
        <v>99.161600000000007</v>
      </c>
      <c r="AR629">
        <v>99.429500000000004</v>
      </c>
      <c r="AS629">
        <v>91.1447</v>
      </c>
      <c r="AT629">
        <v>95.818799999999996</v>
      </c>
      <c r="AU629">
        <v>8.9194999999999993</v>
      </c>
      <c r="AV629" s="19">
        <v>96.482399999999998</v>
      </c>
      <c r="AW629">
        <v>0.3</v>
      </c>
      <c r="AY629">
        <v>6</v>
      </c>
      <c r="AZ629">
        <v>6</v>
      </c>
      <c r="BA629">
        <v>95.080100000000002</v>
      </c>
      <c r="BB629">
        <v>45.272199999999998</v>
      </c>
      <c r="BC629">
        <v>6.9141000000000004</v>
      </c>
      <c r="BD629" s="19">
        <v>1.881</v>
      </c>
      <c r="BE629" s="19">
        <v>94.054100000000005</v>
      </c>
      <c r="BF629">
        <v>43.406799999999997</v>
      </c>
      <c r="BG629">
        <v>34.6</v>
      </c>
      <c r="BH629" s="20">
        <v>3.5794999999999999</v>
      </c>
      <c r="BI629" s="20">
        <v>5389.3818000000001</v>
      </c>
      <c r="BJ629" s="19">
        <v>98.009900000000002</v>
      </c>
      <c r="BK629">
        <v>1.0256000000000001</v>
      </c>
      <c r="BL629">
        <v>1.1077999999999999</v>
      </c>
      <c r="BM629">
        <v>1.1829000000000001</v>
      </c>
      <c r="BN629">
        <v>6</v>
      </c>
      <c r="BO629">
        <v>9.8520000000000003</v>
      </c>
      <c r="BP629">
        <v>14.49</v>
      </c>
      <c r="BQ629" s="19">
        <v>107.3545</v>
      </c>
      <c r="BR629">
        <v>82.156000000000006</v>
      </c>
      <c r="BS629" s="20">
        <v>5.5549999999999997</v>
      </c>
      <c r="BT629" s="20">
        <v>5.5549999999999997</v>
      </c>
      <c r="BU629" s="20">
        <v>14.311999999999999</v>
      </c>
      <c r="BV629" s="20">
        <v>14.326000000000001</v>
      </c>
      <c r="BW629" s="19">
        <v>98.009900000000002</v>
      </c>
      <c r="BX629">
        <v>10.67</v>
      </c>
      <c r="BY629" s="6">
        <v>19661566</v>
      </c>
      <c r="BZ629" s="5">
        <v>44053559</v>
      </c>
      <c r="CA629" s="7">
        <f t="shared" si="45"/>
        <v>2.2405925855549857</v>
      </c>
      <c r="CB629">
        <v>8958229</v>
      </c>
      <c r="CC629" s="8">
        <f t="shared" si="46"/>
        <v>4.9176638596758355</v>
      </c>
      <c r="CD629" s="8">
        <f t="shared" si="47"/>
        <v>2.1948050222873294</v>
      </c>
      <c r="CE629">
        <v>447424</v>
      </c>
      <c r="CF629" s="8">
        <f t="shared" si="48"/>
        <v>43.943923437276496</v>
      </c>
      <c r="CG629" s="8">
        <f t="shared" si="49"/>
        <v>98.460429033757691</v>
      </c>
      <c r="CH629">
        <v>108.57029</v>
      </c>
    </row>
    <row r="630" spans="1:86" ht="15.5" x14ac:dyDescent="0.35">
      <c r="A630" t="s">
        <v>112</v>
      </c>
      <c r="B630">
        <v>2004</v>
      </c>
      <c r="C630" s="2">
        <v>53.623399999999997</v>
      </c>
      <c r="D630">
        <v>112232.1</v>
      </c>
      <c r="E630">
        <v>0.1242</v>
      </c>
      <c r="F630">
        <v>6.4561999999999999</v>
      </c>
      <c r="G630">
        <v>70800</v>
      </c>
      <c r="H630">
        <v>9</v>
      </c>
      <c r="I630" s="19">
        <v>86.316999999999993</v>
      </c>
      <c r="J630" s="19">
        <v>86.364999999999995</v>
      </c>
      <c r="K630" s="19">
        <v>4.0730000000000004</v>
      </c>
      <c r="L630" s="19">
        <v>97.536900000000003</v>
      </c>
      <c r="M630" s="19">
        <v>22820000000</v>
      </c>
      <c r="N630" s="19">
        <v>88.032899999999998</v>
      </c>
      <c r="O630">
        <v>31.588999999999999</v>
      </c>
      <c r="P630">
        <v>15.6775</v>
      </c>
      <c r="Q630" s="19">
        <v>42673.53</v>
      </c>
      <c r="R630" s="19">
        <v>45113.830900000001</v>
      </c>
      <c r="S630" s="19">
        <v>3.7706</v>
      </c>
      <c r="T630" s="19">
        <v>51967.552199999998</v>
      </c>
      <c r="U630" s="19">
        <v>33809.385499999997</v>
      </c>
      <c r="V630">
        <v>26.1</v>
      </c>
      <c r="W630" s="19">
        <v>98.507499999999993</v>
      </c>
      <c r="X630">
        <v>99</v>
      </c>
      <c r="Z630">
        <v>96</v>
      </c>
      <c r="AA630">
        <v>3.1</v>
      </c>
      <c r="AB630">
        <v>83.9</v>
      </c>
      <c r="AC630">
        <v>80.497600000000006</v>
      </c>
      <c r="AE630">
        <v>5</v>
      </c>
      <c r="AF630">
        <v>92.463899999999995</v>
      </c>
      <c r="AG630">
        <v>5.6</v>
      </c>
      <c r="AH630">
        <v>0.21</v>
      </c>
      <c r="AI630">
        <v>3.7</v>
      </c>
      <c r="AJ630">
        <v>3.4</v>
      </c>
      <c r="AK630">
        <v>4.0999999999999996</v>
      </c>
      <c r="AL630">
        <v>67.297300000000007</v>
      </c>
      <c r="AM630">
        <v>2</v>
      </c>
      <c r="AN630">
        <v>25842</v>
      </c>
      <c r="AO630">
        <v>0</v>
      </c>
      <c r="AP630">
        <v>99.530900000000003</v>
      </c>
      <c r="AQ630">
        <v>99.145799999999994</v>
      </c>
      <c r="AR630">
        <v>99.441999999999993</v>
      </c>
      <c r="AS630">
        <v>91.181399999999996</v>
      </c>
      <c r="AT630">
        <v>95.831299999999999</v>
      </c>
      <c r="AU630">
        <v>8.6377000000000006</v>
      </c>
      <c r="AV630" s="19">
        <v>96.601900000000001</v>
      </c>
      <c r="AW630">
        <v>0.4</v>
      </c>
      <c r="AY630">
        <v>6</v>
      </c>
      <c r="AZ630">
        <v>6</v>
      </c>
      <c r="BA630">
        <v>95.099299999999999</v>
      </c>
      <c r="BB630">
        <v>45.272199999999998</v>
      </c>
      <c r="BC630">
        <v>6.7225000000000001</v>
      </c>
      <c r="BD630" s="19">
        <v>4.18</v>
      </c>
      <c r="BE630" s="19">
        <v>95.522400000000005</v>
      </c>
      <c r="BF630">
        <v>44.973100000000002</v>
      </c>
      <c r="BG630">
        <v>35.5</v>
      </c>
      <c r="BH630" s="20">
        <v>3.3613</v>
      </c>
      <c r="BI630" s="20">
        <v>5434.9691999999995</v>
      </c>
      <c r="BJ630" s="19">
        <v>97.596199999999996</v>
      </c>
      <c r="BK630">
        <v>0.99529999999999996</v>
      </c>
      <c r="BL630">
        <v>1.0136000000000001</v>
      </c>
      <c r="BM630">
        <v>1.0318000000000001</v>
      </c>
      <c r="BN630">
        <v>6</v>
      </c>
      <c r="BO630">
        <v>10.273</v>
      </c>
      <c r="BP630">
        <v>14.77</v>
      </c>
      <c r="BQ630" s="19">
        <v>106.2046</v>
      </c>
      <c r="BR630">
        <v>77.437799999999996</v>
      </c>
      <c r="BS630" s="20">
        <v>6.6929999999999996</v>
      </c>
      <c r="BT630" s="20">
        <v>6.6929999999999996</v>
      </c>
      <c r="BU630" s="20">
        <v>18.521999999999998</v>
      </c>
      <c r="BV630" s="20">
        <v>18.538</v>
      </c>
      <c r="BW630" s="19">
        <v>99.038499999999999</v>
      </c>
      <c r="BX630">
        <v>11.67</v>
      </c>
      <c r="BY630" s="6">
        <v>20806061</v>
      </c>
      <c r="BZ630" s="5">
        <v>42665991</v>
      </c>
      <c r="CA630" s="7">
        <f t="shared" si="45"/>
        <v>2.0506520191399997</v>
      </c>
      <c r="CB630">
        <v>8993531</v>
      </c>
      <c r="CC630" s="8">
        <f t="shared" si="46"/>
        <v>4.7440756027860473</v>
      </c>
      <c r="CD630" s="8">
        <f t="shared" si="47"/>
        <v>2.3134474101440246</v>
      </c>
      <c r="CE630">
        <v>447424</v>
      </c>
      <c r="CF630" s="8">
        <f t="shared" si="48"/>
        <v>46.501888588900016</v>
      </c>
      <c r="CG630" s="8">
        <f t="shared" si="49"/>
        <v>95.359191728651126</v>
      </c>
      <c r="CH630">
        <v>107.62582</v>
      </c>
    </row>
    <row r="631" spans="1:86" ht="15.5" x14ac:dyDescent="0.35">
      <c r="A631" t="s">
        <v>112</v>
      </c>
      <c r="B631">
        <v>2005</v>
      </c>
      <c r="C631" s="2">
        <v>53.110700000000001</v>
      </c>
      <c r="D631">
        <v>111384.5</v>
      </c>
      <c r="E631">
        <v>0.1135</v>
      </c>
      <c r="F631">
        <v>6.0392000000000001</v>
      </c>
      <c r="G631">
        <v>68300</v>
      </c>
      <c r="H631">
        <v>9</v>
      </c>
      <c r="I631" s="19">
        <v>87.037999999999997</v>
      </c>
      <c r="J631" s="19">
        <v>87.317999999999998</v>
      </c>
      <c r="K631" s="19">
        <v>3.875</v>
      </c>
      <c r="L631" s="19">
        <v>97.561000000000007</v>
      </c>
      <c r="M631" s="19">
        <v>23310000000</v>
      </c>
      <c r="N631" s="19">
        <v>93.528599999999997</v>
      </c>
      <c r="O631">
        <v>29.131</v>
      </c>
      <c r="P631">
        <v>27.9298</v>
      </c>
      <c r="Q631" s="19">
        <v>43291.519999999997</v>
      </c>
      <c r="R631" s="19">
        <v>46188.841099999998</v>
      </c>
      <c r="S631" s="19">
        <v>2.3828999999999998</v>
      </c>
      <c r="T631" s="19">
        <v>53205.878700000001</v>
      </c>
      <c r="U631" s="19">
        <v>34198.386500000001</v>
      </c>
      <c r="V631">
        <v>26.8</v>
      </c>
      <c r="W631" s="19">
        <v>97.549000000000007</v>
      </c>
      <c r="X631">
        <v>98</v>
      </c>
      <c r="Z631">
        <v>96</v>
      </c>
      <c r="AA631">
        <v>3</v>
      </c>
      <c r="AB631">
        <v>84.8</v>
      </c>
      <c r="AC631">
        <v>80.546300000000002</v>
      </c>
      <c r="AE631">
        <v>5</v>
      </c>
      <c r="AF631">
        <v>92.895700000000005</v>
      </c>
      <c r="AG631">
        <v>5.3</v>
      </c>
      <c r="AH631">
        <v>0.18</v>
      </c>
      <c r="AI631">
        <v>3.6</v>
      </c>
      <c r="AJ631">
        <v>3.3</v>
      </c>
      <c r="AK631">
        <v>3.9</v>
      </c>
      <c r="AL631">
        <v>67.701499999999996</v>
      </c>
      <c r="AM631">
        <v>1.9</v>
      </c>
      <c r="AN631">
        <v>27030</v>
      </c>
      <c r="AO631">
        <v>0</v>
      </c>
      <c r="AP631">
        <v>99.543300000000002</v>
      </c>
      <c r="AQ631">
        <v>99.13</v>
      </c>
      <c r="AR631">
        <v>99.454400000000007</v>
      </c>
      <c r="AS631">
        <v>91.218000000000004</v>
      </c>
      <c r="AT631">
        <v>95.843800000000002</v>
      </c>
      <c r="AU631">
        <v>8.4243000000000006</v>
      </c>
      <c r="AV631" s="19">
        <v>94.660200000000003</v>
      </c>
      <c r="AW631">
        <v>1.1000000000000001</v>
      </c>
      <c r="AY631">
        <v>6</v>
      </c>
      <c r="AZ631">
        <v>6</v>
      </c>
      <c r="BA631">
        <v>95.118499999999997</v>
      </c>
      <c r="BB631">
        <v>45.272199999999998</v>
      </c>
      <c r="BC631">
        <v>6.7076000000000002</v>
      </c>
      <c r="BD631" s="19">
        <v>2.7930000000000001</v>
      </c>
      <c r="BE631" s="19">
        <v>92.647099999999995</v>
      </c>
      <c r="BF631">
        <v>51.315800000000003</v>
      </c>
      <c r="BG631">
        <v>39.299999999999997</v>
      </c>
      <c r="BH631" s="20">
        <v>3.3595999999999999</v>
      </c>
      <c r="BI631" s="20">
        <v>6103.3091000000004</v>
      </c>
      <c r="BJ631" s="19">
        <v>96.172200000000004</v>
      </c>
      <c r="BK631">
        <v>0.997</v>
      </c>
      <c r="BL631">
        <v>0.99619999999999997</v>
      </c>
      <c r="BM631">
        <v>0.99550000000000005</v>
      </c>
      <c r="BN631">
        <v>6</v>
      </c>
      <c r="BO631">
        <v>14.542999999999999</v>
      </c>
      <c r="BP631">
        <v>15.73</v>
      </c>
      <c r="BQ631" s="19">
        <v>104.0942</v>
      </c>
      <c r="BR631">
        <v>73.8172</v>
      </c>
      <c r="BS631" s="20">
        <v>7.81</v>
      </c>
      <c r="BT631" s="20">
        <v>7.81</v>
      </c>
      <c r="BU631" s="20">
        <v>22.829000000000001</v>
      </c>
      <c r="BV631" s="20">
        <v>22.84</v>
      </c>
      <c r="BW631" s="19">
        <v>96.634600000000006</v>
      </c>
      <c r="BX631">
        <v>12.4</v>
      </c>
      <c r="BY631" s="6">
        <v>22565030</v>
      </c>
      <c r="BZ631" s="5">
        <v>44940256</v>
      </c>
      <c r="CA631" s="7">
        <f t="shared" si="45"/>
        <v>1.9915885775467614</v>
      </c>
      <c r="CB631">
        <v>9029572</v>
      </c>
      <c r="CC631" s="8">
        <f t="shared" si="46"/>
        <v>4.9770084340653131</v>
      </c>
      <c r="CD631" s="8">
        <f t="shared" si="47"/>
        <v>2.499014349738836</v>
      </c>
      <c r="CE631">
        <v>447424</v>
      </c>
      <c r="CF631" s="8">
        <f t="shared" si="48"/>
        <v>50.433213238449433</v>
      </c>
      <c r="CG631" s="8">
        <f t="shared" si="49"/>
        <v>100.44221141467601</v>
      </c>
      <c r="CH631">
        <v>104.06899</v>
      </c>
    </row>
    <row r="632" spans="1:86" ht="15.5" x14ac:dyDescent="0.35">
      <c r="A632" t="s">
        <v>112</v>
      </c>
      <c r="B632">
        <v>2006</v>
      </c>
      <c r="C632" s="2">
        <v>52.566000000000003</v>
      </c>
      <c r="D632">
        <v>114103.3</v>
      </c>
      <c r="E632">
        <v>0.1096</v>
      </c>
      <c r="F632">
        <v>6.0674999999999999</v>
      </c>
      <c r="G632">
        <v>70000</v>
      </c>
      <c r="H632">
        <v>9</v>
      </c>
      <c r="I632" s="19">
        <v>88.343000000000004</v>
      </c>
      <c r="J632" s="19">
        <v>88.543999999999997</v>
      </c>
      <c r="K632" s="19">
        <v>3.7789999999999999</v>
      </c>
      <c r="L632" s="19">
        <v>98.536600000000007</v>
      </c>
      <c r="M632" s="19">
        <v>34141000000</v>
      </c>
      <c r="N632" s="19">
        <v>105.54859999999999</v>
      </c>
      <c r="O632">
        <v>31.734999999999999</v>
      </c>
      <c r="P632">
        <v>27.41</v>
      </c>
      <c r="Q632" s="19">
        <v>46364.061999999998</v>
      </c>
      <c r="R632" s="19">
        <v>48077.440900000001</v>
      </c>
      <c r="S632" s="19">
        <v>4.0888999999999998</v>
      </c>
      <c r="T632" s="19">
        <v>55381.395700000001</v>
      </c>
      <c r="U632" s="19">
        <v>37679.720500000003</v>
      </c>
      <c r="V632">
        <v>26.4</v>
      </c>
      <c r="W632" s="19">
        <v>95.609800000000007</v>
      </c>
      <c r="X632">
        <v>98</v>
      </c>
      <c r="Z632">
        <v>97</v>
      </c>
      <c r="AA632">
        <v>2.8</v>
      </c>
      <c r="AB632">
        <v>87.8</v>
      </c>
      <c r="AC632">
        <v>80.748800000000003</v>
      </c>
      <c r="AE632">
        <v>5</v>
      </c>
      <c r="AF632">
        <v>92.994600000000005</v>
      </c>
      <c r="AG632">
        <v>5.3</v>
      </c>
      <c r="AH632">
        <v>0.26</v>
      </c>
      <c r="AI632">
        <v>3.5</v>
      </c>
      <c r="AJ632">
        <v>3.1</v>
      </c>
      <c r="AK632">
        <v>3.8</v>
      </c>
      <c r="AL632">
        <v>69.804599999999994</v>
      </c>
      <c r="AM632">
        <v>1.8</v>
      </c>
      <c r="AN632">
        <v>51675</v>
      </c>
      <c r="AO632">
        <v>0</v>
      </c>
      <c r="AP632">
        <v>99.556100000000001</v>
      </c>
      <c r="AQ632">
        <v>99.114099999999993</v>
      </c>
      <c r="AR632">
        <v>99.467200000000005</v>
      </c>
      <c r="AS632">
        <v>91.2547</v>
      </c>
      <c r="AT632">
        <v>95.856300000000005</v>
      </c>
      <c r="AU632">
        <v>8.2571999999999992</v>
      </c>
      <c r="AV632" s="19">
        <v>95.652199999999993</v>
      </c>
      <c r="AW632">
        <v>0.4</v>
      </c>
      <c r="AY632">
        <v>6</v>
      </c>
      <c r="AZ632">
        <v>6</v>
      </c>
      <c r="BA632">
        <v>95.139899999999997</v>
      </c>
      <c r="BB632">
        <v>47.277900000000002</v>
      </c>
      <c r="BC632">
        <v>6.6315999999999997</v>
      </c>
      <c r="BD632" s="19">
        <v>4.6760000000000002</v>
      </c>
      <c r="BE632" s="19">
        <v>92.156899999999993</v>
      </c>
      <c r="BF632">
        <v>49.6464</v>
      </c>
      <c r="BG632">
        <v>40.1</v>
      </c>
      <c r="BH632" s="20">
        <v>3.4750000000000001</v>
      </c>
      <c r="BI632" s="20">
        <v>6159.3486000000003</v>
      </c>
      <c r="BJ632" s="19">
        <v>97.607699999999994</v>
      </c>
      <c r="BK632">
        <v>0.99760000000000004</v>
      </c>
      <c r="BL632">
        <v>0.99629999999999996</v>
      </c>
      <c r="BM632">
        <v>0.99539999999999995</v>
      </c>
      <c r="BN632">
        <v>6</v>
      </c>
      <c r="BO632">
        <v>9.3550000000000004</v>
      </c>
      <c r="BP632">
        <v>15.19</v>
      </c>
      <c r="BQ632" s="19">
        <v>102.127</v>
      </c>
      <c r="BR632">
        <v>74.706100000000006</v>
      </c>
      <c r="BS632" s="20">
        <v>7.0659999999999998</v>
      </c>
      <c r="BT632" s="20">
        <v>7.0659999999999998</v>
      </c>
      <c r="BU632" s="20">
        <v>21.475000000000001</v>
      </c>
      <c r="BV632" s="20">
        <v>21.498999999999999</v>
      </c>
      <c r="BW632" s="19">
        <v>96.634600000000006</v>
      </c>
      <c r="BX632">
        <v>10.97</v>
      </c>
      <c r="BY632" s="6">
        <v>21613354</v>
      </c>
      <c r="BZ632" s="5">
        <v>47696546</v>
      </c>
      <c r="CA632" s="7">
        <f t="shared" si="45"/>
        <v>2.2068090866415271</v>
      </c>
      <c r="CB632">
        <v>9080505</v>
      </c>
      <c r="CC632" s="8">
        <f t="shared" si="46"/>
        <v>5.2526314340446927</v>
      </c>
      <c r="CD632" s="8">
        <f t="shared" si="47"/>
        <v>2.3801929518237146</v>
      </c>
      <c r="CE632">
        <v>447424</v>
      </c>
      <c r="CF632" s="8">
        <f t="shared" si="48"/>
        <v>48.306201723644683</v>
      </c>
      <c r="CG632" s="8">
        <f t="shared" si="49"/>
        <v>106.6025649048777</v>
      </c>
      <c r="CH632">
        <v>103.65367000000001</v>
      </c>
    </row>
    <row r="633" spans="1:86" ht="15.5" x14ac:dyDescent="0.35">
      <c r="A633" t="s">
        <v>112</v>
      </c>
      <c r="B633">
        <v>2007</v>
      </c>
      <c r="C633" s="2">
        <v>52.280200000000001</v>
      </c>
      <c r="D633">
        <v>115580.4</v>
      </c>
      <c r="E633">
        <v>0.1018</v>
      </c>
      <c r="F633">
        <v>5.7762000000000002</v>
      </c>
      <c r="G633">
        <v>67800</v>
      </c>
      <c r="H633">
        <v>9</v>
      </c>
      <c r="I633" s="19">
        <v>89.826999999999998</v>
      </c>
      <c r="J633" s="19">
        <v>90.573999999999998</v>
      </c>
      <c r="K633" s="19">
        <v>5.1950000000000003</v>
      </c>
      <c r="L633" s="19">
        <v>98.543700000000001</v>
      </c>
      <c r="M633" s="19">
        <v>39549000000</v>
      </c>
      <c r="N633" s="19">
        <v>120.5634</v>
      </c>
      <c r="O633">
        <v>31.024999999999999</v>
      </c>
      <c r="P633">
        <v>30.391500000000001</v>
      </c>
      <c r="Q633" s="19">
        <v>53365.591999999997</v>
      </c>
      <c r="R633" s="19">
        <v>49261.2399</v>
      </c>
      <c r="S633" s="19">
        <v>2.4622999999999999</v>
      </c>
      <c r="T633" s="19">
        <v>56745.0383</v>
      </c>
      <c r="U633" s="19">
        <v>40814.291599999997</v>
      </c>
      <c r="V633">
        <v>27.1</v>
      </c>
      <c r="W633" s="19">
        <v>98.543700000000001</v>
      </c>
      <c r="X633">
        <v>98</v>
      </c>
      <c r="Z633">
        <v>96</v>
      </c>
      <c r="AA633">
        <v>2.7</v>
      </c>
      <c r="AB633">
        <v>82</v>
      </c>
      <c r="AC633">
        <v>80.900000000000006</v>
      </c>
      <c r="AE633">
        <v>5</v>
      </c>
      <c r="AF633">
        <v>93.074299999999994</v>
      </c>
      <c r="AG633">
        <v>5.3</v>
      </c>
      <c r="AH633">
        <v>0.28999999999999998</v>
      </c>
      <c r="AI633">
        <v>3.3</v>
      </c>
      <c r="AJ633">
        <v>3</v>
      </c>
      <c r="AK633">
        <v>3.6</v>
      </c>
      <c r="AL633">
        <v>70.016900000000007</v>
      </c>
      <c r="AM633">
        <v>1.8</v>
      </c>
      <c r="AN633">
        <v>54907</v>
      </c>
      <c r="AO633">
        <v>0</v>
      </c>
      <c r="AP633">
        <v>99.569199999999995</v>
      </c>
      <c r="AQ633">
        <v>99.098299999999995</v>
      </c>
      <c r="AR633">
        <v>99.4803</v>
      </c>
      <c r="AS633">
        <v>91.291399999999996</v>
      </c>
      <c r="AT633">
        <v>95.868799999999993</v>
      </c>
      <c r="AU633">
        <v>8.0947999999999993</v>
      </c>
      <c r="AV633" s="19">
        <v>95.652199999999993</v>
      </c>
      <c r="AW633">
        <v>0.4</v>
      </c>
      <c r="AX633">
        <v>13.5</v>
      </c>
      <c r="AY633">
        <v>6</v>
      </c>
      <c r="AZ633">
        <v>6</v>
      </c>
      <c r="BA633">
        <v>95.163399999999996</v>
      </c>
      <c r="BB633">
        <v>46.991399999999999</v>
      </c>
      <c r="BC633">
        <v>6.5979999999999999</v>
      </c>
      <c r="BD633" s="19">
        <v>3.2250000000000001</v>
      </c>
      <c r="BE633" s="19">
        <v>93.689300000000003</v>
      </c>
      <c r="BF633">
        <v>52.058799999999998</v>
      </c>
      <c r="BG633">
        <v>41.8</v>
      </c>
      <c r="BH633" s="20">
        <v>3.2338</v>
      </c>
      <c r="BI633" s="20">
        <v>5026.8978999999999</v>
      </c>
      <c r="BJ633" s="19">
        <v>98.086100000000002</v>
      </c>
      <c r="BK633">
        <v>0.99719999999999998</v>
      </c>
      <c r="BL633">
        <v>0.99470000000000003</v>
      </c>
      <c r="BM633">
        <v>0.99280000000000002</v>
      </c>
      <c r="BN633">
        <v>6</v>
      </c>
      <c r="BO633">
        <v>7.54</v>
      </c>
      <c r="BP633">
        <v>14.64</v>
      </c>
      <c r="BQ633" s="19">
        <v>103.4264</v>
      </c>
      <c r="BR633">
        <v>77.610299999999995</v>
      </c>
      <c r="BS633" s="20">
        <v>6.1609999999999996</v>
      </c>
      <c r="BT633" s="20">
        <v>6.1609999999999996</v>
      </c>
      <c r="BU633" s="20">
        <v>19.260000000000002</v>
      </c>
      <c r="BV633" s="20">
        <v>19.266999999999999</v>
      </c>
      <c r="BW633" s="19">
        <v>98.557699999999997</v>
      </c>
      <c r="BX633">
        <v>8.9700000000000006</v>
      </c>
      <c r="BY633" s="6">
        <v>23089281</v>
      </c>
      <c r="BZ633" s="5">
        <v>48605233</v>
      </c>
      <c r="CA633" s="7">
        <f t="shared" si="45"/>
        <v>2.1050994615206946</v>
      </c>
      <c r="CB633">
        <v>9148092</v>
      </c>
      <c r="CC633" s="8">
        <f t="shared" si="46"/>
        <v>5.3131552459245057</v>
      </c>
      <c r="CD633" s="8">
        <f t="shared" si="47"/>
        <v>2.5239449931198767</v>
      </c>
      <c r="CE633">
        <v>447424</v>
      </c>
      <c r="CF633" s="8">
        <f t="shared" si="48"/>
        <v>51.604922847232153</v>
      </c>
      <c r="CG633" s="8">
        <f t="shared" si="49"/>
        <v>108.63349529752539</v>
      </c>
      <c r="CH633">
        <v>102.87822</v>
      </c>
    </row>
    <row r="634" spans="1:86" ht="15.5" x14ac:dyDescent="0.35">
      <c r="A634" t="s">
        <v>112</v>
      </c>
      <c r="B634">
        <v>2008</v>
      </c>
      <c r="C634" s="2">
        <v>52.373800000000003</v>
      </c>
      <c r="D634">
        <v>113144.4</v>
      </c>
      <c r="E634">
        <v>0.10050000000000001</v>
      </c>
      <c r="F634">
        <v>5.6086999999999998</v>
      </c>
      <c r="G634">
        <v>65500</v>
      </c>
      <c r="H634">
        <v>9</v>
      </c>
      <c r="I634" s="19">
        <v>92.834000000000003</v>
      </c>
      <c r="J634" s="19">
        <v>92.988</v>
      </c>
      <c r="K634" s="19">
        <v>4.5810000000000004</v>
      </c>
      <c r="L634" s="19">
        <v>97.572800000000001</v>
      </c>
      <c r="M634" s="19">
        <v>39902000000</v>
      </c>
      <c r="N634" s="19">
        <v>130.92619999999999</v>
      </c>
      <c r="O634">
        <v>30.818000000000001</v>
      </c>
      <c r="P634">
        <v>31.484400000000001</v>
      </c>
      <c r="Q634" s="19">
        <v>55596.078000000001</v>
      </c>
      <c r="R634" s="19">
        <v>48427.756399999998</v>
      </c>
      <c r="S634" s="19">
        <v>-1.6919999999999999</v>
      </c>
      <c r="T634" s="19">
        <v>55784.931299999997</v>
      </c>
      <c r="U634" s="19">
        <v>41906.699000000001</v>
      </c>
      <c r="V634">
        <v>28.1</v>
      </c>
      <c r="W634" s="19">
        <v>98.058300000000003</v>
      </c>
      <c r="X634">
        <v>98</v>
      </c>
      <c r="Z634">
        <v>96</v>
      </c>
      <c r="AA634">
        <v>2.6</v>
      </c>
      <c r="AB634">
        <v>90</v>
      </c>
      <c r="AC634">
        <v>81.099999999999994</v>
      </c>
      <c r="AE634">
        <v>5</v>
      </c>
      <c r="AF634">
        <v>93.272099999999995</v>
      </c>
      <c r="AG634">
        <v>4.8</v>
      </c>
      <c r="AH634">
        <v>0.24</v>
      </c>
      <c r="AI634">
        <v>3.2</v>
      </c>
      <c r="AJ634">
        <v>2.9</v>
      </c>
      <c r="AK634">
        <v>3.5</v>
      </c>
      <c r="AL634">
        <v>69.873999999999995</v>
      </c>
      <c r="AM634">
        <v>1.7</v>
      </c>
      <c r="AN634">
        <v>56452</v>
      </c>
      <c r="AO634">
        <v>0</v>
      </c>
      <c r="AP634">
        <v>99.582099999999997</v>
      </c>
      <c r="AQ634">
        <v>99.082300000000004</v>
      </c>
      <c r="AR634">
        <v>99.493200000000002</v>
      </c>
      <c r="AS634">
        <v>91.328000000000003</v>
      </c>
      <c r="AT634">
        <v>95.881299999999996</v>
      </c>
      <c r="AU634">
        <v>7.9558999999999997</v>
      </c>
      <c r="AV634" s="19">
        <v>90.384600000000006</v>
      </c>
      <c r="AW634">
        <v>0.6</v>
      </c>
      <c r="AX634">
        <v>14.4</v>
      </c>
      <c r="AY634">
        <v>6</v>
      </c>
      <c r="AZ634">
        <v>6</v>
      </c>
      <c r="BA634">
        <v>95.186800000000005</v>
      </c>
      <c r="BB634">
        <v>46.991399999999999</v>
      </c>
      <c r="BC634">
        <v>6.7718999999999996</v>
      </c>
      <c r="BD634" s="19">
        <v>-0.92300000000000004</v>
      </c>
      <c r="BE634" s="19">
        <v>95.145600000000002</v>
      </c>
      <c r="BF634">
        <v>54.353200000000001</v>
      </c>
      <c r="BG634">
        <v>43.2</v>
      </c>
      <c r="BH634" s="20">
        <v>3.47</v>
      </c>
      <c r="BI634" s="20">
        <v>5468.6967999999997</v>
      </c>
      <c r="BJ634" s="19">
        <v>99.038499999999999</v>
      </c>
      <c r="BK634">
        <v>0.99480000000000002</v>
      </c>
      <c r="BL634">
        <v>0.99409999999999998</v>
      </c>
      <c r="BM634">
        <v>0.99360000000000004</v>
      </c>
      <c r="BN634">
        <v>6</v>
      </c>
      <c r="BO634">
        <v>7.8719999999999999</v>
      </c>
      <c r="BP634">
        <v>15.06</v>
      </c>
      <c r="BQ634" s="19">
        <v>101.58540000000001</v>
      </c>
      <c r="BR634">
        <v>76.806600000000003</v>
      </c>
      <c r="BS634" s="20">
        <v>6.2350000000000003</v>
      </c>
      <c r="BT634" s="20">
        <v>6.2350000000000003</v>
      </c>
      <c r="BU634" s="20">
        <v>20.206</v>
      </c>
      <c r="BV634" s="20">
        <v>20.210999999999999</v>
      </c>
      <c r="BW634" s="19">
        <v>98.557699999999997</v>
      </c>
      <c r="BX634">
        <v>10.36</v>
      </c>
      <c r="BY634" s="6">
        <v>22456293</v>
      </c>
      <c r="BZ634" s="5">
        <v>46540868</v>
      </c>
      <c r="CA634" s="7">
        <f t="shared" si="45"/>
        <v>2.0725089399216512</v>
      </c>
      <c r="CB634">
        <v>9219637</v>
      </c>
      <c r="CC634" s="8">
        <f t="shared" si="46"/>
        <v>5.0480152309684208</v>
      </c>
      <c r="CD634" s="8">
        <f t="shared" si="47"/>
        <v>2.4357025119318689</v>
      </c>
      <c r="CE634">
        <v>447424</v>
      </c>
      <c r="CF634" s="8">
        <f t="shared" si="48"/>
        <v>50.190184254756112</v>
      </c>
      <c r="CG634" s="8">
        <f t="shared" si="49"/>
        <v>104.01960556429695</v>
      </c>
      <c r="CH634">
        <v>98.422169999999994</v>
      </c>
    </row>
    <row r="635" spans="1:86" ht="15.5" x14ac:dyDescent="0.35">
      <c r="A635" t="s">
        <v>112</v>
      </c>
      <c r="B635">
        <v>2009</v>
      </c>
      <c r="C635" s="2">
        <v>52.822000000000003</v>
      </c>
      <c r="D635">
        <v>98961.87</v>
      </c>
      <c r="E635">
        <v>9.5299999999999996E-2</v>
      </c>
      <c r="F635">
        <v>5.0457999999999998</v>
      </c>
      <c r="G635">
        <v>60800</v>
      </c>
      <c r="H635">
        <v>9</v>
      </c>
      <c r="I635" s="19">
        <v>94.632999999999996</v>
      </c>
      <c r="J635" s="19">
        <v>95.152000000000001</v>
      </c>
      <c r="K635" s="19">
        <v>3.16</v>
      </c>
      <c r="L635" s="19">
        <v>99.043099999999995</v>
      </c>
      <c r="M635" s="19">
        <v>25739000000</v>
      </c>
      <c r="N635" s="19">
        <v>93.399199999999993</v>
      </c>
      <c r="O635">
        <v>31.13</v>
      </c>
      <c r="P635">
        <v>31.672000000000001</v>
      </c>
      <c r="Q635" s="19">
        <v>46496.896000000001</v>
      </c>
      <c r="R635" s="19">
        <v>45973.553800000002</v>
      </c>
      <c r="S635" s="19">
        <v>-5.0678000000000001</v>
      </c>
      <c r="T635" s="19">
        <v>52957.884700000002</v>
      </c>
      <c r="U635" s="19">
        <v>40073.148200000003</v>
      </c>
      <c r="V635">
        <v>27.3</v>
      </c>
      <c r="W635" s="19">
        <v>98.564599999999999</v>
      </c>
      <c r="X635">
        <v>98</v>
      </c>
      <c r="Z635">
        <v>97</v>
      </c>
      <c r="AA635">
        <v>2.6</v>
      </c>
      <c r="AB635">
        <v>91</v>
      </c>
      <c r="AC635">
        <v>81.351200000000006</v>
      </c>
      <c r="AD635">
        <v>99.676400000000001</v>
      </c>
      <c r="AE635">
        <v>5</v>
      </c>
      <c r="AF635">
        <v>93.323599999999999</v>
      </c>
      <c r="AG635">
        <v>4.0999999999999996</v>
      </c>
      <c r="AH635">
        <v>0.27</v>
      </c>
      <c r="AI635">
        <v>3.1</v>
      </c>
      <c r="AJ635">
        <v>2.9</v>
      </c>
      <c r="AK635">
        <v>3.4</v>
      </c>
      <c r="AL635">
        <v>69.760599999999997</v>
      </c>
      <c r="AM635">
        <v>1.6</v>
      </c>
      <c r="AN635">
        <v>63638</v>
      </c>
      <c r="AO635">
        <v>0</v>
      </c>
      <c r="AP635">
        <v>99.594899999999996</v>
      </c>
      <c r="AQ635">
        <v>99.066199999999995</v>
      </c>
      <c r="AR635">
        <v>99.506</v>
      </c>
      <c r="AS635">
        <v>91.364699999999999</v>
      </c>
      <c r="AT635">
        <v>95.893799999999999</v>
      </c>
      <c r="AU635">
        <v>7.8589000000000002</v>
      </c>
      <c r="AV635" s="19">
        <v>87.203800000000001</v>
      </c>
      <c r="AW635">
        <v>0.5</v>
      </c>
      <c r="AX635">
        <v>14.8</v>
      </c>
      <c r="AY635">
        <v>6</v>
      </c>
      <c r="AZ635">
        <v>6</v>
      </c>
      <c r="BA635">
        <v>95.21</v>
      </c>
      <c r="BB635">
        <v>46.418300000000002</v>
      </c>
      <c r="BC635">
        <v>7.2367999999999997</v>
      </c>
      <c r="BD635" s="19">
        <v>-4.2560000000000002</v>
      </c>
      <c r="BE635" s="19">
        <v>95.693799999999996</v>
      </c>
      <c r="BF635">
        <v>58.459600000000002</v>
      </c>
      <c r="BG635">
        <v>45.7</v>
      </c>
      <c r="BH635" s="20">
        <v>3.3953000000000002</v>
      </c>
      <c r="BI635" s="20">
        <v>5110.7178000000004</v>
      </c>
      <c r="BJ635" s="19">
        <v>99.5261</v>
      </c>
      <c r="BK635">
        <v>0.99509999999999998</v>
      </c>
      <c r="BL635">
        <v>0.99339999999999995</v>
      </c>
      <c r="BM635">
        <v>0.99209999999999998</v>
      </c>
      <c r="BN635">
        <v>6</v>
      </c>
      <c r="BO635">
        <v>9.6389999999999993</v>
      </c>
      <c r="BP635">
        <v>15.69</v>
      </c>
      <c r="BQ635" s="19">
        <v>103.2075</v>
      </c>
      <c r="BR635">
        <v>70.3489</v>
      </c>
      <c r="BS635" s="20">
        <v>8.3510000000000009</v>
      </c>
      <c r="BT635" s="20">
        <v>8.3510000000000009</v>
      </c>
      <c r="BU635" s="20">
        <v>25.024000000000001</v>
      </c>
      <c r="BV635" s="20">
        <v>25.030999999999999</v>
      </c>
      <c r="BW635" s="19">
        <v>98.578199999999995</v>
      </c>
      <c r="BX635">
        <v>11.4</v>
      </c>
      <c r="BY635" s="6">
        <v>22804713</v>
      </c>
      <c r="BZ635" s="5">
        <v>47390976</v>
      </c>
      <c r="CA635" s="7">
        <f t="shared" si="45"/>
        <v>2.0781220092530872</v>
      </c>
      <c r="CB635">
        <v>9298515</v>
      </c>
      <c r="CC635" s="8">
        <f t="shared" si="46"/>
        <v>5.0966176857272369</v>
      </c>
      <c r="CD635" s="8">
        <f t="shared" si="47"/>
        <v>2.4525112880927762</v>
      </c>
      <c r="CE635">
        <v>447424</v>
      </c>
      <c r="CF635" s="8">
        <f t="shared" si="48"/>
        <v>50.968908686167929</v>
      </c>
      <c r="CG635" s="8">
        <f t="shared" si="49"/>
        <v>105.91961092833644</v>
      </c>
      <c r="CH635">
        <v>91.17013</v>
      </c>
    </row>
    <row r="636" spans="1:86" ht="15.5" x14ac:dyDescent="0.35">
      <c r="A636" t="s">
        <v>112</v>
      </c>
      <c r="B636">
        <v>2010</v>
      </c>
      <c r="C636" s="2">
        <v>53.566800000000001</v>
      </c>
      <c r="D636">
        <v>110802.7</v>
      </c>
      <c r="E636">
        <v>0.10150000000000001</v>
      </c>
      <c r="F636">
        <v>5.6387999999999998</v>
      </c>
      <c r="G636">
        <v>67100</v>
      </c>
      <c r="H636">
        <v>9</v>
      </c>
      <c r="I636" s="19">
        <v>96.430999999999997</v>
      </c>
      <c r="J636" s="19">
        <v>96.841999999999999</v>
      </c>
      <c r="K636" s="19">
        <v>4.1509999999999998</v>
      </c>
      <c r="L636" s="19">
        <v>99.047600000000003</v>
      </c>
      <c r="M636" s="19">
        <v>28956000000</v>
      </c>
      <c r="N636" s="19">
        <v>113.2306</v>
      </c>
      <c r="O636">
        <v>31.338000000000001</v>
      </c>
      <c r="P636">
        <v>31.984000000000002</v>
      </c>
      <c r="Q636" s="19">
        <v>52333.874000000003</v>
      </c>
      <c r="R636" s="19">
        <v>48204.658100000001</v>
      </c>
      <c r="S636" s="19">
        <v>4.8529999999999998</v>
      </c>
      <c r="T636" s="19">
        <v>55527.9398</v>
      </c>
      <c r="U636" s="19">
        <v>41956.129000000001</v>
      </c>
      <c r="V636">
        <v>27.7</v>
      </c>
      <c r="W636" s="19">
        <v>98.564599999999999</v>
      </c>
      <c r="X636">
        <v>98</v>
      </c>
      <c r="Z636">
        <v>97</v>
      </c>
      <c r="AA636">
        <v>2.5</v>
      </c>
      <c r="AB636">
        <v>90</v>
      </c>
      <c r="AC636">
        <v>81.4512</v>
      </c>
      <c r="AD636">
        <v>99.410499999999999</v>
      </c>
      <c r="AE636">
        <v>5</v>
      </c>
      <c r="AF636">
        <v>94.34</v>
      </c>
      <c r="AG636">
        <v>3</v>
      </c>
      <c r="AH636">
        <v>0.26</v>
      </c>
      <c r="AI636">
        <v>3.1</v>
      </c>
      <c r="AJ636">
        <v>2.8</v>
      </c>
      <c r="AK636">
        <v>3.3</v>
      </c>
      <c r="AL636">
        <v>70.650599999999997</v>
      </c>
      <c r="AM636">
        <v>1.6</v>
      </c>
      <c r="AN636">
        <v>51175</v>
      </c>
      <c r="AO636">
        <v>0</v>
      </c>
      <c r="AP636">
        <v>99.607500000000002</v>
      </c>
      <c r="AQ636">
        <v>99.0501</v>
      </c>
      <c r="AR636">
        <v>99.526700000000005</v>
      </c>
      <c r="AS636">
        <v>91.401399999999995</v>
      </c>
      <c r="AT636">
        <v>95.906300000000002</v>
      </c>
      <c r="AU636">
        <v>7.8224999999999998</v>
      </c>
      <c r="AV636" s="19">
        <v>87.677700000000002</v>
      </c>
      <c r="AW636">
        <v>0.5</v>
      </c>
      <c r="AX636">
        <v>15.4</v>
      </c>
      <c r="AY636">
        <v>6</v>
      </c>
      <c r="AZ636">
        <v>6</v>
      </c>
      <c r="BA636">
        <v>95.233099999999993</v>
      </c>
      <c r="BB636">
        <v>44.985700000000001</v>
      </c>
      <c r="BC636">
        <v>6.8627000000000002</v>
      </c>
      <c r="BD636" s="19">
        <v>5.7510000000000003</v>
      </c>
      <c r="BE636" s="19">
        <v>95.215299999999999</v>
      </c>
      <c r="BF636">
        <v>55.3279</v>
      </c>
      <c r="BG636">
        <v>44.7</v>
      </c>
      <c r="BH636" s="20">
        <v>3.1678999999999999</v>
      </c>
      <c r="BI636" s="20">
        <v>5279.1742999999997</v>
      </c>
      <c r="BJ636" s="19">
        <v>99.5261</v>
      </c>
      <c r="BK636">
        <v>0.99480000000000002</v>
      </c>
      <c r="BL636">
        <v>0.9919</v>
      </c>
      <c r="BM636">
        <v>0.98970000000000002</v>
      </c>
      <c r="BN636">
        <v>6</v>
      </c>
      <c r="BO636">
        <v>7.7859999999999996</v>
      </c>
      <c r="BP636">
        <v>14.61</v>
      </c>
      <c r="BQ636" s="19">
        <v>102.7612</v>
      </c>
      <c r="BR636">
        <v>70.192099999999996</v>
      </c>
      <c r="BS636" s="20">
        <v>8.61</v>
      </c>
      <c r="BT636" s="20">
        <v>8.61</v>
      </c>
      <c r="BU636" s="20">
        <v>24.760999999999999</v>
      </c>
      <c r="BV636" s="20">
        <v>24.783000000000001</v>
      </c>
      <c r="BW636" s="19">
        <v>98.104299999999995</v>
      </c>
      <c r="BX636">
        <v>12.4</v>
      </c>
      <c r="BY636" s="6">
        <v>23431900</v>
      </c>
      <c r="BZ636" s="5">
        <v>47900298</v>
      </c>
      <c r="CA636" s="7">
        <f t="shared" si="45"/>
        <v>2.0442344837593196</v>
      </c>
      <c r="CB636">
        <v>9378126</v>
      </c>
      <c r="CC636" s="8">
        <f t="shared" si="46"/>
        <v>5.1076620211756589</v>
      </c>
      <c r="CD636" s="8">
        <f t="shared" si="47"/>
        <v>2.4985695436380362</v>
      </c>
      <c r="CE636">
        <v>447424</v>
      </c>
      <c r="CF636" s="8">
        <f t="shared" si="48"/>
        <v>52.370681948219136</v>
      </c>
      <c r="CG636" s="8">
        <f t="shared" si="49"/>
        <v>107.05795397654127</v>
      </c>
      <c r="CH636">
        <v>101.46844</v>
      </c>
    </row>
    <row r="637" spans="1:86" ht="15.5" x14ac:dyDescent="0.35">
      <c r="A637" t="s">
        <v>112</v>
      </c>
      <c r="B637">
        <v>2011</v>
      </c>
      <c r="C637" s="2">
        <v>54.559699999999999</v>
      </c>
      <c r="D637">
        <v>110687.5</v>
      </c>
      <c r="E637">
        <v>9.0200000000000002E-2</v>
      </c>
      <c r="F637">
        <v>5.1284999999999998</v>
      </c>
      <c r="G637">
        <v>62300</v>
      </c>
      <c r="H637">
        <v>9</v>
      </c>
      <c r="I637" s="19">
        <v>97.742999999999995</v>
      </c>
      <c r="J637" s="19">
        <v>97.650999999999996</v>
      </c>
      <c r="K637" s="19">
        <v>4.6689999999999996</v>
      </c>
      <c r="L637" s="19">
        <v>98.578199999999995</v>
      </c>
      <c r="M637" s="19">
        <v>31185000000</v>
      </c>
      <c r="N637" s="19">
        <v>133.52279999999999</v>
      </c>
      <c r="O637">
        <v>33.523000000000003</v>
      </c>
      <c r="P637">
        <v>32.039099999999998</v>
      </c>
      <c r="Q637" s="19">
        <v>60165.567999999999</v>
      </c>
      <c r="R637" s="19">
        <v>49355.689899999998</v>
      </c>
      <c r="S637" s="19">
        <v>2.3877999999999999</v>
      </c>
      <c r="T637" s="19">
        <v>56853.837200000002</v>
      </c>
      <c r="U637" s="19">
        <v>44332.521699999998</v>
      </c>
      <c r="V637">
        <v>27.6</v>
      </c>
      <c r="W637" s="19">
        <v>98.578199999999995</v>
      </c>
      <c r="X637">
        <v>98</v>
      </c>
      <c r="Y637">
        <v>29</v>
      </c>
      <c r="Z637">
        <v>97</v>
      </c>
      <c r="AA637">
        <v>2.5</v>
      </c>
      <c r="AB637">
        <v>92.8</v>
      </c>
      <c r="AC637">
        <v>81.802400000000006</v>
      </c>
      <c r="AD637">
        <v>98.951599999999999</v>
      </c>
      <c r="AE637">
        <v>5</v>
      </c>
      <c r="AF637">
        <v>94.525000000000006</v>
      </c>
      <c r="AG637">
        <v>3.4</v>
      </c>
      <c r="AH637">
        <v>0.17</v>
      </c>
      <c r="AI637">
        <v>3</v>
      </c>
      <c r="AJ637">
        <v>2.7</v>
      </c>
      <c r="AK637">
        <v>3.3</v>
      </c>
      <c r="AL637">
        <v>71.020200000000003</v>
      </c>
      <c r="AM637">
        <v>1.6</v>
      </c>
      <c r="AN637">
        <v>46049</v>
      </c>
      <c r="AO637">
        <v>0</v>
      </c>
      <c r="AP637">
        <v>99.620599999999996</v>
      </c>
      <c r="AQ637">
        <v>99.033799999999999</v>
      </c>
      <c r="AR637">
        <v>99.547799999999995</v>
      </c>
      <c r="AS637">
        <v>91.438000000000002</v>
      </c>
      <c r="AT637">
        <v>95.918800000000005</v>
      </c>
      <c r="AU637">
        <v>7.9123999999999999</v>
      </c>
      <c r="AV637" s="19">
        <v>92.417100000000005</v>
      </c>
      <c r="AW637">
        <v>0.6</v>
      </c>
      <c r="AX637">
        <v>15.2</v>
      </c>
      <c r="AY637">
        <v>6</v>
      </c>
      <c r="AZ637">
        <v>6</v>
      </c>
      <c r="BA637">
        <v>95.26</v>
      </c>
      <c r="BB637">
        <v>44.699100000000001</v>
      </c>
      <c r="BC637">
        <v>8.8000000000000007</v>
      </c>
      <c r="BD637" s="19">
        <v>3.1640000000000001</v>
      </c>
      <c r="BE637" s="19">
        <v>99.052099999999996</v>
      </c>
      <c r="BF637">
        <v>55.988900000000001</v>
      </c>
      <c r="BG637">
        <v>45.4</v>
      </c>
      <c r="BH637" s="20">
        <v>3.1869999999999998</v>
      </c>
      <c r="BI637" s="20">
        <v>5172.4745999999996</v>
      </c>
      <c r="BJ637" s="19">
        <v>99.061000000000007</v>
      </c>
      <c r="BK637">
        <v>0.996</v>
      </c>
      <c r="BL637">
        <v>0.99260000000000004</v>
      </c>
      <c r="BM637">
        <v>0.98980000000000001</v>
      </c>
      <c r="BN637">
        <v>6</v>
      </c>
      <c r="BO637">
        <v>7.6440000000000001</v>
      </c>
      <c r="BP637">
        <v>14.07</v>
      </c>
      <c r="BQ637" s="19">
        <v>100.3477</v>
      </c>
      <c r="BR637">
        <v>72.766199999999998</v>
      </c>
      <c r="BS637" s="20">
        <v>7.8040000000000003</v>
      </c>
      <c r="BT637" s="20">
        <v>7.8040000000000003</v>
      </c>
      <c r="BU637" s="20">
        <v>22.783999999999999</v>
      </c>
      <c r="BV637" s="20">
        <v>22.798999999999999</v>
      </c>
      <c r="BW637" s="19">
        <v>99.530500000000004</v>
      </c>
      <c r="BX637">
        <v>10.4</v>
      </c>
      <c r="BY637" s="6">
        <v>23824238</v>
      </c>
      <c r="BZ637" s="5">
        <v>48422673</v>
      </c>
      <c r="CA637" s="7">
        <f t="shared" si="45"/>
        <v>2.0324961914836477</v>
      </c>
      <c r="CB637">
        <v>9449213</v>
      </c>
      <c r="CC637" s="8">
        <f t="shared" si="46"/>
        <v>5.1245191530765579</v>
      </c>
      <c r="CD637" s="8">
        <f t="shared" si="47"/>
        <v>2.521293360621673</v>
      </c>
      <c r="CE637">
        <v>447424</v>
      </c>
      <c r="CF637" s="8">
        <f t="shared" si="48"/>
        <v>53.247563832069801</v>
      </c>
      <c r="CG637" s="8">
        <f t="shared" si="49"/>
        <v>108.22547069446431</v>
      </c>
      <c r="CH637">
        <v>105.78619</v>
      </c>
    </row>
    <row r="638" spans="1:86" ht="15.5" x14ac:dyDescent="0.35">
      <c r="A638" s="9" t="s">
        <v>112</v>
      </c>
      <c r="B638" s="9">
        <v>2012</v>
      </c>
      <c r="C638" s="10">
        <v>55.678199999999997</v>
      </c>
      <c r="D638" s="9">
        <v>108706.4</v>
      </c>
      <c r="E638" s="9">
        <v>8.5500000000000007E-2</v>
      </c>
      <c r="F638" s="9">
        <v>4.8034999999999997</v>
      </c>
      <c r="G638" s="9">
        <v>58900</v>
      </c>
      <c r="H638" s="9">
        <v>9</v>
      </c>
      <c r="I638" s="21">
        <v>98.659000000000006</v>
      </c>
      <c r="J638" s="21">
        <v>98.600999999999999</v>
      </c>
      <c r="K638" s="21">
        <v>3.8420000000000001</v>
      </c>
      <c r="L638" s="21">
        <v>99.052099999999996</v>
      </c>
      <c r="M638" s="21">
        <v>30214000000</v>
      </c>
      <c r="N638" s="21">
        <v>123.08280000000001</v>
      </c>
      <c r="O638" s="9">
        <v>34.494999999999997</v>
      </c>
      <c r="P638" s="9">
        <v>32.283000000000001</v>
      </c>
      <c r="Q638" s="21">
        <v>57529.127</v>
      </c>
      <c r="R638" s="21">
        <v>48788.867100000003</v>
      </c>
      <c r="S638" s="21">
        <v>-1.1484000000000001</v>
      </c>
      <c r="T638" s="21">
        <v>56200.902300000002</v>
      </c>
      <c r="U638" s="21">
        <v>45206.986400000002</v>
      </c>
      <c r="V638" s="9">
        <v>27.6</v>
      </c>
      <c r="W638" s="21">
        <v>98.578199999999995</v>
      </c>
      <c r="X638" s="9">
        <v>98</v>
      </c>
      <c r="Y638" s="9">
        <v>30</v>
      </c>
      <c r="Z638" s="9">
        <v>98</v>
      </c>
      <c r="AA638" s="9">
        <v>2.4</v>
      </c>
      <c r="AB638" s="9">
        <v>93.2</v>
      </c>
      <c r="AC638" s="9">
        <v>81.704899999999995</v>
      </c>
      <c r="AD638" s="9">
        <v>101.21250000000001</v>
      </c>
      <c r="AE638" s="9">
        <v>5</v>
      </c>
      <c r="AF638" s="9">
        <v>94.656800000000004</v>
      </c>
      <c r="AG638" s="9">
        <v>3.5</v>
      </c>
      <c r="AH638" s="9">
        <v>0.17</v>
      </c>
      <c r="AI638" s="9">
        <v>3</v>
      </c>
      <c r="AJ638" s="9">
        <v>2.7</v>
      </c>
      <c r="AK638" s="9">
        <v>3.2</v>
      </c>
      <c r="AL638" s="9">
        <v>71.025499999999994</v>
      </c>
      <c r="AM638" s="9">
        <v>1.6</v>
      </c>
      <c r="AN638" s="9">
        <v>52879</v>
      </c>
      <c r="AO638" s="9">
        <v>0</v>
      </c>
      <c r="AP638" s="9">
        <v>99.633899999999997</v>
      </c>
      <c r="AQ638" s="9">
        <v>99.017300000000006</v>
      </c>
      <c r="AR638" s="9">
        <v>99.569299999999998</v>
      </c>
      <c r="AS638" s="9">
        <v>91.474699999999999</v>
      </c>
      <c r="AT638" s="9">
        <v>95.931299999999993</v>
      </c>
      <c r="AU638" s="9">
        <v>6.6090999999999998</v>
      </c>
      <c r="AV638" s="21">
        <v>90.047399999999996</v>
      </c>
      <c r="AW638" s="9">
        <v>0.5</v>
      </c>
      <c r="AX638" s="9">
        <v>16</v>
      </c>
      <c r="AY638" s="9">
        <v>6</v>
      </c>
      <c r="AZ638" s="9">
        <v>6</v>
      </c>
      <c r="BA638" s="9">
        <v>95.290499999999994</v>
      </c>
      <c r="BB638" s="9">
        <v>44.699100000000001</v>
      </c>
      <c r="BC638" s="9">
        <v>9.0408000000000008</v>
      </c>
      <c r="BD638" s="21">
        <v>-0.41399999999999998</v>
      </c>
      <c r="BE638" s="21">
        <v>99.052099999999996</v>
      </c>
      <c r="BF638" s="9">
        <v>59.098500000000001</v>
      </c>
      <c r="BG638" s="9">
        <v>48.3</v>
      </c>
      <c r="BH638" s="22">
        <v>3.2302</v>
      </c>
      <c r="BI638" s="22">
        <v>5196.7178000000004</v>
      </c>
      <c r="BJ638" s="21">
        <v>99.061000000000007</v>
      </c>
      <c r="BK638" s="9">
        <v>0.99839999999999995</v>
      </c>
      <c r="BL638" s="9">
        <v>0.99229999999999996</v>
      </c>
      <c r="BM638" s="9">
        <v>0.9869</v>
      </c>
      <c r="BN638" s="9">
        <v>6</v>
      </c>
      <c r="BO638" s="9">
        <v>7.8979999999999997</v>
      </c>
      <c r="BP638" s="9">
        <v>14.86</v>
      </c>
      <c r="BQ638" s="21">
        <v>99.481800000000007</v>
      </c>
      <c r="BR638" s="9">
        <v>71.914000000000001</v>
      </c>
      <c r="BS638" s="22">
        <v>7.976</v>
      </c>
      <c r="BT638" s="22">
        <v>7.976</v>
      </c>
      <c r="BU638" s="22">
        <v>23.609000000000002</v>
      </c>
      <c r="BV638" s="22">
        <v>23.635999999999999</v>
      </c>
      <c r="BW638" s="21">
        <v>99.530500000000004</v>
      </c>
      <c r="BX638" s="9">
        <v>11.03</v>
      </c>
      <c r="BY638" s="14">
        <v>23874536</v>
      </c>
      <c r="BZ638" s="5">
        <v>48585972</v>
      </c>
      <c r="CA638" s="7">
        <f t="shared" si="45"/>
        <v>2.0350540844018918</v>
      </c>
      <c r="CB638">
        <v>9519374</v>
      </c>
      <c r="CC638" s="8">
        <f t="shared" si="46"/>
        <v>5.1039041012570783</v>
      </c>
      <c r="CD638" s="8">
        <f t="shared" si="47"/>
        <v>2.507994328198472</v>
      </c>
      <c r="CE638">
        <v>447424</v>
      </c>
      <c r="CF638" s="8">
        <f t="shared" si="48"/>
        <v>53.359980689457878</v>
      </c>
      <c r="CG638" s="8">
        <f t="shared" si="49"/>
        <v>108.59044664568731</v>
      </c>
      <c r="CH638" s="9">
        <v>108.11776</v>
      </c>
    </row>
    <row r="639" spans="1:86" ht="15.5" x14ac:dyDescent="0.35">
      <c r="A639" t="s">
        <v>112</v>
      </c>
      <c r="B639">
        <v>2013</v>
      </c>
      <c r="C639" s="2">
        <v>56.8429</v>
      </c>
      <c r="D639">
        <v>107221.6</v>
      </c>
      <c r="E639">
        <v>8.1299999999999997E-2</v>
      </c>
      <c r="F639">
        <v>4.5796000000000001</v>
      </c>
      <c r="G639">
        <v>57900</v>
      </c>
      <c r="H639">
        <v>9</v>
      </c>
      <c r="I639" s="19">
        <v>99.094999999999999</v>
      </c>
      <c r="J639" s="19">
        <v>98.85</v>
      </c>
      <c r="K639" s="19">
        <v>3.1909999999999998</v>
      </c>
      <c r="L639" s="19">
        <v>98.578199999999995</v>
      </c>
      <c r="M639" s="19">
        <v>25315000000</v>
      </c>
      <c r="N639" s="19">
        <v>119.62990000000001</v>
      </c>
      <c r="O639">
        <v>35.511000000000003</v>
      </c>
      <c r="P639">
        <v>32.785499999999999</v>
      </c>
      <c r="Q639" s="19">
        <v>60563.644999999997</v>
      </c>
      <c r="R639" s="19">
        <v>48927.597300000001</v>
      </c>
      <c r="S639" s="19">
        <v>0.2843</v>
      </c>
      <c r="T639" s="19">
        <v>56360.708400000003</v>
      </c>
      <c r="U639" s="19">
        <v>46098.232100000001</v>
      </c>
      <c r="V639">
        <v>28.8</v>
      </c>
      <c r="W639" s="19">
        <v>97.156400000000005</v>
      </c>
      <c r="X639">
        <v>98</v>
      </c>
      <c r="Y639">
        <v>35</v>
      </c>
      <c r="Z639">
        <v>97</v>
      </c>
      <c r="AA639">
        <v>2.4</v>
      </c>
      <c r="AB639">
        <v>94.8</v>
      </c>
      <c r="AC639">
        <v>81.956100000000006</v>
      </c>
      <c r="AD639">
        <v>99.694900000000004</v>
      </c>
      <c r="AE639">
        <v>5</v>
      </c>
      <c r="AF639">
        <v>95.050299999999993</v>
      </c>
      <c r="AG639">
        <v>3.1</v>
      </c>
      <c r="AH639">
        <v>0.14000000000000001</v>
      </c>
      <c r="AI639">
        <v>2.9</v>
      </c>
      <c r="AJ639">
        <v>2.7</v>
      </c>
      <c r="AK639">
        <v>3.2</v>
      </c>
      <c r="AL639">
        <v>70.974900000000005</v>
      </c>
      <c r="AM639">
        <v>1.6</v>
      </c>
      <c r="AN639">
        <v>66760</v>
      </c>
      <c r="AO639">
        <v>0</v>
      </c>
      <c r="AP639">
        <v>99.646799999999999</v>
      </c>
      <c r="AQ639">
        <v>99.000699999999995</v>
      </c>
      <c r="AR639">
        <v>99.590299999999999</v>
      </c>
      <c r="AS639">
        <v>91.511300000000006</v>
      </c>
      <c r="AT639">
        <v>95.943799999999996</v>
      </c>
      <c r="AU639">
        <v>6.5621999999999998</v>
      </c>
      <c r="AV639" s="19">
        <v>90.047399999999996</v>
      </c>
      <c r="AW639">
        <v>0.7</v>
      </c>
      <c r="AX639">
        <v>15.6</v>
      </c>
      <c r="AY639">
        <v>6</v>
      </c>
      <c r="AZ639">
        <v>6</v>
      </c>
      <c r="BA639">
        <v>95.320499999999996</v>
      </c>
      <c r="BB639">
        <v>44.985700000000001</v>
      </c>
      <c r="BC639">
        <v>9.1623000000000001</v>
      </c>
      <c r="BD639" s="19">
        <v>1.1379999999999999</v>
      </c>
      <c r="BE639" s="19">
        <v>99.052099999999996</v>
      </c>
      <c r="BF639">
        <v>54.073999999999998</v>
      </c>
      <c r="BG639">
        <v>47.3</v>
      </c>
      <c r="BH639" s="20">
        <v>3.2604000000000002</v>
      </c>
      <c r="BI639" s="20">
        <v>6717.6190999999999</v>
      </c>
      <c r="BJ639" s="19">
        <v>99.061000000000007</v>
      </c>
      <c r="BK639">
        <v>1.0591999999999999</v>
      </c>
      <c r="BL639">
        <v>1.0983000000000001</v>
      </c>
      <c r="BM639">
        <v>1.1337999999999999</v>
      </c>
      <c r="BN639">
        <v>6</v>
      </c>
      <c r="BO639">
        <v>7.5170000000000003</v>
      </c>
      <c r="BP639">
        <v>15.78</v>
      </c>
      <c r="BQ639" s="19">
        <v>99.1417</v>
      </c>
      <c r="BR639">
        <v>71.895899999999997</v>
      </c>
      <c r="BS639" s="20">
        <v>8.0519999999999996</v>
      </c>
      <c r="BT639" s="20">
        <v>8.0519999999999996</v>
      </c>
      <c r="BU639" s="20">
        <v>23.518999999999998</v>
      </c>
      <c r="BV639" s="20">
        <v>23.545000000000002</v>
      </c>
      <c r="BW639" s="19">
        <v>99.061000000000007</v>
      </c>
      <c r="BX639">
        <v>10.64</v>
      </c>
      <c r="BY639" s="6">
        <v>24607973</v>
      </c>
      <c r="BZ639" s="5">
        <v>49710427</v>
      </c>
      <c r="CA639" s="7">
        <f t="shared" si="45"/>
        <v>2.0200943409682708</v>
      </c>
      <c r="CB639">
        <v>9600379</v>
      </c>
      <c r="CC639" s="8">
        <f t="shared" si="46"/>
        <v>5.1779650574211704</v>
      </c>
      <c r="CD639" s="8">
        <f t="shared" si="47"/>
        <v>2.5632293266755406</v>
      </c>
      <c r="CE639">
        <v>447424</v>
      </c>
      <c r="CF639" s="8">
        <f t="shared" si="48"/>
        <v>54.999224449291944</v>
      </c>
      <c r="CG639" s="8">
        <f t="shared" si="49"/>
        <v>111.10362206765842</v>
      </c>
      <c r="CH639">
        <v>107.78767999999999</v>
      </c>
    </row>
    <row r="640" spans="1:86" ht="15.5" x14ac:dyDescent="0.35">
      <c r="A640" t="s">
        <v>112</v>
      </c>
      <c r="B640">
        <v>2014</v>
      </c>
      <c r="C640" s="2">
        <v>57.934899999999999</v>
      </c>
      <c r="D640">
        <v>102357.5</v>
      </c>
      <c r="E640">
        <v>7.7299999999999994E-2</v>
      </c>
      <c r="F640">
        <v>4.4116999999999997</v>
      </c>
      <c r="G640">
        <v>56400</v>
      </c>
      <c r="H640">
        <v>9</v>
      </c>
      <c r="I640" s="19">
        <v>99.302000000000007</v>
      </c>
      <c r="J640" s="19">
        <v>99.156000000000006</v>
      </c>
      <c r="K640" s="19">
        <v>2.8130000000000002</v>
      </c>
      <c r="L640" s="19">
        <v>97.596199999999996</v>
      </c>
      <c r="M640" s="19">
        <v>18992000000</v>
      </c>
      <c r="N640" s="19">
        <v>117.5842</v>
      </c>
      <c r="O640">
        <v>37.451999999999998</v>
      </c>
      <c r="P640">
        <v>33.8414</v>
      </c>
      <c r="Q640" s="19">
        <v>59270.463000000003</v>
      </c>
      <c r="R640" s="19">
        <v>49556.700499999999</v>
      </c>
      <c r="S640" s="19">
        <v>1.2858000000000001</v>
      </c>
      <c r="T640" s="19">
        <v>57085.385399999999</v>
      </c>
      <c r="U640" s="19">
        <v>46841.402000000002</v>
      </c>
      <c r="V640">
        <v>28.4</v>
      </c>
      <c r="W640" s="19">
        <v>94.230800000000002</v>
      </c>
      <c r="X640">
        <v>97</v>
      </c>
      <c r="Y640">
        <v>42</v>
      </c>
      <c r="Z640">
        <v>97</v>
      </c>
      <c r="AA640">
        <v>2.4</v>
      </c>
      <c r="AB640">
        <v>92.5</v>
      </c>
      <c r="AC640">
        <v>82.253699999999995</v>
      </c>
      <c r="AD640">
        <v>99.670299999999997</v>
      </c>
      <c r="AE640">
        <v>5</v>
      </c>
      <c r="AF640">
        <v>95.160399999999996</v>
      </c>
      <c r="AG640">
        <v>3.2</v>
      </c>
      <c r="AH640">
        <v>0.12</v>
      </c>
      <c r="AI640">
        <v>2.9</v>
      </c>
      <c r="AJ640">
        <v>2.6</v>
      </c>
      <c r="AK640">
        <v>3.2</v>
      </c>
      <c r="AL640">
        <v>71.297700000000006</v>
      </c>
      <c r="AM640">
        <v>1.6</v>
      </c>
      <c r="AN640">
        <v>77654</v>
      </c>
      <c r="AO640">
        <v>0</v>
      </c>
      <c r="AP640">
        <v>99.659400000000005</v>
      </c>
      <c r="AQ640">
        <v>98.983900000000006</v>
      </c>
      <c r="AR640">
        <v>99.611000000000004</v>
      </c>
      <c r="AS640">
        <v>91.548000000000002</v>
      </c>
      <c r="AT640">
        <v>95.956299999999999</v>
      </c>
      <c r="AU640">
        <v>6.7723000000000004</v>
      </c>
      <c r="AV640" s="19">
        <v>88.095200000000006</v>
      </c>
      <c r="AW640">
        <v>0.5</v>
      </c>
      <c r="AX640">
        <v>16.3</v>
      </c>
      <c r="AY640">
        <v>6</v>
      </c>
      <c r="AZ640">
        <v>6</v>
      </c>
      <c r="BA640">
        <v>95.350099999999998</v>
      </c>
      <c r="BB640">
        <v>44.699100000000001</v>
      </c>
      <c r="BC640">
        <v>9.1994000000000007</v>
      </c>
      <c r="BD640" s="19">
        <v>2.2959999999999998</v>
      </c>
      <c r="BE640" s="19">
        <v>96.634600000000006</v>
      </c>
      <c r="BF640">
        <v>55.868699999999997</v>
      </c>
      <c r="BG640">
        <v>48.6</v>
      </c>
      <c r="BH640" s="20">
        <v>3.1017999999999999</v>
      </c>
      <c r="BI640" s="20">
        <v>6909.4643999999998</v>
      </c>
      <c r="BJ640" s="19">
        <v>97.596199999999996</v>
      </c>
      <c r="BK640">
        <v>1.0559000000000001</v>
      </c>
      <c r="BL640">
        <v>1.0963000000000001</v>
      </c>
      <c r="BM640">
        <v>1.1352</v>
      </c>
      <c r="BN640">
        <v>6</v>
      </c>
      <c r="BO640">
        <v>7.2539999999999996</v>
      </c>
      <c r="BP640">
        <v>14.84</v>
      </c>
      <c r="BQ640" s="19">
        <v>99.397800000000004</v>
      </c>
      <c r="BR640">
        <v>72.553399999999996</v>
      </c>
      <c r="BS640" s="20">
        <v>7.9539999999999997</v>
      </c>
      <c r="BT640" s="20">
        <v>7.9539999999999997</v>
      </c>
      <c r="BU640" s="20">
        <v>22.821999999999999</v>
      </c>
      <c r="BV640" s="20">
        <v>22.879000000000001</v>
      </c>
      <c r="BW640" s="19">
        <v>99.507400000000004</v>
      </c>
      <c r="BX640">
        <v>8.6</v>
      </c>
      <c r="BY640" s="6">
        <v>25852368</v>
      </c>
      <c r="BZ640" s="5">
        <v>52280371</v>
      </c>
      <c r="CA640" s="7">
        <f t="shared" si="45"/>
        <v>2.0222662388219139</v>
      </c>
      <c r="CB640">
        <v>9696110</v>
      </c>
      <c r="CC640" s="8">
        <f t="shared" si="46"/>
        <v>5.3918912842366682</v>
      </c>
      <c r="CD640" s="8">
        <f t="shared" si="47"/>
        <v>2.6662618307754347</v>
      </c>
      <c r="CE640">
        <v>447424</v>
      </c>
      <c r="CF640" s="8">
        <f t="shared" si="48"/>
        <v>57.7804677442426</v>
      </c>
      <c r="CG640" s="8">
        <f t="shared" si="49"/>
        <v>116.84748918252038</v>
      </c>
      <c r="CH640">
        <v>102.31093</v>
      </c>
    </row>
    <row r="641" spans="1:86" ht="15.5" x14ac:dyDescent="0.35">
      <c r="A641" t="s">
        <v>112</v>
      </c>
      <c r="B641">
        <v>2015</v>
      </c>
      <c r="C641" s="2">
        <v>58.836100000000002</v>
      </c>
      <c r="D641">
        <v>102416.8</v>
      </c>
      <c r="E641">
        <v>7.4200000000000002E-2</v>
      </c>
      <c r="F641">
        <v>4.3776999999999999</v>
      </c>
      <c r="G641">
        <v>55600</v>
      </c>
      <c r="H641">
        <v>9</v>
      </c>
      <c r="I641" s="19">
        <v>100</v>
      </c>
      <c r="J641" s="19">
        <v>100</v>
      </c>
      <c r="K641" s="19">
        <v>2.79</v>
      </c>
      <c r="L641" s="19">
        <v>98.095200000000006</v>
      </c>
      <c r="M641" s="19">
        <v>13041000000</v>
      </c>
      <c r="N641" s="19">
        <v>100</v>
      </c>
      <c r="O641">
        <v>39.795000000000002</v>
      </c>
      <c r="P641">
        <v>35.677799999999998</v>
      </c>
      <c r="Q641" s="19">
        <v>50928.576000000001</v>
      </c>
      <c r="R641" s="19">
        <v>51197.952899999997</v>
      </c>
      <c r="S641" s="19">
        <v>3.3119000000000001</v>
      </c>
      <c r="T641" s="19">
        <v>58975.977899999998</v>
      </c>
      <c r="U641" s="19">
        <v>48785.155200000001</v>
      </c>
      <c r="V641">
        <v>29.2</v>
      </c>
      <c r="W641" s="19">
        <v>93.333299999999994</v>
      </c>
      <c r="X641">
        <v>98</v>
      </c>
      <c r="Y641">
        <v>53</v>
      </c>
      <c r="Z641">
        <v>98</v>
      </c>
      <c r="AA641">
        <v>2.2999999999999998</v>
      </c>
      <c r="AB641">
        <v>90.6</v>
      </c>
      <c r="AC641">
        <v>82.204899999999995</v>
      </c>
      <c r="AD641">
        <v>100.0645</v>
      </c>
      <c r="AE641">
        <v>5</v>
      </c>
      <c r="AF641">
        <v>95.457499999999996</v>
      </c>
      <c r="AG641">
        <v>3.2</v>
      </c>
      <c r="AH641">
        <v>0.18</v>
      </c>
      <c r="AI641">
        <v>2.9</v>
      </c>
      <c r="AJ641">
        <v>2.6</v>
      </c>
      <c r="AK641">
        <v>3.1</v>
      </c>
      <c r="AL641">
        <v>71.466099999999997</v>
      </c>
      <c r="AM641">
        <v>1.6</v>
      </c>
      <c r="AN641">
        <v>80534</v>
      </c>
      <c r="AO641">
        <v>0</v>
      </c>
      <c r="AP641">
        <v>99.671700000000001</v>
      </c>
      <c r="AQ641">
        <v>98.966899999999995</v>
      </c>
      <c r="AR641">
        <v>99.631399999999999</v>
      </c>
      <c r="AS641">
        <v>91.584699999999998</v>
      </c>
      <c r="AT641">
        <v>95.968800000000002</v>
      </c>
      <c r="AU641">
        <v>6.3026</v>
      </c>
      <c r="AV641" s="19">
        <v>79.523799999999994</v>
      </c>
      <c r="AW641">
        <v>0.6</v>
      </c>
      <c r="AX641">
        <v>16.2</v>
      </c>
      <c r="AY641">
        <v>6</v>
      </c>
      <c r="AZ641">
        <v>6</v>
      </c>
      <c r="BA641">
        <v>95.379300000000001</v>
      </c>
      <c r="BB641">
        <v>43.552999999999997</v>
      </c>
      <c r="BC641">
        <v>9.0713000000000008</v>
      </c>
      <c r="BD641" s="19">
        <v>4.41</v>
      </c>
      <c r="BE641" s="19">
        <v>97.142899999999997</v>
      </c>
      <c r="BF641">
        <v>63.304299999999998</v>
      </c>
      <c r="BG641">
        <v>51.9</v>
      </c>
      <c r="BH641" s="20">
        <v>3.2189999999999999</v>
      </c>
      <c r="BI641" s="20">
        <v>6846.1342999999997</v>
      </c>
      <c r="BJ641" s="19">
        <v>99.047600000000003</v>
      </c>
      <c r="BK641">
        <v>1.0418000000000001</v>
      </c>
      <c r="BL641">
        <v>1.0911</v>
      </c>
      <c r="BM641">
        <v>1.1405000000000001</v>
      </c>
      <c r="BN641">
        <v>6</v>
      </c>
      <c r="BO641">
        <v>6.8090000000000002</v>
      </c>
      <c r="BP641">
        <v>15.15</v>
      </c>
      <c r="BQ641" s="19">
        <v>100</v>
      </c>
      <c r="BR641">
        <v>75.115200000000002</v>
      </c>
      <c r="BS641" s="20">
        <v>7.4320000000000004</v>
      </c>
      <c r="BT641" s="20">
        <v>7.4320000000000004</v>
      </c>
      <c r="BU641" s="20">
        <v>20.364999999999998</v>
      </c>
      <c r="BV641" s="20">
        <v>20.401</v>
      </c>
      <c r="BW641" s="19">
        <v>99.507400000000004</v>
      </c>
      <c r="BX641">
        <v>9.64</v>
      </c>
      <c r="BY641" s="6">
        <v>28056573</v>
      </c>
      <c r="BZ641" s="5">
        <v>55611847</v>
      </c>
      <c r="CA641" s="7">
        <f t="shared" si="45"/>
        <v>1.9821325648004124</v>
      </c>
      <c r="CB641">
        <v>9799186</v>
      </c>
      <c r="CC641" s="8">
        <f t="shared" si="46"/>
        <v>5.6751496501852294</v>
      </c>
      <c r="CD641" s="8">
        <f t="shared" si="47"/>
        <v>2.8631534292746355</v>
      </c>
      <c r="CE641">
        <v>447424</v>
      </c>
      <c r="CF641" s="8">
        <f t="shared" si="48"/>
        <v>62.706902177800032</v>
      </c>
      <c r="CG641" s="8">
        <f t="shared" si="49"/>
        <v>124.29339284437134</v>
      </c>
      <c r="CH641">
        <v>100</v>
      </c>
    </row>
    <row r="642" spans="1:86" ht="15.5" x14ac:dyDescent="0.35">
      <c r="A642" t="s">
        <v>112</v>
      </c>
      <c r="B642">
        <v>2016</v>
      </c>
      <c r="C642" s="2">
        <v>59.487299999999998</v>
      </c>
      <c r="D642">
        <v>117967.6</v>
      </c>
      <c r="E642">
        <v>7.2099999999999997E-2</v>
      </c>
      <c r="F642">
        <v>4.2960000000000003</v>
      </c>
      <c r="G642">
        <v>55600</v>
      </c>
      <c r="H642">
        <v>9</v>
      </c>
      <c r="I642" s="19">
        <v>101.14</v>
      </c>
      <c r="J642" s="19">
        <v>101.416</v>
      </c>
      <c r="K642" s="19">
        <v>2.9319999999999999</v>
      </c>
      <c r="L642" s="19">
        <v>98.095200000000006</v>
      </c>
      <c r="M642" s="19">
        <v>9647000000</v>
      </c>
      <c r="N642" s="19">
        <v>99.476399999999998</v>
      </c>
      <c r="O642">
        <v>39.514000000000003</v>
      </c>
      <c r="P642">
        <v>37.0822</v>
      </c>
      <c r="Q642" s="19">
        <v>51446.756999999998</v>
      </c>
      <c r="R642" s="19">
        <v>51746.697</v>
      </c>
      <c r="S642" s="19">
        <v>1.0718000000000001</v>
      </c>
      <c r="T642" s="19">
        <v>59608.087500000001</v>
      </c>
      <c r="U642" s="19">
        <v>50289.768700000001</v>
      </c>
      <c r="V642">
        <v>29.6</v>
      </c>
      <c r="W642" s="19">
        <v>94.285700000000006</v>
      </c>
      <c r="X642">
        <v>98</v>
      </c>
      <c r="Y642">
        <v>67</v>
      </c>
      <c r="Z642">
        <v>97</v>
      </c>
      <c r="AA642">
        <v>2.2999999999999998</v>
      </c>
      <c r="AB642">
        <v>89.7</v>
      </c>
      <c r="AC642">
        <v>82.307299999999998</v>
      </c>
      <c r="AD642">
        <v>101.8434</v>
      </c>
      <c r="AE642">
        <v>5</v>
      </c>
      <c r="AF642">
        <v>96.336500000000001</v>
      </c>
      <c r="AG642">
        <v>3.1</v>
      </c>
      <c r="AH642">
        <v>0.16</v>
      </c>
      <c r="AI642">
        <v>2.8</v>
      </c>
      <c r="AJ642">
        <v>2.6</v>
      </c>
      <c r="AK642">
        <v>3.1</v>
      </c>
      <c r="AL642">
        <v>70.710899999999995</v>
      </c>
      <c r="AM642">
        <v>1.5</v>
      </c>
      <c r="AN642">
        <v>119234</v>
      </c>
      <c r="AO642">
        <v>0</v>
      </c>
      <c r="AP642">
        <v>99.683599999999998</v>
      </c>
      <c r="AQ642">
        <v>98.949700000000007</v>
      </c>
      <c r="AR642">
        <v>99.651399999999995</v>
      </c>
      <c r="AS642">
        <v>91.621300000000005</v>
      </c>
      <c r="AT642">
        <v>95.981300000000005</v>
      </c>
      <c r="AU642">
        <v>5.6978</v>
      </c>
      <c r="AV642" s="19">
        <v>87.142899999999997</v>
      </c>
      <c r="AW642">
        <v>0.3</v>
      </c>
      <c r="AX642">
        <v>15.8</v>
      </c>
      <c r="AY642">
        <v>6</v>
      </c>
      <c r="AZ642">
        <v>6</v>
      </c>
      <c r="BA642">
        <v>95.408100000000005</v>
      </c>
      <c r="BB642">
        <v>43.552999999999997</v>
      </c>
      <c r="BC642">
        <v>9.1445000000000007</v>
      </c>
      <c r="BD642" s="19">
        <v>2.35</v>
      </c>
      <c r="BE642" s="19">
        <v>97.142899999999997</v>
      </c>
      <c r="BF642">
        <v>57.205100000000002</v>
      </c>
      <c r="BG642">
        <v>50.9</v>
      </c>
      <c r="BH642" s="20">
        <v>3.2473999999999998</v>
      </c>
      <c r="BI642" s="20">
        <v>7143.4429</v>
      </c>
      <c r="BJ642" s="19">
        <v>99.047600000000003</v>
      </c>
      <c r="BK642">
        <v>1.026</v>
      </c>
      <c r="BL642">
        <v>1.0712999999999999</v>
      </c>
      <c r="BM642">
        <v>1.1182000000000001</v>
      </c>
      <c r="BN642">
        <v>6</v>
      </c>
      <c r="BO642">
        <v>6.5890000000000004</v>
      </c>
      <c r="BP642">
        <v>14.02</v>
      </c>
      <c r="BQ642" s="19">
        <v>99.512</v>
      </c>
      <c r="BR642">
        <v>76.806700000000006</v>
      </c>
      <c r="BS642" s="20">
        <v>6.99</v>
      </c>
      <c r="BT642" s="20">
        <v>6.99</v>
      </c>
      <c r="BU642" s="20">
        <v>18.896000000000001</v>
      </c>
      <c r="BV642" s="20">
        <v>18.934999999999999</v>
      </c>
      <c r="BW642" s="19">
        <v>99.507400000000004</v>
      </c>
      <c r="BX642">
        <v>11.72</v>
      </c>
      <c r="BY642" s="6">
        <v>29074804</v>
      </c>
      <c r="BZ642" s="5">
        <v>57234148</v>
      </c>
      <c r="CA642" s="7">
        <f t="shared" si="45"/>
        <v>1.9685136312526819</v>
      </c>
      <c r="CB642">
        <v>9923085</v>
      </c>
      <c r="CC642" s="8">
        <f t="shared" si="46"/>
        <v>5.7677776618863996</v>
      </c>
      <c r="CD642" s="8">
        <f t="shared" si="47"/>
        <v>2.9300166228546867</v>
      </c>
      <c r="CE642">
        <v>447424</v>
      </c>
      <c r="CF642" s="8">
        <f t="shared" si="48"/>
        <v>64.982665212415966</v>
      </c>
      <c r="CG642" s="8">
        <f t="shared" si="49"/>
        <v>127.91926226577027</v>
      </c>
      <c r="CH642">
        <v>99.784400000000005</v>
      </c>
    </row>
    <row r="643" spans="1:86" ht="15.5" x14ac:dyDescent="0.35">
      <c r="A643" t="s">
        <v>112</v>
      </c>
      <c r="B643">
        <v>2017</v>
      </c>
      <c r="C643" s="2">
        <v>59.943800000000003</v>
      </c>
      <c r="D643">
        <v>120883.8</v>
      </c>
      <c r="E643">
        <v>6.9500000000000006E-2</v>
      </c>
      <c r="F643">
        <v>4.1638999999999999</v>
      </c>
      <c r="G643">
        <v>55600</v>
      </c>
      <c r="H643">
        <v>9</v>
      </c>
      <c r="I643" s="19">
        <v>103.029</v>
      </c>
      <c r="J643" s="19">
        <v>103.21299999999999</v>
      </c>
      <c r="K643" s="19">
        <v>3.3260000000000001</v>
      </c>
      <c r="L643" s="19">
        <v>98.095200000000006</v>
      </c>
      <c r="M643" s="19">
        <v>11066000000</v>
      </c>
      <c r="N643" s="19">
        <v>109.2106</v>
      </c>
      <c r="O643">
        <v>39.448</v>
      </c>
      <c r="P643">
        <v>38.326599999999999</v>
      </c>
      <c r="Q643" s="19">
        <v>52971.455000000002</v>
      </c>
      <c r="R643" s="19">
        <v>51985.932500000003</v>
      </c>
      <c r="S643" s="19">
        <v>0.46229999999999999</v>
      </c>
      <c r="T643" s="19">
        <v>59883.667800000003</v>
      </c>
      <c r="U643" s="19">
        <v>51474.119899999998</v>
      </c>
      <c r="V643">
        <v>28.8</v>
      </c>
      <c r="W643" s="19">
        <v>94.285700000000006</v>
      </c>
      <c r="X643">
        <v>97</v>
      </c>
      <c r="Y643">
        <v>76</v>
      </c>
      <c r="Z643">
        <v>97</v>
      </c>
      <c r="AA643">
        <v>2.2999999999999998</v>
      </c>
      <c r="AB643">
        <v>93</v>
      </c>
      <c r="AC643">
        <v>82.409800000000004</v>
      </c>
      <c r="AD643">
        <v>104.8869</v>
      </c>
      <c r="AE643">
        <v>5</v>
      </c>
      <c r="AF643">
        <v>96.457099999999997</v>
      </c>
      <c r="AG643">
        <v>2.7</v>
      </c>
      <c r="AH643">
        <v>0.23</v>
      </c>
      <c r="AI643">
        <v>2.8</v>
      </c>
      <c r="AJ643">
        <v>2.5</v>
      </c>
      <c r="AK643">
        <v>3</v>
      </c>
      <c r="AL643">
        <v>70.599299999999999</v>
      </c>
      <c r="AM643">
        <v>1.5</v>
      </c>
      <c r="AN643">
        <v>102671</v>
      </c>
      <c r="AO643">
        <v>0</v>
      </c>
      <c r="AP643">
        <v>99.6952</v>
      </c>
      <c r="AQ643">
        <v>98.932400000000001</v>
      </c>
      <c r="AR643">
        <v>99.671099999999996</v>
      </c>
      <c r="AS643">
        <v>91.658000000000001</v>
      </c>
      <c r="AT643">
        <v>95.993799999999993</v>
      </c>
      <c r="AU643">
        <v>6.0617999999999999</v>
      </c>
      <c r="AV643" s="19">
        <v>80.476200000000006</v>
      </c>
      <c r="AW643">
        <v>0.2</v>
      </c>
      <c r="AX643">
        <v>16.399999999999999</v>
      </c>
      <c r="AY643">
        <v>6</v>
      </c>
      <c r="AZ643">
        <v>6</v>
      </c>
      <c r="BA643">
        <v>95.436499999999995</v>
      </c>
      <c r="BB643">
        <v>43.552999999999997</v>
      </c>
      <c r="BC643">
        <v>9.1356999999999999</v>
      </c>
      <c r="BD643" s="19">
        <v>1.825</v>
      </c>
      <c r="BE643" s="19">
        <v>95.714299999999994</v>
      </c>
      <c r="BF643">
        <v>57.889299999999999</v>
      </c>
      <c r="BG643">
        <v>51.8</v>
      </c>
      <c r="BH643" s="20">
        <v>3.3628</v>
      </c>
      <c r="BI643" s="20">
        <v>7316.6475</v>
      </c>
      <c r="BJ643" s="19">
        <v>98.095200000000006</v>
      </c>
      <c r="BK643">
        <v>1.0135000000000001</v>
      </c>
      <c r="BL643">
        <v>1.0399</v>
      </c>
      <c r="BM643">
        <v>1.0661</v>
      </c>
      <c r="BN643">
        <v>6</v>
      </c>
      <c r="BO643">
        <v>6.2729999999999997</v>
      </c>
      <c r="BP643">
        <v>14.47</v>
      </c>
      <c r="BQ643" s="19">
        <v>97.758899999999997</v>
      </c>
      <c r="BR643">
        <v>77.915599999999998</v>
      </c>
      <c r="BS643" s="20">
        <v>6.718</v>
      </c>
      <c r="BT643" s="20">
        <v>6.718</v>
      </c>
      <c r="BU643" s="20">
        <v>17.875</v>
      </c>
      <c r="BV643" s="20">
        <v>17.916</v>
      </c>
      <c r="BW643" s="19">
        <v>99.507400000000004</v>
      </c>
      <c r="BX643">
        <v>9.64</v>
      </c>
      <c r="BY643" s="6">
        <v>29873967</v>
      </c>
      <c r="BZ643" s="5">
        <v>58683201</v>
      </c>
      <c r="CA643" s="7">
        <f t="shared" ref="CA643:CA649" si="50">BZ643/BY643</f>
        <v>1.9643591693061722</v>
      </c>
      <c r="CB643">
        <v>10057698</v>
      </c>
      <c r="CC643" s="8">
        <f t="shared" ref="CC643:CC649" si="51">BZ643/CB643</f>
        <v>5.8346553058164998</v>
      </c>
      <c r="CD643" s="8">
        <f t="shared" ref="CD643:CD649" si="52">BY643/CB643</f>
        <v>2.9702589001976398</v>
      </c>
      <c r="CE643">
        <v>447424</v>
      </c>
      <c r="CF643" s="8">
        <f t="shared" ref="CF643:CF649" si="53">BY643/CE643</f>
        <v>66.768807663424397</v>
      </c>
      <c r="CG643" s="8">
        <f t="shared" ref="CG643:CG649" si="54">BZ643/CE643</f>
        <v>131.15791955728795</v>
      </c>
      <c r="CH643">
        <v>98.239469999999997</v>
      </c>
    </row>
    <row r="644" spans="1:86" ht="15.5" x14ac:dyDescent="0.35">
      <c r="A644" t="s">
        <v>112</v>
      </c>
      <c r="B644">
        <v>2018</v>
      </c>
      <c r="C644" s="2">
        <v>60.315899999999999</v>
      </c>
      <c r="D644">
        <v>103818.1</v>
      </c>
      <c r="E644">
        <v>6.4199999999999993E-2</v>
      </c>
      <c r="F644">
        <v>3.8748999999999998</v>
      </c>
      <c r="G644">
        <v>55600</v>
      </c>
      <c r="H644">
        <v>9</v>
      </c>
      <c r="I644" s="19">
        <v>105.125</v>
      </c>
      <c r="J644" s="19">
        <v>105.506</v>
      </c>
      <c r="K644" s="19">
        <v>3.5790000000000002</v>
      </c>
      <c r="L644" s="19">
        <v>98.095200000000006</v>
      </c>
      <c r="M644" s="19">
        <v>12263000000</v>
      </c>
      <c r="N644" s="19">
        <v>118.52889999999999</v>
      </c>
      <c r="O644">
        <v>39.03</v>
      </c>
      <c r="P644">
        <v>38.741300000000003</v>
      </c>
      <c r="Q644" s="19">
        <v>53890.764999999999</v>
      </c>
      <c r="R644" s="19">
        <v>52363.382899999997</v>
      </c>
      <c r="S644" s="19">
        <v>0.72609999999999997</v>
      </c>
      <c r="T644" s="19">
        <v>60318.460700000003</v>
      </c>
      <c r="U644" s="19">
        <v>53122.438699999999</v>
      </c>
      <c r="V644">
        <v>30</v>
      </c>
      <c r="W644" s="19">
        <v>94.285700000000006</v>
      </c>
      <c r="X644">
        <v>97</v>
      </c>
      <c r="Y644">
        <v>92</v>
      </c>
      <c r="Z644">
        <v>97</v>
      </c>
      <c r="AA644">
        <v>2.2000000000000002</v>
      </c>
      <c r="AB644">
        <v>89.2</v>
      </c>
      <c r="AC644">
        <v>82.558499999999995</v>
      </c>
      <c r="AD644">
        <v>101.9055</v>
      </c>
      <c r="AE644">
        <v>5</v>
      </c>
      <c r="AF644">
        <v>96.5899</v>
      </c>
      <c r="AG644">
        <v>3.6</v>
      </c>
      <c r="AH644">
        <v>0.13</v>
      </c>
      <c r="AI644">
        <v>2.7</v>
      </c>
      <c r="AJ644">
        <v>2.5</v>
      </c>
      <c r="AK644">
        <v>2.9</v>
      </c>
      <c r="AL644">
        <v>70.142600000000002</v>
      </c>
      <c r="AM644">
        <v>1.5</v>
      </c>
      <c r="AN644">
        <v>87517</v>
      </c>
      <c r="AO644">
        <v>0</v>
      </c>
      <c r="AP644">
        <v>99.706500000000005</v>
      </c>
      <c r="AQ644">
        <v>98.914900000000003</v>
      </c>
      <c r="AR644">
        <v>99.6905</v>
      </c>
      <c r="AS644">
        <v>91.694699999999997</v>
      </c>
      <c r="AT644">
        <v>96.006299999999996</v>
      </c>
      <c r="AU644">
        <v>6.2908999999999997</v>
      </c>
      <c r="AV644" s="19">
        <v>79.2453</v>
      </c>
      <c r="AW644">
        <v>0.7</v>
      </c>
      <c r="AX644">
        <v>17.100000000000001</v>
      </c>
      <c r="AY644">
        <v>6</v>
      </c>
      <c r="AZ644">
        <v>6</v>
      </c>
      <c r="BA644">
        <v>95.464399999999998</v>
      </c>
      <c r="BB644">
        <v>46.131799999999998</v>
      </c>
      <c r="BC644">
        <v>9.2763000000000009</v>
      </c>
      <c r="BD644" s="19">
        <v>1.903</v>
      </c>
      <c r="BE644" s="19">
        <v>97.619</v>
      </c>
      <c r="BF644">
        <v>55.809699999999999</v>
      </c>
      <c r="BG644">
        <v>51.6</v>
      </c>
      <c r="BH644" s="20">
        <v>3.3210999999999999</v>
      </c>
      <c r="BI644" s="20">
        <v>7425.6688999999997</v>
      </c>
      <c r="BJ644" s="19">
        <v>97.142899999999997</v>
      </c>
      <c r="BK644">
        <v>1.0176000000000001</v>
      </c>
      <c r="BL644">
        <v>1.042</v>
      </c>
      <c r="BM644">
        <v>1.0658000000000001</v>
      </c>
      <c r="BN644">
        <v>6</v>
      </c>
      <c r="BO644">
        <v>6.1740000000000004</v>
      </c>
      <c r="BP644">
        <v>14.63</v>
      </c>
      <c r="BQ644" s="19">
        <v>97.158699999999996</v>
      </c>
      <c r="BR644">
        <v>78.9679</v>
      </c>
      <c r="BS644" s="20">
        <v>6.3650000000000002</v>
      </c>
      <c r="BT644" s="20">
        <v>6.3650000000000002</v>
      </c>
      <c r="BU644" s="20">
        <v>17.399999999999999</v>
      </c>
      <c r="BV644" s="20">
        <v>17.434999999999999</v>
      </c>
      <c r="BW644" s="19">
        <v>98.058300000000003</v>
      </c>
      <c r="BX644">
        <v>8.32</v>
      </c>
      <c r="BY644" s="6">
        <v>30736850</v>
      </c>
      <c r="BZ644" s="5">
        <v>60856874</v>
      </c>
      <c r="CA644" s="7">
        <f t="shared" si="50"/>
        <v>1.9799320359763606</v>
      </c>
      <c r="CB644">
        <v>10175214</v>
      </c>
      <c r="CC644" s="8">
        <f t="shared" si="51"/>
        <v>5.9808937679345124</v>
      </c>
      <c r="CD644" s="8">
        <f t="shared" si="52"/>
        <v>3.0207571064353043</v>
      </c>
      <c r="CE644">
        <v>447424</v>
      </c>
      <c r="CF644" s="8">
        <f t="shared" si="53"/>
        <v>68.697365362609062</v>
      </c>
      <c r="CG644" s="8">
        <f t="shared" si="54"/>
        <v>136.0161144686025</v>
      </c>
      <c r="CH644">
        <v>92.577399999999997</v>
      </c>
    </row>
    <row r="645" spans="1:86" ht="15.5" x14ac:dyDescent="0.35">
      <c r="A645" t="s">
        <v>112</v>
      </c>
      <c r="B645">
        <v>2019</v>
      </c>
      <c r="C645" s="2">
        <v>60.584099999999999</v>
      </c>
      <c r="D645">
        <v>102400</v>
      </c>
      <c r="E645">
        <v>6.2199999999999998E-2</v>
      </c>
      <c r="F645">
        <v>3.8077999999999999</v>
      </c>
      <c r="G645">
        <v>55600</v>
      </c>
      <c r="H645">
        <v>10</v>
      </c>
      <c r="I645" s="19">
        <v>106.935</v>
      </c>
      <c r="J645" s="19">
        <v>107.32</v>
      </c>
      <c r="K645" s="19">
        <v>3.831</v>
      </c>
      <c r="L645" s="19">
        <v>98.095200000000006</v>
      </c>
      <c r="M645" s="19">
        <v>28335000000</v>
      </c>
      <c r="N645" s="19">
        <v>114.678</v>
      </c>
      <c r="O645">
        <v>41.902000000000001</v>
      </c>
      <c r="P645">
        <v>39.290599999999998</v>
      </c>
      <c r="Q645" s="19">
        <v>51528.898999999998</v>
      </c>
      <c r="R645" s="19">
        <v>53156.861299999997</v>
      </c>
      <c r="S645" s="19">
        <v>1.5153000000000001</v>
      </c>
      <c r="T645" s="19">
        <v>61232.484900000003</v>
      </c>
      <c r="U645" s="19">
        <v>57046.446300000003</v>
      </c>
      <c r="V645">
        <v>29.3</v>
      </c>
      <c r="W645" s="19">
        <v>94.761899999999997</v>
      </c>
      <c r="X645">
        <v>98</v>
      </c>
      <c r="Y645">
        <v>97</v>
      </c>
      <c r="Z645">
        <v>97</v>
      </c>
      <c r="AA645">
        <v>2.2000000000000002</v>
      </c>
      <c r="AB645">
        <v>94.5</v>
      </c>
      <c r="AC645">
        <v>83.109800000000007</v>
      </c>
      <c r="AD645">
        <v>100.31480000000001</v>
      </c>
      <c r="AE645">
        <v>4</v>
      </c>
      <c r="AF645">
        <v>96.679599999999994</v>
      </c>
      <c r="AG645">
        <v>3.1</v>
      </c>
      <c r="AH645">
        <v>0.19</v>
      </c>
      <c r="AI645">
        <v>2.6</v>
      </c>
      <c r="AJ645">
        <v>2.4</v>
      </c>
      <c r="AK645">
        <v>2.9</v>
      </c>
      <c r="AL645">
        <v>69.945400000000006</v>
      </c>
      <c r="AM645">
        <v>1.5</v>
      </c>
      <c r="AN645">
        <v>72619</v>
      </c>
      <c r="AO645">
        <v>0</v>
      </c>
      <c r="AP645">
        <v>99.717399999999998</v>
      </c>
      <c r="AQ645">
        <v>98.897300000000001</v>
      </c>
      <c r="AR645">
        <v>99.709599999999995</v>
      </c>
      <c r="AS645">
        <v>91.731300000000005</v>
      </c>
      <c r="AT645">
        <v>96.018799999999999</v>
      </c>
      <c r="AU645">
        <v>6.0686999999999998</v>
      </c>
      <c r="AV645" s="19">
        <v>82.547200000000004</v>
      </c>
      <c r="AW645">
        <v>0.3</v>
      </c>
      <c r="AX645">
        <v>16.100000000000001</v>
      </c>
      <c r="AY645">
        <v>6</v>
      </c>
      <c r="AZ645">
        <v>6</v>
      </c>
      <c r="BA645">
        <v>95.491799999999998</v>
      </c>
      <c r="BB645">
        <v>47.277900000000002</v>
      </c>
      <c r="BC645">
        <v>9.2209000000000003</v>
      </c>
      <c r="BD645" s="19">
        <v>2.5499999999999998</v>
      </c>
      <c r="BE645" s="19">
        <v>96.666700000000006</v>
      </c>
      <c r="BF645">
        <v>58.7483</v>
      </c>
      <c r="BG645">
        <v>52.9</v>
      </c>
      <c r="BH645" s="20">
        <v>3.3875999999999999</v>
      </c>
      <c r="BI645" s="20">
        <v>7685.8383999999996</v>
      </c>
      <c r="BJ645" s="19">
        <v>96.666700000000006</v>
      </c>
      <c r="BK645">
        <v>1.0396000000000001</v>
      </c>
      <c r="BL645">
        <v>1.0541</v>
      </c>
      <c r="BM645">
        <v>1.0678000000000001</v>
      </c>
      <c r="BN645">
        <v>6</v>
      </c>
      <c r="BO645">
        <v>5.5270000000000001</v>
      </c>
      <c r="BP645">
        <v>14.6</v>
      </c>
      <c r="BQ645" s="19">
        <v>99.089299999999994</v>
      </c>
      <c r="BR645">
        <v>77.166600000000003</v>
      </c>
      <c r="BS645" s="20">
        <v>6.8330000000000002</v>
      </c>
      <c r="BT645" s="20">
        <v>6.8330000000000002</v>
      </c>
      <c r="BU645" s="20">
        <v>20.094000000000001</v>
      </c>
      <c r="BV645" s="20">
        <v>20.131</v>
      </c>
      <c r="BW645" s="19">
        <v>99.033799999999999</v>
      </c>
      <c r="BX645">
        <v>7.49</v>
      </c>
      <c r="BY645" s="6">
        <v>31897702</v>
      </c>
      <c r="BZ645" s="5">
        <v>63175281</v>
      </c>
      <c r="CA645" s="7">
        <f t="shared" si="50"/>
        <v>1.9805590070406953</v>
      </c>
      <c r="CB645">
        <v>10278887</v>
      </c>
      <c r="CC645" s="8">
        <f t="shared" si="51"/>
        <v>6.1461207813647531</v>
      </c>
      <c r="CD645" s="8">
        <f t="shared" si="52"/>
        <v>3.1032252811029055</v>
      </c>
      <c r="CE645">
        <v>447424</v>
      </c>
      <c r="CF645" s="8">
        <f t="shared" si="53"/>
        <v>71.291888678300666</v>
      </c>
      <c r="CG645" s="8">
        <f t="shared" si="54"/>
        <v>141.19779225075098</v>
      </c>
      <c r="CH645">
        <v>90.017219999999995</v>
      </c>
    </row>
    <row r="646" spans="1:86" ht="15.5" x14ac:dyDescent="0.35">
      <c r="A646" t="s">
        <v>112</v>
      </c>
      <c r="B646">
        <v>2020</v>
      </c>
      <c r="C646" s="2">
        <v>60.761099999999999</v>
      </c>
      <c r="D646">
        <v>102231.8</v>
      </c>
      <c r="E646">
        <v>6.13E-2</v>
      </c>
      <c r="F646">
        <v>3.6503999999999999</v>
      </c>
      <c r="G646">
        <v>55600</v>
      </c>
      <c r="H646">
        <v>10</v>
      </c>
      <c r="I646" s="19">
        <v>107.642</v>
      </c>
      <c r="J646" s="19">
        <v>107.762</v>
      </c>
      <c r="K646" s="19">
        <v>2.9140000000000001</v>
      </c>
      <c r="L646" s="19">
        <v>98.095200000000006</v>
      </c>
      <c r="M646" s="19">
        <v>31834000000</v>
      </c>
      <c r="N646" s="19">
        <v>111.0497</v>
      </c>
      <c r="O646">
        <v>43.094000000000001</v>
      </c>
      <c r="P646">
        <v>40.368000000000002</v>
      </c>
      <c r="Q646" s="19">
        <v>52522.605000000003</v>
      </c>
      <c r="R646" s="19">
        <v>51715.781000000003</v>
      </c>
      <c r="S646" s="19">
        <v>-2.7109999999999999</v>
      </c>
      <c r="T646" s="19">
        <v>59572.474800000004</v>
      </c>
      <c r="U646" s="19">
        <v>57489.265700000004</v>
      </c>
      <c r="V646">
        <v>28.9</v>
      </c>
      <c r="W646" s="19">
        <v>94.761899999999997</v>
      </c>
      <c r="X646">
        <v>97</v>
      </c>
      <c r="Y646">
        <v>97</v>
      </c>
      <c r="Z646">
        <v>97</v>
      </c>
      <c r="AA646">
        <v>2.1</v>
      </c>
      <c r="AB646">
        <v>94.5</v>
      </c>
      <c r="AC646">
        <v>82.356099999999998</v>
      </c>
      <c r="AD646">
        <v>100.00830000000001</v>
      </c>
      <c r="AE646">
        <v>5</v>
      </c>
      <c r="AF646">
        <v>96.722899999999996</v>
      </c>
      <c r="AH646">
        <v>0.1</v>
      </c>
      <c r="AI646">
        <v>2.6</v>
      </c>
      <c r="AJ646">
        <v>2.4</v>
      </c>
      <c r="AK646">
        <v>2.8</v>
      </c>
      <c r="AL646">
        <v>69.796099999999996</v>
      </c>
      <c r="AM646">
        <v>1.4</v>
      </c>
      <c r="AN646">
        <v>37302</v>
      </c>
      <c r="AO646">
        <v>0</v>
      </c>
      <c r="AP646">
        <v>99.728099999999998</v>
      </c>
      <c r="AQ646">
        <v>98.879499999999993</v>
      </c>
      <c r="AR646">
        <v>99.728099999999998</v>
      </c>
      <c r="AS646">
        <v>91.768000000000001</v>
      </c>
      <c r="AT646">
        <v>96.031300000000002</v>
      </c>
      <c r="AU646">
        <v>5.6367000000000003</v>
      </c>
      <c r="AV646" s="19">
        <v>81.603800000000007</v>
      </c>
      <c r="AW646">
        <v>0.4</v>
      </c>
      <c r="AX646">
        <v>15.7</v>
      </c>
      <c r="AY646">
        <v>6</v>
      </c>
      <c r="AZ646">
        <v>6</v>
      </c>
      <c r="BA646">
        <v>95.518799999999999</v>
      </c>
      <c r="BB646">
        <v>46.991399999999999</v>
      </c>
      <c r="BC646">
        <v>9.7667000000000002</v>
      </c>
      <c r="BD646" s="19">
        <v>-2.0049999999999999</v>
      </c>
      <c r="BE646" s="19">
        <v>95.238100000000003</v>
      </c>
      <c r="BF646">
        <v>68.480699999999999</v>
      </c>
      <c r="BG646">
        <v>57.8</v>
      </c>
      <c r="BH646" s="20">
        <v>3.4895999999999998</v>
      </c>
      <c r="BI646" s="20">
        <v>7754.6440000000002</v>
      </c>
      <c r="BJ646" s="19">
        <v>96.666700000000006</v>
      </c>
      <c r="BK646">
        <v>1.0529999999999999</v>
      </c>
      <c r="BL646">
        <v>1.0696000000000001</v>
      </c>
      <c r="BM646">
        <v>1.0849</v>
      </c>
      <c r="BN646">
        <v>6</v>
      </c>
      <c r="BO646">
        <v>6.5170000000000003</v>
      </c>
      <c r="BP646">
        <v>13.36</v>
      </c>
      <c r="BQ646" s="19">
        <v>99.062299999999993</v>
      </c>
      <c r="BR646">
        <v>77.166600000000003</v>
      </c>
      <c r="BS646" s="20">
        <v>8.2910000000000004</v>
      </c>
      <c r="BT646" s="20">
        <v>8.2910000000000004</v>
      </c>
      <c r="BU646" s="20">
        <v>23.895</v>
      </c>
      <c r="BV646" s="20">
        <v>23.946000000000002</v>
      </c>
      <c r="BW646" s="19">
        <v>97.101399999999998</v>
      </c>
      <c r="BX646">
        <v>7.49</v>
      </c>
      <c r="BY646" s="6">
        <v>18686082</v>
      </c>
      <c r="BZ646" s="5">
        <v>39804561</v>
      </c>
      <c r="CA646" s="7">
        <f t="shared" si="50"/>
        <v>2.1301715897425688</v>
      </c>
      <c r="CB646">
        <v>10353442</v>
      </c>
      <c r="CC646" s="8">
        <f t="shared" si="51"/>
        <v>3.8445727517476795</v>
      </c>
      <c r="CD646" s="8">
        <f t="shared" si="52"/>
        <v>1.8048183396400925</v>
      </c>
      <c r="CE646">
        <v>447424</v>
      </c>
      <c r="CF646" s="8">
        <f t="shared" si="53"/>
        <v>41.763700650836789</v>
      </c>
      <c r="CG646" s="8">
        <f t="shared" si="54"/>
        <v>88.963848608925758</v>
      </c>
      <c r="CH646">
        <v>91.219759999999994</v>
      </c>
    </row>
    <row r="647" spans="1:86" ht="15.5" x14ac:dyDescent="0.35">
      <c r="A647" t="s">
        <v>112</v>
      </c>
      <c r="B647">
        <v>2021</v>
      </c>
      <c r="C647" s="2">
        <v>60.893000000000001</v>
      </c>
      <c r="D647">
        <v>102130.9</v>
      </c>
      <c r="E647">
        <v>6.0999999999999999E-2</v>
      </c>
      <c r="F647">
        <v>3.8289</v>
      </c>
      <c r="G647">
        <v>55600</v>
      </c>
      <c r="H647">
        <v>10</v>
      </c>
      <c r="I647" s="19">
        <v>110.496</v>
      </c>
      <c r="J647" s="19">
        <v>111.98399999999999</v>
      </c>
      <c r="K647" s="19">
        <v>6.2510000000000003</v>
      </c>
      <c r="L647" s="19">
        <v>97.619</v>
      </c>
      <c r="M647" s="19">
        <v>42616000000</v>
      </c>
      <c r="N647" s="19">
        <v>135.5017</v>
      </c>
      <c r="O647">
        <v>44.14</v>
      </c>
      <c r="P647">
        <v>40.835099999999997</v>
      </c>
      <c r="Q647" s="19">
        <v>60961.254000000001</v>
      </c>
      <c r="R647" s="19">
        <v>54458.353600000002</v>
      </c>
      <c r="S647" s="19">
        <v>5.3032000000000004</v>
      </c>
      <c r="T647" s="19">
        <v>62731.700599999996</v>
      </c>
      <c r="U647" s="19">
        <v>62731.700599999996</v>
      </c>
      <c r="V647">
        <v>29.8</v>
      </c>
      <c r="W647" s="19">
        <v>95.238100000000003</v>
      </c>
      <c r="X647">
        <v>98</v>
      </c>
      <c r="Y647">
        <v>98</v>
      </c>
      <c r="Z647">
        <v>97</v>
      </c>
      <c r="AA647">
        <v>2.1</v>
      </c>
      <c r="AB647">
        <v>94.7</v>
      </c>
      <c r="AC647">
        <v>83.056100000000001</v>
      </c>
      <c r="AD647">
        <v>100.318</v>
      </c>
      <c r="AE647">
        <v>5</v>
      </c>
      <c r="AH647">
        <v>0.15</v>
      </c>
      <c r="AI647">
        <v>2.5</v>
      </c>
      <c r="AJ647">
        <v>2.2999999999999998</v>
      </c>
      <c r="AK647">
        <v>2.8</v>
      </c>
      <c r="AL647">
        <v>70.140299999999996</v>
      </c>
      <c r="AM647">
        <v>1.4</v>
      </c>
      <c r="AN647">
        <v>51947</v>
      </c>
      <c r="AO647">
        <v>0</v>
      </c>
      <c r="AP647">
        <v>99.738399999999999</v>
      </c>
      <c r="AQ647">
        <v>98.861699999999999</v>
      </c>
      <c r="AR647">
        <v>99.738399999999999</v>
      </c>
      <c r="AS647">
        <v>91.804699999999997</v>
      </c>
      <c r="AT647">
        <v>96.043800000000005</v>
      </c>
      <c r="AV647" s="19">
        <v>84.433999999999997</v>
      </c>
      <c r="AW647">
        <v>0.6</v>
      </c>
      <c r="AX647">
        <v>16</v>
      </c>
      <c r="AY647">
        <v>6</v>
      </c>
      <c r="AZ647">
        <v>6</v>
      </c>
      <c r="BA647">
        <v>95.545199999999994</v>
      </c>
      <c r="BB647">
        <v>46.991399999999999</v>
      </c>
      <c r="BC647">
        <v>9.5562000000000005</v>
      </c>
      <c r="BD647" s="19">
        <v>5.9379999999999997</v>
      </c>
      <c r="BE647" s="19">
        <v>96.666700000000006</v>
      </c>
      <c r="BF647">
        <v>67.391900000000007</v>
      </c>
      <c r="BG647">
        <v>57.9</v>
      </c>
      <c r="BH647" s="20">
        <v>3.4022000000000001</v>
      </c>
      <c r="BI647" s="20">
        <v>8159.7969000000003</v>
      </c>
      <c r="BJ647" s="19">
        <v>95.238100000000003</v>
      </c>
      <c r="BN647">
        <v>6</v>
      </c>
      <c r="BO647">
        <v>5.0730000000000004</v>
      </c>
      <c r="BP647">
        <v>13.84</v>
      </c>
      <c r="BQ647" s="19">
        <v>99.929900000000004</v>
      </c>
      <c r="BS647" s="20">
        <v>8.7219999999999995</v>
      </c>
      <c r="BT647" s="20">
        <v>8.7219999999999995</v>
      </c>
      <c r="BU647" s="20">
        <v>24.599</v>
      </c>
      <c r="BV647" s="20">
        <v>24.747</v>
      </c>
      <c r="BW647" s="19">
        <v>97.101399999999998</v>
      </c>
      <c r="BX647">
        <v>8.11</v>
      </c>
      <c r="BY647" s="6">
        <v>23934830</v>
      </c>
      <c r="BZ647" s="5">
        <v>50044620</v>
      </c>
      <c r="CA647" s="7">
        <f t="shared" si="50"/>
        <v>2.0908700834724958</v>
      </c>
      <c r="CB647">
        <v>10415811</v>
      </c>
      <c r="CC647" s="8">
        <f t="shared" si="51"/>
        <v>4.8046781954856899</v>
      </c>
      <c r="CD647" s="8">
        <f t="shared" si="52"/>
        <v>2.2979324413624633</v>
      </c>
      <c r="CE647">
        <v>447424</v>
      </c>
      <c r="CF647" s="8">
        <f t="shared" si="53"/>
        <v>53.494738771277355</v>
      </c>
      <c r="CG647" s="8">
        <f t="shared" si="54"/>
        <v>111.85054892004005</v>
      </c>
      <c r="CH647">
        <v>94.176410000000004</v>
      </c>
    </row>
    <row r="648" spans="1:86" ht="15.5" x14ac:dyDescent="0.35">
      <c r="A648" t="s">
        <v>112</v>
      </c>
      <c r="B648">
        <v>2022</v>
      </c>
      <c r="C648" s="2">
        <v>60.851100000000002</v>
      </c>
      <c r="E648">
        <v>5.4600000000000003E-2</v>
      </c>
      <c r="F648">
        <v>3.4527000000000001</v>
      </c>
      <c r="H648">
        <v>10</v>
      </c>
      <c r="I648" s="19">
        <v>119.399</v>
      </c>
      <c r="J648" s="19">
        <v>123.45099999999999</v>
      </c>
      <c r="K648" s="19">
        <v>8.7970000000000006</v>
      </c>
      <c r="L648" s="19">
        <v>97.641499999999994</v>
      </c>
      <c r="M648" s="19">
        <v>27259000000</v>
      </c>
      <c r="N648" s="19"/>
      <c r="O648">
        <v>42.192999999999998</v>
      </c>
      <c r="P648">
        <v>40.609299999999998</v>
      </c>
      <c r="Q648" s="19">
        <v>55115.014999999999</v>
      </c>
      <c r="R648" s="19">
        <v>54878.292000000001</v>
      </c>
      <c r="S648" s="19">
        <v>0.77110000000000001</v>
      </c>
      <c r="T648" s="19">
        <v>63215.436300000001</v>
      </c>
      <c r="U648" s="19">
        <v>66375.616500000004</v>
      </c>
      <c r="W648" s="19">
        <v>94.811300000000003</v>
      </c>
      <c r="X648">
        <v>94</v>
      </c>
      <c r="Y648">
        <v>94</v>
      </c>
      <c r="Z648">
        <v>92</v>
      </c>
      <c r="AA648">
        <v>2</v>
      </c>
      <c r="AB648">
        <v>95</v>
      </c>
      <c r="AC648">
        <v>83.058499999999995</v>
      </c>
      <c r="AD648">
        <v>100.07599999999999</v>
      </c>
      <c r="AE648">
        <v>5</v>
      </c>
      <c r="AI648">
        <v>2.5</v>
      </c>
      <c r="AJ648">
        <v>2.2999999999999998</v>
      </c>
      <c r="AK648">
        <v>2.7</v>
      </c>
      <c r="AL648">
        <v>69.8566</v>
      </c>
      <c r="AM648">
        <v>1.4</v>
      </c>
      <c r="AN648">
        <v>58955</v>
      </c>
      <c r="AO648">
        <v>0</v>
      </c>
      <c r="AP648">
        <v>99.738900000000001</v>
      </c>
      <c r="AQ648">
        <v>98.860799999999998</v>
      </c>
      <c r="AR648">
        <v>99.738900000000001</v>
      </c>
      <c r="AS648">
        <v>91.804699999999997</v>
      </c>
      <c r="AT648">
        <v>96.043800000000005</v>
      </c>
      <c r="AV648" s="19">
        <v>79.2453</v>
      </c>
      <c r="AX648">
        <v>16.100000000000001</v>
      </c>
      <c r="AY648">
        <v>6</v>
      </c>
      <c r="AZ648">
        <v>6</v>
      </c>
      <c r="BA648">
        <v>95.555999999999997</v>
      </c>
      <c r="BB648">
        <v>46.418300000000002</v>
      </c>
      <c r="BC648">
        <v>9.0238999999999994</v>
      </c>
      <c r="BD648" s="19">
        <v>1.4590000000000001</v>
      </c>
      <c r="BE648" s="19">
        <v>96.226399999999998</v>
      </c>
      <c r="BH648" s="20">
        <v>3.4081999999999999</v>
      </c>
      <c r="BI648" s="20">
        <v>8623.7461000000003</v>
      </c>
      <c r="BJ648" s="19">
        <v>93.867900000000006</v>
      </c>
      <c r="BN648">
        <v>6</v>
      </c>
      <c r="BO648">
        <v>4.9580000000000002</v>
      </c>
      <c r="BQ648" s="19"/>
      <c r="BS648" s="20">
        <v>7.3920000000000003</v>
      </c>
      <c r="BT648" s="20">
        <v>7.3920000000000003</v>
      </c>
      <c r="BU648" s="20">
        <v>21.606999999999999</v>
      </c>
      <c r="BV648" s="20">
        <v>21.736999999999998</v>
      </c>
      <c r="BW648" s="19">
        <v>96.618399999999994</v>
      </c>
      <c r="BX648">
        <v>6.56</v>
      </c>
      <c r="BY648" s="6">
        <v>31873930</v>
      </c>
      <c r="BZ648" s="5">
        <v>62925559</v>
      </c>
      <c r="CA648" s="7">
        <f t="shared" si="50"/>
        <v>1.9742014555468999</v>
      </c>
      <c r="CB648">
        <v>10486941</v>
      </c>
      <c r="CC648" s="8">
        <f t="shared" si="51"/>
        <v>6.0003731307346921</v>
      </c>
      <c r="CD648" s="8">
        <f t="shared" si="52"/>
        <v>3.0393925168454747</v>
      </c>
      <c r="CE648">
        <v>447424</v>
      </c>
      <c r="CF648" s="8">
        <f t="shared" si="53"/>
        <v>71.238757867257902</v>
      </c>
      <c r="CG648" s="8">
        <f t="shared" si="54"/>
        <v>140.63965947289373</v>
      </c>
      <c r="CH648">
        <v>88.986789999999999</v>
      </c>
    </row>
    <row r="649" spans="1:86" ht="15.5" x14ac:dyDescent="0.35">
      <c r="A649" t="s">
        <v>112</v>
      </c>
      <c r="B649">
        <v>2023</v>
      </c>
      <c r="C649" s="2">
        <v>60.7361</v>
      </c>
      <c r="E649">
        <v>5.3600000000000002E-2</v>
      </c>
      <c r="F649">
        <v>3.359</v>
      </c>
      <c r="H649">
        <v>10</v>
      </c>
      <c r="I649" s="19">
        <v>126.45399999999999</v>
      </c>
      <c r="J649" s="19">
        <v>127.18899999999999</v>
      </c>
      <c r="K649" s="19">
        <v>6.0270000000000001</v>
      </c>
      <c r="L649" s="19">
        <v>97.641499999999994</v>
      </c>
      <c r="M649" s="19">
        <v>40829000000</v>
      </c>
      <c r="N649" s="19"/>
      <c r="P649">
        <v>40.734000000000002</v>
      </c>
      <c r="Q649" s="19">
        <v>55487.701000000001</v>
      </c>
      <c r="R649" s="19">
        <v>54449.798199999997</v>
      </c>
      <c r="S649" s="19">
        <v>-0.78080000000000005</v>
      </c>
      <c r="T649" s="19">
        <v>62721.845500000003</v>
      </c>
      <c r="U649" s="19">
        <v>67198.02</v>
      </c>
      <c r="W649" s="19">
        <v>94.811300000000003</v>
      </c>
      <c r="X649">
        <v>94</v>
      </c>
      <c r="Y649">
        <v>94</v>
      </c>
      <c r="Z649">
        <v>93</v>
      </c>
      <c r="AA649">
        <v>2</v>
      </c>
      <c r="AB649">
        <v>95.7</v>
      </c>
      <c r="AC649">
        <v>83.309799999999996</v>
      </c>
      <c r="AE649">
        <v>4</v>
      </c>
      <c r="AI649">
        <v>2.5</v>
      </c>
      <c r="AJ649">
        <v>2.2000000000000002</v>
      </c>
      <c r="AK649">
        <v>2.7</v>
      </c>
      <c r="AL649" s="24">
        <v>69.8566</v>
      </c>
      <c r="AM649">
        <v>1.4</v>
      </c>
      <c r="AN649">
        <v>55209</v>
      </c>
      <c r="AV649" s="19">
        <v>73.459699999999998</v>
      </c>
      <c r="AY649" s="25">
        <v>6</v>
      </c>
      <c r="AZ649">
        <v>6</v>
      </c>
      <c r="BB649">
        <v>46.418300000000002</v>
      </c>
      <c r="BD649" s="19">
        <v>-0.114</v>
      </c>
      <c r="BE649" s="19">
        <v>95.283000000000001</v>
      </c>
      <c r="BH649" s="20"/>
      <c r="BI649" s="20"/>
      <c r="BJ649" s="19">
        <v>93.396199999999993</v>
      </c>
      <c r="BN649">
        <v>6</v>
      </c>
      <c r="BO649">
        <v>5.1180000000000003</v>
      </c>
      <c r="BQ649" s="19"/>
      <c r="BS649" s="20">
        <v>7.6109999999999998</v>
      </c>
      <c r="BT649" s="20">
        <v>7.6109999999999998</v>
      </c>
      <c r="BU649" s="20">
        <v>21.95</v>
      </c>
      <c r="BV649" s="20">
        <v>22.073</v>
      </c>
      <c r="BW649" s="19">
        <v>97.058800000000005</v>
      </c>
      <c r="BX649">
        <v>6.42</v>
      </c>
      <c r="BY649" s="6">
        <v>32853276</v>
      </c>
      <c r="BZ649" s="5">
        <v>63896119</v>
      </c>
      <c r="CA649" s="7">
        <f t="shared" si="50"/>
        <v>1.9448933798869861</v>
      </c>
      <c r="CB649">
        <v>10536632</v>
      </c>
      <c r="CC649" s="8">
        <f t="shared" si="51"/>
        <v>6.0641881580375969</v>
      </c>
      <c r="CD649" s="8">
        <f t="shared" si="52"/>
        <v>3.1180054499388419</v>
      </c>
      <c r="CE649">
        <v>447424</v>
      </c>
      <c r="CF649" s="8">
        <f t="shared" si="53"/>
        <v>73.427612287226438</v>
      </c>
      <c r="CG649" s="8">
        <f t="shared" si="54"/>
        <v>142.808877038335</v>
      </c>
      <c r="CH649">
        <v>82.338570000000004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Sikic</dc:creator>
  <cp:lastModifiedBy>Luka Sikic</cp:lastModifiedBy>
  <dcterms:created xsi:type="dcterms:W3CDTF">2025-11-25T08:03:43Z</dcterms:created>
  <dcterms:modified xsi:type="dcterms:W3CDTF">2025-11-25T08:04:18Z</dcterms:modified>
</cp:coreProperties>
</file>